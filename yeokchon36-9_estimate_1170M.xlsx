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8680" yWindow="-75" windowWidth="29040" windowHeight="15720" tabRatio="863" activeTab="7"/>
  </bookViews>
  <sheets>
    <sheet name="원가계산서 " sheetId="1" r:id="rId1"/>
    <sheet name="전체집계" sheetId="2" r:id="rId2"/>
    <sheet name="건축집계" sheetId="3" r:id="rId3"/>
    <sheet name="건축내역서" sheetId="4" r:id="rId4"/>
    <sheet name="설비집계표" sheetId="5" r:id="rId5"/>
    <sheet name="설비내역서" sheetId="6" r:id="rId6"/>
    <sheet name="전기총괄표" sheetId="7" r:id="rId7"/>
    <sheet name="전기내역서" sheetId="8" r:id="rId8"/>
  </sheets>
  <definedNames>
    <definedName name="_xlnm._FilterDatabase" localSheetId="5" hidden="1">설비내역서!$A$1:$A$467</definedName>
    <definedName name="_xlnm.Print_Area" localSheetId="3">건축내역서!$C$1:$O$411</definedName>
    <definedName name="_xlnm.Print_Area" localSheetId="2">건축집계!$A$1:$M$24</definedName>
    <definedName name="_xlnm.Print_Area" localSheetId="5">설비내역서!$A$1:$M$467</definedName>
    <definedName name="_xlnm.Print_Area" localSheetId="4">설비집계표!$A$1:$M$27</definedName>
    <definedName name="_xlnm.Print_Area" localSheetId="0">'원가계산서 '!$A$1:$K$25</definedName>
    <definedName name="_xlnm.Print_Area" localSheetId="7">전기내역서!$A$1:$L$276</definedName>
    <definedName name="_xlnm.Print_Area" localSheetId="6">전기총괄표!$A$1:$L$20</definedName>
    <definedName name="_xlnm.Print_Area" localSheetId="1">전체집계!$A$1:$M$18</definedName>
    <definedName name="_xlnm.Print_Titles" localSheetId="3">건축내역서!$1:$3</definedName>
    <definedName name="_xlnm.Print_Titles" localSheetId="2">건축집계!$1:$4</definedName>
    <definedName name="_xlnm.Print_Titles" localSheetId="5">설비내역서!$1:$5</definedName>
    <definedName name="_xlnm.Print_Titles" localSheetId="4">설비집계표!$3:$5</definedName>
    <definedName name="_xlnm.Print_Titles" localSheetId="7">전기내역서!$1:$3</definedName>
    <definedName name="_xlnm.Print_Titles" localSheetId="6">전기총괄표!$1:$3</definedName>
  </definedNames>
  <calcPr calcId="181029" fullCalcOnLoad="1"/>
  <extLst>
    <ext xmlns:loext="http://schemas.libreoffice.org/" uri="{7626C862-2A13-11E5-B345-FEFF819CDC9F}">
      <loext:extCalcPr stringRefSyntax="ExcelA1"/>
    </ext>
  </extLst>
</workbook>
</file>

<file path=xl/calcChain.xml><?xml version="1.0" encoding="utf-8"?>
<calcChain xmlns="http://schemas.openxmlformats.org/spreadsheetml/2006/main">
  <c r="D21" i="1" l="1"/>
  <c r="H271" i="8" l="1"/>
  <c r="E270" i="8"/>
  <c r="F270" i="8" s="1"/>
  <c r="K270" i="8" s="1"/>
  <c r="F269" i="8"/>
  <c r="K269" i="8" s="1"/>
  <c r="E269" i="8"/>
  <c r="K268" i="8"/>
  <c r="F268" i="8"/>
  <c r="F267" i="8"/>
  <c r="K267" i="8" s="1"/>
  <c r="K266" i="8"/>
  <c r="F266" i="8"/>
  <c r="F265" i="8"/>
  <c r="K265" i="8" s="1"/>
  <c r="K264" i="8"/>
  <c r="F264" i="8"/>
  <c r="K263" i="8"/>
  <c r="F263" i="8"/>
  <c r="F262" i="8"/>
  <c r="K262" i="8" s="1"/>
  <c r="K261" i="8"/>
  <c r="F261" i="8"/>
  <c r="F260" i="8"/>
  <c r="K260" i="8" s="1"/>
  <c r="K259" i="8"/>
  <c r="F259" i="8"/>
  <c r="F258" i="8"/>
  <c r="K258" i="8" s="1"/>
  <c r="F257" i="8"/>
  <c r="H233" i="8"/>
  <c r="G234" i="8" s="1"/>
  <c r="H234" i="8" s="1"/>
  <c r="K234" i="8" s="1"/>
  <c r="E232" i="8"/>
  <c r="F232" i="8" s="1"/>
  <c r="K232" i="8" s="1"/>
  <c r="F231" i="8"/>
  <c r="K231" i="8" s="1"/>
  <c r="F230" i="8"/>
  <c r="K230" i="8" s="1"/>
  <c r="K229" i="8"/>
  <c r="F229" i="8"/>
  <c r="F228" i="8"/>
  <c r="K228" i="8" s="1"/>
  <c r="F227" i="8"/>
  <c r="K227" i="8" s="1"/>
  <c r="F226" i="8"/>
  <c r="K226" i="8" s="1"/>
  <c r="K225" i="8"/>
  <c r="F225" i="8"/>
  <c r="F224" i="8"/>
  <c r="K224" i="8" s="1"/>
  <c r="F223" i="8"/>
  <c r="K223" i="8" s="1"/>
  <c r="K222" i="8"/>
  <c r="F222" i="8"/>
  <c r="K221" i="8"/>
  <c r="F221" i="8"/>
  <c r="F220" i="8"/>
  <c r="K220" i="8" s="1"/>
  <c r="F219" i="8"/>
  <c r="K219" i="8" s="1"/>
  <c r="F218" i="8"/>
  <c r="K218" i="8" s="1"/>
  <c r="K217" i="8"/>
  <c r="F217" i="8"/>
  <c r="E231" i="8" s="1"/>
  <c r="F216" i="8"/>
  <c r="K216" i="8" s="1"/>
  <c r="K215" i="8"/>
  <c r="F215" i="8"/>
  <c r="H203" i="8"/>
  <c r="K203" i="8" s="1"/>
  <c r="H202" i="8"/>
  <c r="G204" i="8" s="1"/>
  <c r="H204" i="8" s="1"/>
  <c r="K200" i="8"/>
  <c r="F200" i="8"/>
  <c r="K199" i="8"/>
  <c r="F199" i="8"/>
  <c r="F198" i="8"/>
  <c r="K198" i="8" s="1"/>
  <c r="F197" i="8"/>
  <c r="K197" i="8" s="1"/>
  <c r="K196" i="8"/>
  <c r="F196" i="8"/>
  <c r="F195" i="8"/>
  <c r="K195" i="8" s="1"/>
  <c r="F194" i="8"/>
  <c r="G186" i="8"/>
  <c r="H186" i="8" s="1"/>
  <c r="H185" i="8"/>
  <c r="K185" i="8" s="1"/>
  <c r="K184" i="8"/>
  <c r="H184" i="8"/>
  <c r="H183" i="8"/>
  <c r="K183" i="8" s="1"/>
  <c r="K181" i="8"/>
  <c r="F181" i="8"/>
  <c r="K180" i="8"/>
  <c r="F180" i="8"/>
  <c r="F179" i="8"/>
  <c r="K179" i="8" s="1"/>
  <c r="F178" i="8"/>
  <c r="K178" i="8" s="1"/>
  <c r="F177" i="8"/>
  <c r="K177" i="8" s="1"/>
  <c r="F176" i="8"/>
  <c r="K176" i="8" s="1"/>
  <c r="K175" i="8"/>
  <c r="F175" i="8"/>
  <c r="F174" i="8"/>
  <c r="K174" i="8" s="1"/>
  <c r="K173" i="8"/>
  <c r="F173" i="8"/>
  <c r="F172" i="8"/>
  <c r="K172" i="8" s="1"/>
  <c r="F171" i="8"/>
  <c r="K171" i="8" s="1"/>
  <c r="K170" i="8"/>
  <c r="F170" i="8"/>
  <c r="F169" i="8"/>
  <c r="K169" i="8" s="1"/>
  <c r="F168" i="8"/>
  <c r="K168" i="8" s="1"/>
  <c r="K167" i="8"/>
  <c r="F167" i="8"/>
  <c r="K166" i="8"/>
  <c r="F166" i="8"/>
  <c r="F165" i="8"/>
  <c r="K165" i="8" s="1"/>
  <c r="F164" i="8"/>
  <c r="K164" i="8" s="1"/>
  <c r="K163" i="8"/>
  <c r="F163" i="8"/>
  <c r="K162" i="8"/>
  <c r="F162" i="8"/>
  <c r="F161" i="8"/>
  <c r="K161" i="8" s="1"/>
  <c r="K160" i="8"/>
  <c r="F160" i="8"/>
  <c r="K159" i="8"/>
  <c r="F159" i="8"/>
  <c r="F158" i="8"/>
  <c r="K158" i="8" s="1"/>
  <c r="K157" i="8"/>
  <c r="F157" i="8"/>
  <c r="F156" i="8"/>
  <c r="E182" i="8" s="1"/>
  <c r="F182" i="8" s="1"/>
  <c r="F155" i="8"/>
  <c r="K155" i="8" s="1"/>
  <c r="F154" i="8"/>
  <c r="K154" i="8" s="1"/>
  <c r="K153" i="8"/>
  <c r="F153" i="8"/>
  <c r="F152" i="8"/>
  <c r="K152" i="8" s="1"/>
  <c r="H143" i="8"/>
  <c r="G143" i="8"/>
  <c r="K142" i="8"/>
  <c r="H142" i="8"/>
  <c r="K140" i="8"/>
  <c r="F140" i="8"/>
  <c r="K139" i="8"/>
  <c r="F139" i="8"/>
  <c r="F138" i="8"/>
  <c r="K138" i="8" s="1"/>
  <c r="F137" i="8"/>
  <c r="K137" i="8" s="1"/>
  <c r="F136" i="8"/>
  <c r="K136" i="8" s="1"/>
  <c r="F135" i="8"/>
  <c r="K135" i="8" s="1"/>
  <c r="F134" i="8"/>
  <c r="K134" i="8" s="1"/>
  <c r="F133" i="8"/>
  <c r="K133" i="8" s="1"/>
  <c r="F132" i="8"/>
  <c r="E141" i="8" s="1"/>
  <c r="F141" i="8" s="1"/>
  <c r="K131" i="8"/>
  <c r="F131" i="8"/>
  <c r="H121" i="8"/>
  <c r="K119" i="8"/>
  <c r="F119" i="8"/>
  <c r="F118" i="8"/>
  <c r="K118" i="8" s="1"/>
  <c r="F117" i="8"/>
  <c r="K117" i="8" s="1"/>
  <c r="F116" i="8"/>
  <c r="K116" i="8" s="1"/>
  <c r="F115" i="8"/>
  <c r="K115" i="8" s="1"/>
  <c r="F114" i="8"/>
  <c r="K114" i="8" s="1"/>
  <c r="F113" i="8"/>
  <c r="K113" i="8" s="1"/>
  <c r="K112" i="8"/>
  <c r="F112" i="8"/>
  <c r="F111" i="8"/>
  <c r="E120" i="8" s="1"/>
  <c r="F120" i="8" s="1"/>
  <c r="K120" i="8" s="1"/>
  <c r="K110" i="8"/>
  <c r="F110" i="8"/>
  <c r="F129" i="8" s="1"/>
  <c r="E8" i="7" s="1"/>
  <c r="F8" i="7" s="1"/>
  <c r="H95" i="8"/>
  <c r="K93" i="8"/>
  <c r="F93" i="8"/>
  <c r="F92" i="8"/>
  <c r="K92" i="8" s="1"/>
  <c r="F91" i="8"/>
  <c r="K91" i="8" s="1"/>
  <c r="F90" i="8"/>
  <c r="K90" i="8" s="1"/>
  <c r="K89" i="8"/>
  <c r="F89" i="8"/>
  <c r="F88" i="8"/>
  <c r="K88" i="8" s="1"/>
  <c r="F87" i="8"/>
  <c r="K87" i="8" s="1"/>
  <c r="F86" i="8"/>
  <c r="K86" i="8" s="1"/>
  <c r="F85" i="8"/>
  <c r="K85" i="8" s="1"/>
  <c r="F84" i="8"/>
  <c r="K84" i="8" s="1"/>
  <c r="K83" i="8"/>
  <c r="F83" i="8"/>
  <c r="F82" i="8"/>
  <c r="K82" i="8" s="1"/>
  <c r="F81" i="8"/>
  <c r="K81" i="8" s="1"/>
  <c r="F80" i="8"/>
  <c r="K80" i="8" s="1"/>
  <c r="F79" i="8"/>
  <c r="K79" i="8" s="1"/>
  <c r="F78" i="8"/>
  <c r="K78" i="8" s="1"/>
  <c r="K77" i="8"/>
  <c r="F77" i="8"/>
  <c r="F76" i="8"/>
  <c r="K76" i="8" s="1"/>
  <c r="F75" i="8"/>
  <c r="K75" i="8" s="1"/>
  <c r="K74" i="8"/>
  <c r="F74" i="8"/>
  <c r="K73" i="8"/>
  <c r="F73" i="8"/>
  <c r="F72" i="8"/>
  <c r="K72" i="8" s="1"/>
  <c r="F71" i="8"/>
  <c r="K71" i="8" s="1"/>
  <c r="F70" i="8"/>
  <c r="K70" i="8" s="1"/>
  <c r="K69" i="8"/>
  <c r="F69" i="8"/>
  <c r="F68" i="8"/>
  <c r="K68" i="8" s="1"/>
  <c r="G51" i="8"/>
  <c r="H51" i="8" s="1"/>
  <c r="K51" i="8" s="1"/>
  <c r="K50" i="8"/>
  <c r="H50" i="8"/>
  <c r="K49" i="8"/>
  <c r="H49" i="8"/>
  <c r="F47" i="8"/>
  <c r="K47" i="8" s="1"/>
  <c r="F46" i="8"/>
  <c r="K46" i="8" s="1"/>
  <c r="K45" i="8"/>
  <c r="F45" i="8"/>
  <c r="F44" i="8"/>
  <c r="K44" i="8" s="1"/>
  <c r="F43" i="8"/>
  <c r="K43" i="8" s="1"/>
  <c r="F42" i="8"/>
  <c r="K42" i="8" s="1"/>
  <c r="K41" i="8"/>
  <c r="F41" i="8"/>
  <c r="K40" i="8"/>
  <c r="F40" i="8"/>
  <c r="F39" i="8"/>
  <c r="K39" i="8" s="1"/>
  <c r="K38" i="8"/>
  <c r="F38" i="8"/>
  <c r="K37" i="8"/>
  <c r="F37" i="8"/>
  <c r="F36" i="8"/>
  <c r="K36" i="8" s="1"/>
  <c r="K35" i="8"/>
  <c r="F35" i="8"/>
  <c r="F34" i="8"/>
  <c r="K34" i="8" s="1"/>
  <c r="F33" i="8"/>
  <c r="K33" i="8" s="1"/>
  <c r="K32" i="8"/>
  <c r="F32" i="8"/>
  <c r="F31" i="8"/>
  <c r="K31" i="8" s="1"/>
  <c r="K30" i="8"/>
  <c r="F30" i="8"/>
  <c r="F29" i="8"/>
  <c r="K29" i="8" s="1"/>
  <c r="K28" i="8"/>
  <c r="F28" i="8"/>
  <c r="F27" i="8"/>
  <c r="K27" i="8" s="1"/>
  <c r="F26" i="8"/>
  <c r="K26" i="8" s="1"/>
  <c r="K25" i="8"/>
  <c r="F25" i="8"/>
  <c r="F24" i="8"/>
  <c r="K24" i="8" s="1"/>
  <c r="F23" i="8"/>
  <c r="K23" i="8" s="1"/>
  <c r="F22" i="8"/>
  <c r="K22" i="8" s="1"/>
  <c r="F21" i="8"/>
  <c r="K21" i="8" s="1"/>
  <c r="F20" i="8"/>
  <c r="K20" i="8" s="1"/>
  <c r="F19" i="8"/>
  <c r="K19" i="8" s="1"/>
  <c r="K18" i="8"/>
  <c r="F18" i="8"/>
  <c r="F17" i="8"/>
  <c r="K17" i="8" s="1"/>
  <c r="K16" i="8"/>
  <c r="F16" i="8"/>
  <c r="K15" i="8"/>
  <c r="F15" i="8"/>
  <c r="K14" i="8"/>
  <c r="F14" i="8"/>
  <c r="F13" i="8"/>
  <c r="K13" i="8" s="1"/>
  <c r="F12" i="8"/>
  <c r="K12" i="8" s="1"/>
  <c r="K11" i="8"/>
  <c r="F11" i="8"/>
  <c r="F10" i="8"/>
  <c r="K10" i="8" s="1"/>
  <c r="F9" i="8"/>
  <c r="K9" i="8" s="1"/>
  <c r="K8" i="8"/>
  <c r="F8" i="8"/>
  <c r="F7" i="8"/>
  <c r="K6" i="8"/>
  <c r="F6" i="8"/>
  <c r="K5" i="8"/>
  <c r="F5" i="8"/>
  <c r="J8" i="7"/>
  <c r="J7" i="7"/>
  <c r="J6" i="7"/>
  <c r="L462" i="6"/>
  <c r="K462" i="6"/>
  <c r="H462" i="6"/>
  <c r="F462" i="6"/>
  <c r="K461" i="6"/>
  <c r="H461" i="6"/>
  <c r="F461" i="6"/>
  <c r="L461" i="6" s="1"/>
  <c r="K460" i="6"/>
  <c r="H460" i="6"/>
  <c r="L460" i="6" s="1"/>
  <c r="F460" i="6"/>
  <c r="K459" i="6"/>
  <c r="H459" i="6"/>
  <c r="F459" i="6"/>
  <c r="L459" i="6" s="1"/>
  <c r="K458" i="6"/>
  <c r="H458" i="6"/>
  <c r="F458" i="6"/>
  <c r="L458" i="6" s="1"/>
  <c r="L457" i="6"/>
  <c r="K457" i="6"/>
  <c r="H457" i="6"/>
  <c r="F457" i="6"/>
  <c r="K456" i="6"/>
  <c r="H456" i="6"/>
  <c r="F456" i="6"/>
  <c r="L456" i="6" s="1"/>
  <c r="K455" i="6"/>
  <c r="H455" i="6"/>
  <c r="F455" i="6"/>
  <c r="L455" i="6" s="1"/>
  <c r="K454" i="6"/>
  <c r="H454" i="6"/>
  <c r="F454" i="6"/>
  <c r="L454" i="6" s="1"/>
  <c r="K453" i="6"/>
  <c r="H453" i="6"/>
  <c r="F453" i="6"/>
  <c r="L453" i="6" s="1"/>
  <c r="K452" i="6"/>
  <c r="H452" i="6"/>
  <c r="F452" i="6"/>
  <c r="L451" i="6"/>
  <c r="K451" i="6"/>
  <c r="H451" i="6"/>
  <c r="F451" i="6"/>
  <c r="L450" i="6"/>
  <c r="K450" i="6"/>
  <c r="H450" i="6"/>
  <c r="F450" i="6"/>
  <c r="K449" i="6"/>
  <c r="H449" i="6"/>
  <c r="F449" i="6"/>
  <c r="L449" i="6" s="1"/>
  <c r="K448" i="6"/>
  <c r="H448" i="6"/>
  <c r="F448" i="6"/>
  <c r="L448" i="6" s="1"/>
  <c r="K447" i="6"/>
  <c r="H447" i="6"/>
  <c r="F447" i="6"/>
  <c r="L447" i="6" s="1"/>
  <c r="H432" i="6"/>
  <c r="K431" i="6"/>
  <c r="H431" i="6"/>
  <c r="F431" i="6"/>
  <c r="L431" i="6" s="1"/>
  <c r="L430" i="6"/>
  <c r="K430" i="6"/>
  <c r="H430" i="6"/>
  <c r="F430" i="6"/>
  <c r="K429" i="6"/>
  <c r="H429" i="6"/>
  <c r="F429" i="6"/>
  <c r="L429" i="6" s="1"/>
  <c r="K428" i="6"/>
  <c r="H428" i="6"/>
  <c r="L428" i="6" s="1"/>
  <c r="F428" i="6"/>
  <c r="K427" i="6"/>
  <c r="H427" i="6"/>
  <c r="F427" i="6"/>
  <c r="K426" i="6"/>
  <c r="H426" i="6"/>
  <c r="F426" i="6"/>
  <c r="L426" i="6" s="1"/>
  <c r="L425" i="6"/>
  <c r="K425" i="6"/>
  <c r="H425" i="6"/>
  <c r="F425" i="6"/>
  <c r="K424" i="6"/>
  <c r="H424" i="6"/>
  <c r="F424" i="6"/>
  <c r="L424" i="6" s="1"/>
  <c r="K423" i="6"/>
  <c r="H423" i="6"/>
  <c r="L423" i="6" s="1"/>
  <c r="F423" i="6"/>
  <c r="K422" i="6"/>
  <c r="H422" i="6"/>
  <c r="F422" i="6"/>
  <c r="L422" i="6" s="1"/>
  <c r="K421" i="6"/>
  <c r="H421" i="6"/>
  <c r="F421" i="6"/>
  <c r="L421" i="6" s="1"/>
  <c r="L420" i="6"/>
  <c r="K420" i="6"/>
  <c r="H420" i="6"/>
  <c r="F420" i="6"/>
  <c r="K419" i="6"/>
  <c r="H419" i="6"/>
  <c r="F419" i="6"/>
  <c r="L419" i="6" s="1"/>
  <c r="K418" i="6"/>
  <c r="H418" i="6"/>
  <c r="F418" i="6"/>
  <c r="L418" i="6" s="1"/>
  <c r="L417" i="6"/>
  <c r="K417" i="6"/>
  <c r="H417" i="6"/>
  <c r="F417" i="6"/>
  <c r="K416" i="6"/>
  <c r="H416" i="6"/>
  <c r="F416" i="6"/>
  <c r="L416" i="6" s="1"/>
  <c r="K415" i="6"/>
  <c r="H415" i="6"/>
  <c r="F415" i="6"/>
  <c r="L415" i="6" s="1"/>
  <c r="K414" i="6"/>
  <c r="H414" i="6"/>
  <c r="F414" i="6"/>
  <c r="L414" i="6" s="1"/>
  <c r="K413" i="6"/>
  <c r="H413" i="6"/>
  <c r="F413" i="6"/>
  <c r="L413" i="6" s="1"/>
  <c r="L412" i="6"/>
  <c r="K412" i="6"/>
  <c r="H412" i="6"/>
  <c r="F412" i="6"/>
  <c r="K411" i="6"/>
  <c r="H411" i="6"/>
  <c r="F411" i="6"/>
  <c r="L411" i="6" s="1"/>
  <c r="K410" i="6"/>
  <c r="H410" i="6"/>
  <c r="F410" i="6"/>
  <c r="L410" i="6" s="1"/>
  <c r="L409" i="6"/>
  <c r="K409" i="6"/>
  <c r="H409" i="6"/>
  <c r="F409" i="6"/>
  <c r="K408" i="6"/>
  <c r="H408" i="6"/>
  <c r="F408" i="6"/>
  <c r="L408" i="6" s="1"/>
  <c r="L407" i="6"/>
  <c r="K407" i="6"/>
  <c r="H407" i="6"/>
  <c r="F407" i="6"/>
  <c r="K406" i="6"/>
  <c r="H406" i="6"/>
  <c r="F406" i="6"/>
  <c r="L406" i="6" s="1"/>
  <c r="L405" i="6"/>
  <c r="K405" i="6"/>
  <c r="H405" i="6"/>
  <c r="F405" i="6"/>
  <c r="L404" i="6"/>
  <c r="K404" i="6"/>
  <c r="H404" i="6"/>
  <c r="F404" i="6"/>
  <c r="K403" i="6"/>
  <c r="H403" i="6"/>
  <c r="F403" i="6"/>
  <c r="L403" i="6" s="1"/>
  <c r="L402" i="6"/>
  <c r="K402" i="6"/>
  <c r="H402" i="6"/>
  <c r="F402" i="6"/>
  <c r="K401" i="6"/>
  <c r="H401" i="6"/>
  <c r="F401" i="6"/>
  <c r="L401" i="6" s="1"/>
  <c r="K400" i="6"/>
  <c r="H400" i="6"/>
  <c r="L400" i="6" s="1"/>
  <c r="F400" i="6"/>
  <c r="K399" i="6"/>
  <c r="H399" i="6"/>
  <c r="L399" i="6" s="1"/>
  <c r="F399" i="6"/>
  <c r="K398" i="6"/>
  <c r="H398" i="6"/>
  <c r="F398" i="6"/>
  <c r="L398" i="6" s="1"/>
  <c r="L397" i="6"/>
  <c r="K397" i="6"/>
  <c r="H397" i="6"/>
  <c r="F397" i="6"/>
  <c r="K396" i="6"/>
  <c r="H396" i="6"/>
  <c r="F396" i="6"/>
  <c r="L396" i="6" s="1"/>
  <c r="K395" i="6"/>
  <c r="H395" i="6"/>
  <c r="F395" i="6"/>
  <c r="L395" i="6" s="1"/>
  <c r="L394" i="6"/>
  <c r="K394" i="6"/>
  <c r="H394" i="6"/>
  <c r="F394" i="6"/>
  <c r="K393" i="6"/>
  <c r="H393" i="6"/>
  <c r="F393" i="6"/>
  <c r="L393" i="6" s="1"/>
  <c r="K392" i="6"/>
  <c r="H392" i="6"/>
  <c r="F392" i="6"/>
  <c r="K391" i="6"/>
  <c r="H391" i="6"/>
  <c r="F391" i="6"/>
  <c r="L391" i="6" s="1"/>
  <c r="K390" i="6"/>
  <c r="H390" i="6"/>
  <c r="F390" i="6"/>
  <c r="K389" i="6"/>
  <c r="H389" i="6"/>
  <c r="F389" i="6"/>
  <c r="L389" i="6" s="1"/>
  <c r="L388" i="6"/>
  <c r="K388" i="6"/>
  <c r="H388" i="6"/>
  <c r="F388" i="6"/>
  <c r="K387" i="6"/>
  <c r="H387" i="6"/>
  <c r="F387" i="6"/>
  <c r="L387" i="6" s="1"/>
  <c r="K386" i="6"/>
  <c r="H386" i="6"/>
  <c r="F386" i="6"/>
  <c r="L386" i="6" s="1"/>
  <c r="K385" i="6"/>
  <c r="H385" i="6"/>
  <c r="F385" i="6"/>
  <c r="L385" i="6" s="1"/>
  <c r="K384" i="6"/>
  <c r="H384" i="6"/>
  <c r="F384" i="6"/>
  <c r="L384" i="6" s="1"/>
  <c r="L383" i="6"/>
  <c r="K383" i="6"/>
  <c r="H383" i="6"/>
  <c r="F383" i="6"/>
  <c r="K382" i="6"/>
  <c r="H382" i="6"/>
  <c r="F382" i="6"/>
  <c r="L382" i="6" s="1"/>
  <c r="K381" i="6"/>
  <c r="H381" i="6"/>
  <c r="F381" i="6"/>
  <c r="L381" i="6" s="1"/>
  <c r="L380" i="6"/>
  <c r="K380" i="6"/>
  <c r="H380" i="6"/>
  <c r="F380" i="6"/>
  <c r="L379" i="6"/>
  <c r="K379" i="6"/>
  <c r="H379" i="6"/>
  <c r="F379" i="6"/>
  <c r="K378" i="6"/>
  <c r="H378" i="6"/>
  <c r="L378" i="6" s="1"/>
  <c r="F378" i="6"/>
  <c r="K377" i="6"/>
  <c r="H377" i="6"/>
  <c r="F377" i="6"/>
  <c r="L377" i="6" s="1"/>
  <c r="K376" i="6"/>
  <c r="H376" i="6"/>
  <c r="F376" i="6"/>
  <c r="L376" i="6" s="1"/>
  <c r="L375" i="6"/>
  <c r="K375" i="6"/>
  <c r="H375" i="6"/>
  <c r="F375" i="6"/>
  <c r="L374" i="6"/>
  <c r="K374" i="6"/>
  <c r="H374" i="6"/>
  <c r="F374" i="6"/>
  <c r="K373" i="6"/>
  <c r="H373" i="6"/>
  <c r="F373" i="6"/>
  <c r="L373" i="6" s="1"/>
  <c r="K372" i="6"/>
  <c r="H372" i="6"/>
  <c r="F372" i="6"/>
  <c r="L372" i="6" s="1"/>
  <c r="K371" i="6"/>
  <c r="H371" i="6"/>
  <c r="F371" i="6"/>
  <c r="L371" i="6" s="1"/>
  <c r="K370" i="6"/>
  <c r="H370" i="6"/>
  <c r="L370" i="6" s="1"/>
  <c r="F370" i="6"/>
  <c r="K369" i="6"/>
  <c r="H369" i="6"/>
  <c r="F369" i="6"/>
  <c r="K368" i="6"/>
  <c r="H368" i="6"/>
  <c r="F368" i="6"/>
  <c r="L368" i="6" s="1"/>
  <c r="L367" i="6"/>
  <c r="K367" i="6"/>
  <c r="H367" i="6"/>
  <c r="F367" i="6"/>
  <c r="H366" i="6"/>
  <c r="L365" i="6"/>
  <c r="K365" i="6"/>
  <c r="H365" i="6"/>
  <c r="F365" i="6"/>
  <c r="K364" i="6"/>
  <c r="H364" i="6"/>
  <c r="F364" i="6"/>
  <c r="L364" i="6" s="1"/>
  <c r="K363" i="6"/>
  <c r="H363" i="6"/>
  <c r="F363" i="6"/>
  <c r="L363" i="6" s="1"/>
  <c r="K362" i="6"/>
  <c r="H362" i="6"/>
  <c r="L362" i="6" s="1"/>
  <c r="F362" i="6"/>
  <c r="K361" i="6"/>
  <c r="H361" i="6"/>
  <c r="F361" i="6"/>
  <c r="L361" i="6" s="1"/>
  <c r="K360" i="6"/>
  <c r="H360" i="6"/>
  <c r="H445" i="6" s="1"/>
  <c r="H18" i="5" s="1"/>
  <c r="F360" i="6"/>
  <c r="L360" i="6" s="1"/>
  <c r="K359" i="6"/>
  <c r="H359" i="6"/>
  <c r="F359" i="6"/>
  <c r="H349" i="6"/>
  <c r="K348" i="6"/>
  <c r="H348" i="6"/>
  <c r="F348" i="6"/>
  <c r="L348" i="6" s="1"/>
  <c r="K347" i="6"/>
  <c r="H347" i="6"/>
  <c r="F347" i="6"/>
  <c r="L347" i="6" s="1"/>
  <c r="K346" i="6"/>
  <c r="H346" i="6"/>
  <c r="F346" i="6"/>
  <c r="L346" i="6" s="1"/>
  <c r="K345" i="6"/>
  <c r="H345" i="6"/>
  <c r="L345" i="6" s="1"/>
  <c r="F345" i="6"/>
  <c r="K344" i="6"/>
  <c r="H344" i="6"/>
  <c r="L344" i="6" s="1"/>
  <c r="F344" i="6"/>
  <c r="K343" i="6"/>
  <c r="H343" i="6"/>
  <c r="F343" i="6"/>
  <c r="L343" i="6" s="1"/>
  <c r="L342" i="6"/>
  <c r="K342" i="6"/>
  <c r="H342" i="6"/>
  <c r="F342" i="6"/>
  <c r="K341" i="6"/>
  <c r="H341" i="6"/>
  <c r="F341" i="6"/>
  <c r="K340" i="6"/>
  <c r="H340" i="6"/>
  <c r="F340" i="6"/>
  <c r="L340" i="6" s="1"/>
  <c r="L339" i="6"/>
  <c r="K339" i="6"/>
  <c r="H339" i="6"/>
  <c r="F339" i="6"/>
  <c r="K338" i="6"/>
  <c r="H338" i="6"/>
  <c r="F338" i="6"/>
  <c r="L338" i="6" s="1"/>
  <c r="K337" i="6"/>
  <c r="H337" i="6"/>
  <c r="F337" i="6"/>
  <c r="L337" i="6" s="1"/>
  <c r="K336" i="6"/>
  <c r="H336" i="6"/>
  <c r="F336" i="6"/>
  <c r="L336" i="6" s="1"/>
  <c r="K335" i="6"/>
  <c r="H335" i="6"/>
  <c r="F335" i="6"/>
  <c r="L335" i="6" s="1"/>
  <c r="K334" i="6"/>
  <c r="H334" i="6"/>
  <c r="L334" i="6" s="1"/>
  <c r="F334" i="6"/>
  <c r="K333" i="6"/>
  <c r="H333" i="6"/>
  <c r="F333" i="6"/>
  <c r="L333" i="6" s="1"/>
  <c r="K332" i="6"/>
  <c r="H332" i="6"/>
  <c r="F332" i="6"/>
  <c r="L332" i="6" s="1"/>
  <c r="K331" i="6"/>
  <c r="H331" i="6"/>
  <c r="F331" i="6"/>
  <c r="K330" i="6"/>
  <c r="H330" i="6"/>
  <c r="F330" i="6"/>
  <c r="L330" i="6" s="1"/>
  <c r="L329" i="6"/>
  <c r="K329" i="6"/>
  <c r="H329" i="6"/>
  <c r="F329" i="6"/>
  <c r="K328" i="6"/>
  <c r="H328" i="6"/>
  <c r="F328" i="6"/>
  <c r="L328" i="6" s="1"/>
  <c r="L327" i="6"/>
  <c r="K327" i="6"/>
  <c r="H327" i="6"/>
  <c r="F327" i="6"/>
  <c r="K326" i="6"/>
  <c r="H326" i="6"/>
  <c r="F326" i="6"/>
  <c r="L325" i="6"/>
  <c r="K325" i="6"/>
  <c r="H325" i="6"/>
  <c r="F325" i="6"/>
  <c r="K324" i="6"/>
  <c r="H324" i="6"/>
  <c r="L324" i="6" s="1"/>
  <c r="F324" i="6"/>
  <c r="K323" i="6"/>
  <c r="H323" i="6"/>
  <c r="F323" i="6"/>
  <c r="L323" i="6" s="1"/>
  <c r="K322" i="6"/>
  <c r="H322" i="6"/>
  <c r="F322" i="6"/>
  <c r="L322" i="6" s="1"/>
  <c r="K321" i="6"/>
  <c r="H321" i="6"/>
  <c r="F321" i="6"/>
  <c r="K320" i="6"/>
  <c r="H320" i="6"/>
  <c r="L320" i="6" s="1"/>
  <c r="F320" i="6"/>
  <c r="K319" i="6"/>
  <c r="H319" i="6"/>
  <c r="L319" i="6" s="1"/>
  <c r="F319" i="6"/>
  <c r="K318" i="6"/>
  <c r="H318" i="6"/>
  <c r="F318" i="6"/>
  <c r="L318" i="6" s="1"/>
  <c r="L317" i="6"/>
  <c r="K317" i="6"/>
  <c r="H317" i="6"/>
  <c r="F317" i="6"/>
  <c r="K316" i="6"/>
  <c r="H316" i="6"/>
  <c r="F316" i="6"/>
  <c r="L316" i="6" s="1"/>
  <c r="L315" i="6"/>
  <c r="K315" i="6"/>
  <c r="H315" i="6"/>
  <c r="F315" i="6"/>
  <c r="L314" i="6"/>
  <c r="K314" i="6"/>
  <c r="H314" i="6"/>
  <c r="F314" i="6"/>
  <c r="K313" i="6"/>
  <c r="H313" i="6"/>
  <c r="F313" i="6"/>
  <c r="L313" i="6" s="1"/>
  <c r="K312" i="6"/>
  <c r="H312" i="6"/>
  <c r="F312" i="6"/>
  <c r="L312" i="6" s="1"/>
  <c r="K311" i="6"/>
  <c r="H311" i="6"/>
  <c r="F311" i="6"/>
  <c r="L311" i="6" s="1"/>
  <c r="K310" i="6"/>
  <c r="H310" i="6"/>
  <c r="F310" i="6"/>
  <c r="L310" i="6" s="1"/>
  <c r="K309" i="6"/>
  <c r="H309" i="6"/>
  <c r="L309" i="6" s="1"/>
  <c r="F309" i="6"/>
  <c r="K308" i="6"/>
  <c r="H308" i="6"/>
  <c r="F308" i="6"/>
  <c r="L308" i="6" s="1"/>
  <c r="K307" i="6"/>
  <c r="H307" i="6"/>
  <c r="F307" i="6"/>
  <c r="K306" i="6"/>
  <c r="H306" i="6"/>
  <c r="F306" i="6"/>
  <c r="K305" i="6"/>
  <c r="H305" i="6"/>
  <c r="F305" i="6"/>
  <c r="L305" i="6" s="1"/>
  <c r="K304" i="6"/>
  <c r="H304" i="6"/>
  <c r="L304" i="6" s="1"/>
  <c r="F304" i="6"/>
  <c r="K303" i="6"/>
  <c r="H303" i="6"/>
  <c r="F303" i="6"/>
  <c r="L303" i="6" s="1"/>
  <c r="K302" i="6"/>
  <c r="H302" i="6"/>
  <c r="F302" i="6"/>
  <c r="L302" i="6" s="1"/>
  <c r="K301" i="6"/>
  <c r="H301" i="6"/>
  <c r="F301" i="6"/>
  <c r="L301" i="6" s="1"/>
  <c r="K300" i="6"/>
  <c r="H300" i="6"/>
  <c r="F300" i="6"/>
  <c r="L300" i="6" s="1"/>
  <c r="K299" i="6"/>
  <c r="H299" i="6"/>
  <c r="L299" i="6" s="1"/>
  <c r="F299" i="6"/>
  <c r="K298" i="6"/>
  <c r="H298" i="6"/>
  <c r="F298" i="6"/>
  <c r="L298" i="6" s="1"/>
  <c r="H297" i="6"/>
  <c r="K296" i="6"/>
  <c r="H296" i="6"/>
  <c r="F296" i="6"/>
  <c r="L296" i="6" s="1"/>
  <c r="L295" i="6"/>
  <c r="K295" i="6"/>
  <c r="H295" i="6"/>
  <c r="F295" i="6"/>
  <c r="L294" i="6"/>
  <c r="K294" i="6"/>
  <c r="H294" i="6"/>
  <c r="F294" i="6"/>
  <c r="K293" i="6"/>
  <c r="H293" i="6"/>
  <c r="F293" i="6"/>
  <c r="H279" i="6"/>
  <c r="L278" i="6"/>
  <c r="K278" i="6"/>
  <c r="H278" i="6"/>
  <c r="F278" i="6"/>
  <c r="L277" i="6"/>
  <c r="K277" i="6"/>
  <c r="H277" i="6"/>
  <c r="F277" i="6"/>
  <c r="K276" i="6"/>
  <c r="H276" i="6"/>
  <c r="F276" i="6"/>
  <c r="L276" i="6" s="1"/>
  <c r="K275" i="6"/>
  <c r="H275" i="6"/>
  <c r="L275" i="6" s="1"/>
  <c r="F275" i="6"/>
  <c r="K274" i="6"/>
  <c r="H274" i="6"/>
  <c r="F274" i="6"/>
  <c r="L274" i="6" s="1"/>
  <c r="K273" i="6"/>
  <c r="H273" i="6"/>
  <c r="E279" i="6" s="1"/>
  <c r="F273" i="6"/>
  <c r="L273" i="6" s="1"/>
  <c r="L272" i="6"/>
  <c r="K272" i="6"/>
  <c r="H272" i="6"/>
  <c r="F272" i="6"/>
  <c r="K271" i="6"/>
  <c r="H271" i="6"/>
  <c r="F271" i="6"/>
  <c r="H250" i="6"/>
  <c r="K249" i="6"/>
  <c r="H249" i="6"/>
  <c r="F249" i="6"/>
  <c r="L248" i="6"/>
  <c r="K248" i="6"/>
  <c r="H248" i="6"/>
  <c r="F248" i="6"/>
  <c r="K247" i="6"/>
  <c r="H247" i="6"/>
  <c r="F247" i="6"/>
  <c r="L247" i="6" s="1"/>
  <c r="K246" i="6"/>
  <c r="H246" i="6"/>
  <c r="F246" i="6"/>
  <c r="E250" i="6" s="1"/>
  <c r="L245" i="6"/>
  <c r="K245" i="6"/>
  <c r="H245" i="6"/>
  <c r="F245" i="6"/>
  <c r="H244" i="6"/>
  <c r="K243" i="6"/>
  <c r="H243" i="6"/>
  <c r="F243" i="6"/>
  <c r="K242" i="6"/>
  <c r="J242" i="6"/>
  <c r="H242" i="6"/>
  <c r="F242" i="6"/>
  <c r="L242" i="6" s="1"/>
  <c r="K241" i="6"/>
  <c r="H241" i="6"/>
  <c r="F241" i="6"/>
  <c r="L240" i="6"/>
  <c r="K240" i="6"/>
  <c r="H240" i="6"/>
  <c r="F240" i="6"/>
  <c r="K239" i="6"/>
  <c r="H239" i="6"/>
  <c r="L239" i="6" s="1"/>
  <c r="F239" i="6"/>
  <c r="K238" i="6"/>
  <c r="H238" i="6"/>
  <c r="F238" i="6"/>
  <c r="L238" i="6" s="1"/>
  <c r="K237" i="6"/>
  <c r="H237" i="6"/>
  <c r="F237" i="6"/>
  <c r="L237" i="6" s="1"/>
  <c r="K236" i="6"/>
  <c r="H236" i="6"/>
  <c r="F236" i="6"/>
  <c r="L236" i="6" s="1"/>
  <c r="L235" i="6"/>
  <c r="K235" i="6"/>
  <c r="H235" i="6"/>
  <c r="F235" i="6"/>
  <c r="K234" i="6"/>
  <c r="H234" i="6"/>
  <c r="L234" i="6" s="1"/>
  <c r="F234" i="6"/>
  <c r="K233" i="6"/>
  <c r="H233" i="6"/>
  <c r="F233" i="6"/>
  <c r="L233" i="6" s="1"/>
  <c r="L232" i="6"/>
  <c r="K232" i="6"/>
  <c r="H232" i="6"/>
  <c r="F232" i="6"/>
  <c r="K231" i="6"/>
  <c r="H231" i="6"/>
  <c r="F231" i="6"/>
  <c r="L231" i="6" s="1"/>
  <c r="K230" i="6"/>
  <c r="H230" i="6"/>
  <c r="F230" i="6"/>
  <c r="L230" i="6" s="1"/>
  <c r="L229" i="6"/>
  <c r="K229" i="6"/>
  <c r="H229" i="6"/>
  <c r="F229" i="6"/>
  <c r="K228" i="6"/>
  <c r="H228" i="6"/>
  <c r="F228" i="6"/>
  <c r="L228" i="6" s="1"/>
  <c r="L227" i="6"/>
  <c r="K227" i="6"/>
  <c r="H227" i="6"/>
  <c r="H269" i="6" s="1"/>
  <c r="H13" i="5" s="1"/>
  <c r="F227" i="6"/>
  <c r="E244" i="6" s="1"/>
  <c r="H221" i="6"/>
  <c r="K220" i="6"/>
  <c r="H220" i="6"/>
  <c r="L220" i="6" s="1"/>
  <c r="F220" i="6"/>
  <c r="K219" i="6"/>
  <c r="H219" i="6"/>
  <c r="F219" i="6"/>
  <c r="L219" i="6" s="1"/>
  <c r="K218" i="6"/>
  <c r="H218" i="6"/>
  <c r="F218" i="6"/>
  <c r="L218" i="6" s="1"/>
  <c r="K217" i="6"/>
  <c r="H217" i="6"/>
  <c r="F217" i="6"/>
  <c r="K216" i="6"/>
  <c r="H216" i="6"/>
  <c r="F216" i="6"/>
  <c r="L216" i="6" s="1"/>
  <c r="L215" i="6"/>
  <c r="K215" i="6"/>
  <c r="H215" i="6"/>
  <c r="F215" i="6"/>
  <c r="K214" i="6"/>
  <c r="H214" i="6"/>
  <c r="F214" i="6"/>
  <c r="L214" i="6" s="1"/>
  <c r="K213" i="6"/>
  <c r="H213" i="6"/>
  <c r="F213" i="6"/>
  <c r="L213" i="6" s="1"/>
  <c r="K212" i="6"/>
  <c r="H212" i="6"/>
  <c r="F212" i="6"/>
  <c r="K211" i="6"/>
  <c r="H211" i="6"/>
  <c r="F211" i="6"/>
  <c r="L211" i="6" s="1"/>
  <c r="K210" i="6"/>
  <c r="H210" i="6"/>
  <c r="L210" i="6" s="1"/>
  <c r="F210" i="6"/>
  <c r="K209" i="6"/>
  <c r="H209" i="6"/>
  <c r="F209" i="6"/>
  <c r="L209" i="6" s="1"/>
  <c r="K208" i="6"/>
  <c r="H208" i="6"/>
  <c r="F208" i="6"/>
  <c r="L208" i="6" s="1"/>
  <c r="H207" i="6"/>
  <c r="E221" i="6" s="1"/>
  <c r="E207" i="6"/>
  <c r="K207" i="6" s="1"/>
  <c r="L206" i="6"/>
  <c r="K206" i="6"/>
  <c r="H206" i="6"/>
  <c r="F206" i="6"/>
  <c r="L205" i="6"/>
  <c r="K205" i="6"/>
  <c r="H205" i="6"/>
  <c r="F205" i="6"/>
  <c r="L203" i="6"/>
  <c r="F203" i="6"/>
  <c r="L183" i="6"/>
  <c r="K183" i="6"/>
  <c r="H183" i="6"/>
  <c r="H203" i="6" s="1"/>
  <c r="F183" i="6"/>
  <c r="H165" i="6"/>
  <c r="L164" i="6"/>
  <c r="K164" i="6"/>
  <c r="H164" i="6"/>
  <c r="F164" i="6"/>
  <c r="K163" i="6"/>
  <c r="H163" i="6"/>
  <c r="F163" i="6"/>
  <c r="L163" i="6" s="1"/>
  <c r="L162" i="6"/>
  <c r="K162" i="6"/>
  <c r="H162" i="6"/>
  <c r="F162" i="6"/>
  <c r="K161" i="6"/>
  <c r="H161" i="6"/>
  <c r="F161" i="6"/>
  <c r="L161" i="6" s="1"/>
  <c r="K160" i="6"/>
  <c r="H160" i="6"/>
  <c r="F160" i="6"/>
  <c r="L160" i="6" s="1"/>
  <c r="K159" i="6"/>
  <c r="H159" i="6"/>
  <c r="L159" i="6" s="1"/>
  <c r="F159" i="6"/>
  <c r="K158" i="6"/>
  <c r="H158" i="6"/>
  <c r="F158" i="6"/>
  <c r="L158" i="6" s="1"/>
  <c r="K157" i="6"/>
  <c r="H157" i="6"/>
  <c r="F157" i="6"/>
  <c r="L157" i="6" s="1"/>
  <c r="K156" i="6"/>
  <c r="H156" i="6"/>
  <c r="F156" i="6"/>
  <c r="K155" i="6"/>
  <c r="H155" i="6"/>
  <c r="F155" i="6"/>
  <c r="L155" i="6" s="1"/>
  <c r="K154" i="6"/>
  <c r="H154" i="6"/>
  <c r="L154" i="6" s="1"/>
  <c r="F154" i="6"/>
  <c r="K153" i="6"/>
  <c r="H153" i="6"/>
  <c r="F153" i="6"/>
  <c r="L153" i="6" s="1"/>
  <c r="K152" i="6"/>
  <c r="H152" i="6"/>
  <c r="F152" i="6"/>
  <c r="L152" i="6" s="1"/>
  <c r="K151" i="6"/>
  <c r="H151" i="6"/>
  <c r="F151" i="6"/>
  <c r="L151" i="6" s="1"/>
  <c r="L150" i="6"/>
  <c r="K150" i="6"/>
  <c r="H150" i="6"/>
  <c r="F150" i="6"/>
  <c r="K149" i="6"/>
  <c r="H149" i="6"/>
  <c r="L149" i="6" s="1"/>
  <c r="F149" i="6"/>
  <c r="K148" i="6"/>
  <c r="H148" i="6"/>
  <c r="F148" i="6"/>
  <c r="L148" i="6" s="1"/>
  <c r="K147" i="6"/>
  <c r="H147" i="6"/>
  <c r="F147" i="6"/>
  <c r="K146" i="6"/>
  <c r="H146" i="6"/>
  <c r="F146" i="6"/>
  <c r="L146" i="6" s="1"/>
  <c r="K145" i="6"/>
  <c r="H145" i="6"/>
  <c r="L145" i="6" s="1"/>
  <c r="F145" i="6"/>
  <c r="K144" i="6"/>
  <c r="H144" i="6"/>
  <c r="L144" i="6" s="1"/>
  <c r="F144" i="6"/>
  <c r="K143" i="6"/>
  <c r="H143" i="6"/>
  <c r="F143" i="6"/>
  <c r="L143" i="6" s="1"/>
  <c r="L142" i="6"/>
  <c r="K142" i="6"/>
  <c r="H142" i="6"/>
  <c r="F142" i="6"/>
  <c r="K141" i="6"/>
  <c r="H141" i="6"/>
  <c r="E165" i="6" s="1"/>
  <c r="F141" i="6"/>
  <c r="K140" i="6"/>
  <c r="H140" i="6"/>
  <c r="F140" i="6"/>
  <c r="L140" i="6" s="1"/>
  <c r="L139" i="6"/>
  <c r="K139" i="6"/>
  <c r="H139" i="6"/>
  <c r="F139" i="6"/>
  <c r="K138" i="6"/>
  <c r="H138" i="6"/>
  <c r="F138" i="6"/>
  <c r="L138" i="6" s="1"/>
  <c r="K137" i="6"/>
  <c r="H137" i="6"/>
  <c r="F137" i="6"/>
  <c r="L137" i="6" s="1"/>
  <c r="K136" i="6"/>
  <c r="H136" i="6"/>
  <c r="F136" i="6"/>
  <c r="L136" i="6" s="1"/>
  <c r="L135" i="6"/>
  <c r="K135" i="6"/>
  <c r="H135" i="6"/>
  <c r="F135" i="6"/>
  <c r="K134" i="6"/>
  <c r="H134" i="6"/>
  <c r="L134" i="6" s="1"/>
  <c r="F134" i="6"/>
  <c r="K133" i="6"/>
  <c r="H133" i="6"/>
  <c r="F133" i="6"/>
  <c r="L133" i="6" s="1"/>
  <c r="K132" i="6"/>
  <c r="H132" i="6"/>
  <c r="F132" i="6"/>
  <c r="K131" i="6"/>
  <c r="H131" i="6"/>
  <c r="F131" i="6"/>
  <c r="K130" i="6"/>
  <c r="H130" i="6"/>
  <c r="F130" i="6"/>
  <c r="L130" i="6" s="1"/>
  <c r="L129" i="6"/>
  <c r="K129" i="6"/>
  <c r="H129" i="6"/>
  <c r="F129" i="6"/>
  <c r="K128" i="6"/>
  <c r="H128" i="6"/>
  <c r="F128" i="6"/>
  <c r="L128" i="6" s="1"/>
  <c r="K127" i="6"/>
  <c r="H127" i="6"/>
  <c r="F127" i="6"/>
  <c r="L127" i="6" s="1"/>
  <c r="K126" i="6"/>
  <c r="H126" i="6"/>
  <c r="F126" i="6"/>
  <c r="L126" i="6" s="1"/>
  <c r="K125" i="6"/>
  <c r="H125" i="6"/>
  <c r="F125" i="6"/>
  <c r="L125" i="6" s="1"/>
  <c r="K124" i="6"/>
  <c r="H124" i="6"/>
  <c r="L124" i="6" s="1"/>
  <c r="F124" i="6"/>
  <c r="K123" i="6"/>
  <c r="H123" i="6"/>
  <c r="F123" i="6"/>
  <c r="L123" i="6" s="1"/>
  <c r="K122" i="6"/>
  <c r="H122" i="6"/>
  <c r="F122" i="6"/>
  <c r="L122" i="6" s="1"/>
  <c r="H121" i="6"/>
  <c r="L120" i="6"/>
  <c r="K120" i="6"/>
  <c r="H120" i="6"/>
  <c r="F120" i="6"/>
  <c r="L119" i="6"/>
  <c r="K119" i="6"/>
  <c r="H119" i="6"/>
  <c r="F119" i="6"/>
  <c r="K118" i="6"/>
  <c r="F118" i="6"/>
  <c r="L117" i="6"/>
  <c r="K117" i="6"/>
  <c r="H117" i="6"/>
  <c r="F117" i="6"/>
  <c r="BF114" i="6"/>
  <c r="AW114" i="6"/>
  <c r="K114" i="6"/>
  <c r="L114" i="6" s="1"/>
  <c r="H114" i="6"/>
  <c r="F114" i="6"/>
  <c r="BF113" i="6"/>
  <c r="AW113" i="6"/>
  <c r="K113" i="6"/>
  <c r="L113" i="6" s="1"/>
  <c r="H113" i="6"/>
  <c r="F113" i="6"/>
  <c r="BF112" i="6"/>
  <c r="AW112" i="6"/>
  <c r="K112" i="6"/>
  <c r="L112" i="6" s="1"/>
  <c r="H112" i="6"/>
  <c r="F112" i="6"/>
  <c r="BF111" i="6"/>
  <c r="AW111" i="6"/>
  <c r="K111" i="6"/>
  <c r="L111" i="6" s="1"/>
  <c r="H111" i="6"/>
  <c r="F111" i="6"/>
  <c r="BF110" i="6"/>
  <c r="AW110" i="6"/>
  <c r="K110" i="6"/>
  <c r="L110" i="6" s="1"/>
  <c r="H110" i="6"/>
  <c r="F110" i="6"/>
  <c r="BF109" i="6"/>
  <c r="AW109" i="6"/>
  <c r="L109" i="6"/>
  <c r="K109" i="6"/>
  <c r="H109" i="6"/>
  <c r="F109" i="6"/>
  <c r="BF108" i="6"/>
  <c r="AW108" i="6"/>
  <c r="K108" i="6"/>
  <c r="L108" i="6" s="1"/>
  <c r="H108" i="6"/>
  <c r="F108" i="6"/>
  <c r="H106" i="6"/>
  <c r="K105" i="6"/>
  <c r="H105" i="6"/>
  <c r="F105" i="6"/>
  <c r="L105" i="6" s="1"/>
  <c r="K104" i="6"/>
  <c r="H104" i="6"/>
  <c r="F104" i="6"/>
  <c r="L104" i="6" s="1"/>
  <c r="L103" i="6"/>
  <c r="K103" i="6"/>
  <c r="H103" i="6"/>
  <c r="F103" i="6"/>
  <c r="K102" i="6"/>
  <c r="J102" i="6"/>
  <c r="H102" i="6"/>
  <c r="F102" i="6"/>
  <c r="L102" i="6" s="1"/>
  <c r="K101" i="6"/>
  <c r="J101" i="6"/>
  <c r="L101" i="6" s="1"/>
  <c r="H101" i="6"/>
  <c r="F101" i="6"/>
  <c r="K100" i="6"/>
  <c r="J100" i="6"/>
  <c r="H100" i="6"/>
  <c r="F100" i="6"/>
  <c r="L100" i="6" s="1"/>
  <c r="K99" i="6"/>
  <c r="H99" i="6"/>
  <c r="L99" i="6" s="1"/>
  <c r="F99" i="6"/>
  <c r="K98" i="6"/>
  <c r="H98" i="6"/>
  <c r="F98" i="6"/>
  <c r="L98" i="6" s="1"/>
  <c r="K97" i="6"/>
  <c r="H97" i="6"/>
  <c r="F97" i="6"/>
  <c r="L97" i="6" s="1"/>
  <c r="L96" i="6"/>
  <c r="K96" i="6"/>
  <c r="H96" i="6"/>
  <c r="F96" i="6"/>
  <c r="K95" i="6"/>
  <c r="H95" i="6"/>
  <c r="F95" i="6"/>
  <c r="L95" i="6" s="1"/>
  <c r="L94" i="6"/>
  <c r="K94" i="6"/>
  <c r="H94" i="6"/>
  <c r="F94" i="6"/>
  <c r="K93" i="6"/>
  <c r="H93" i="6"/>
  <c r="F93" i="6"/>
  <c r="L93" i="6" s="1"/>
  <c r="K92" i="6"/>
  <c r="H92" i="6"/>
  <c r="F92" i="6"/>
  <c r="L92" i="6" s="1"/>
  <c r="L91" i="6"/>
  <c r="K91" i="6"/>
  <c r="H91" i="6"/>
  <c r="F91" i="6"/>
  <c r="K90" i="6"/>
  <c r="H90" i="6"/>
  <c r="F90" i="6"/>
  <c r="L90" i="6" s="1"/>
  <c r="K89" i="6"/>
  <c r="H89" i="6"/>
  <c r="L89" i="6" s="1"/>
  <c r="F89" i="6"/>
  <c r="K88" i="6"/>
  <c r="H88" i="6"/>
  <c r="F88" i="6"/>
  <c r="L88" i="6" s="1"/>
  <c r="K87" i="6"/>
  <c r="H87" i="6"/>
  <c r="F87" i="6"/>
  <c r="L86" i="6"/>
  <c r="K86" i="6"/>
  <c r="H86" i="6"/>
  <c r="F86" i="6"/>
  <c r="L85" i="6"/>
  <c r="K85" i="6"/>
  <c r="H85" i="6"/>
  <c r="F85" i="6"/>
  <c r="K84" i="6"/>
  <c r="H84" i="6"/>
  <c r="L84" i="6" s="1"/>
  <c r="F84" i="6"/>
  <c r="K83" i="6"/>
  <c r="H83" i="6"/>
  <c r="F83" i="6"/>
  <c r="L83" i="6" s="1"/>
  <c r="K82" i="6"/>
  <c r="H82" i="6"/>
  <c r="F82" i="6"/>
  <c r="L81" i="6"/>
  <c r="K81" i="6"/>
  <c r="H81" i="6"/>
  <c r="F81" i="6"/>
  <c r="K80" i="6"/>
  <c r="H80" i="6"/>
  <c r="L80" i="6" s="1"/>
  <c r="F80" i="6"/>
  <c r="K79" i="6"/>
  <c r="H79" i="6"/>
  <c r="L79" i="6" s="1"/>
  <c r="F79" i="6"/>
  <c r="K78" i="6"/>
  <c r="H78" i="6"/>
  <c r="F78" i="6"/>
  <c r="L78" i="6" s="1"/>
  <c r="K77" i="6"/>
  <c r="H77" i="6"/>
  <c r="F77" i="6"/>
  <c r="L77" i="6" s="1"/>
  <c r="L76" i="6"/>
  <c r="K76" i="6"/>
  <c r="H76" i="6"/>
  <c r="F76" i="6"/>
  <c r="K75" i="6"/>
  <c r="H75" i="6"/>
  <c r="F75" i="6"/>
  <c r="L75" i="6" s="1"/>
  <c r="L74" i="6"/>
  <c r="K74" i="6"/>
  <c r="H74" i="6"/>
  <c r="F74" i="6"/>
  <c r="K73" i="6"/>
  <c r="H73" i="6"/>
  <c r="F73" i="6"/>
  <c r="L73" i="6" s="1"/>
  <c r="K72" i="6"/>
  <c r="H72" i="6"/>
  <c r="F72" i="6"/>
  <c r="L72" i="6" s="1"/>
  <c r="L71" i="6"/>
  <c r="K71" i="6"/>
  <c r="H71" i="6"/>
  <c r="F71" i="6"/>
  <c r="K70" i="6"/>
  <c r="H70" i="6"/>
  <c r="F70" i="6"/>
  <c r="L70" i="6" s="1"/>
  <c r="K69" i="6"/>
  <c r="H69" i="6"/>
  <c r="L69" i="6" s="1"/>
  <c r="F69" i="6"/>
  <c r="K68" i="6"/>
  <c r="H68" i="6"/>
  <c r="F68" i="6"/>
  <c r="L68" i="6" s="1"/>
  <c r="K67" i="6"/>
  <c r="H67" i="6"/>
  <c r="F67" i="6"/>
  <c r="L66" i="6"/>
  <c r="K66" i="6"/>
  <c r="H66" i="6"/>
  <c r="F66" i="6"/>
  <c r="L65" i="6"/>
  <c r="K65" i="6"/>
  <c r="H65" i="6"/>
  <c r="F65" i="6"/>
  <c r="K64" i="6"/>
  <c r="H64" i="6"/>
  <c r="L64" i="6" s="1"/>
  <c r="F64" i="6"/>
  <c r="K63" i="6"/>
  <c r="H63" i="6"/>
  <c r="F63" i="6"/>
  <c r="L63" i="6" s="1"/>
  <c r="K62" i="6"/>
  <c r="H62" i="6"/>
  <c r="F62" i="6"/>
  <c r="L62" i="6" s="1"/>
  <c r="L61" i="6"/>
  <c r="K61" i="6"/>
  <c r="H61" i="6"/>
  <c r="F61" i="6"/>
  <c r="K60" i="6"/>
  <c r="H60" i="6"/>
  <c r="F60" i="6"/>
  <c r="L60" i="6" s="1"/>
  <c r="K59" i="6"/>
  <c r="H59" i="6"/>
  <c r="L59" i="6" s="1"/>
  <c r="F59" i="6"/>
  <c r="K58" i="6"/>
  <c r="H58" i="6"/>
  <c r="F58" i="6"/>
  <c r="L58" i="6" s="1"/>
  <c r="K57" i="6"/>
  <c r="H57" i="6"/>
  <c r="F57" i="6"/>
  <c r="L56" i="6"/>
  <c r="K56" i="6"/>
  <c r="H56" i="6"/>
  <c r="F56" i="6"/>
  <c r="H55" i="6"/>
  <c r="E55" i="6"/>
  <c r="K55" i="6" s="1"/>
  <c r="L54" i="6"/>
  <c r="K54" i="6"/>
  <c r="H54" i="6"/>
  <c r="F54" i="6"/>
  <c r="K53" i="6"/>
  <c r="H53" i="6"/>
  <c r="F53" i="6"/>
  <c r="L53" i="6" s="1"/>
  <c r="K52" i="6"/>
  <c r="H52" i="6"/>
  <c r="F52" i="6"/>
  <c r="L51" i="6"/>
  <c r="K51" i="6"/>
  <c r="H51" i="6"/>
  <c r="F51" i="6"/>
  <c r="L40" i="6"/>
  <c r="K40" i="6"/>
  <c r="H40" i="6"/>
  <c r="F40" i="6"/>
  <c r="K39" i="6"/>
  <c r="H39" i="6"/>
  <c r="F39" i="6"/>
  <c r="L39" i="6" s="1"/>
  <c r="L38" i="6"/>
  <c r="K38" i="6"/>
  <c r="H38" i="6"/>
  <c r="F38" i="6"/>
  <c r="K37" i="6"/>
  <c r="H37" i="6"/>
  <c r="F37" i="6"/>
  <c r="L37" i="6" s="1"/>
  <c r="K36" i="6"/>
  <c r="H36" i="6"/>
  <c r="L36" i="6" s="1"/>
  <c r="F36" i="6"/>
  <c r="K35" i="6"/>
  <c r="H35" i="6"/>
  <c r="H49" i="6" s="1"/>
  <c r="H8" i="5" s="1"/>
  <c r="F35" i="6"/>
  <c r="K34" i="6"/>
  <c r="H34" i="6"/>
  <c r="F34" i="6"/>
  <c r="L34" i="6" s="1"/>
  <c r="L33" i="6"/>
  <c r="K33" i="6"/>
  <c r="H33" i="6"/>
  <c r="F33" i="6"/>
  <c r="K32" i="6"/>
  <c r="H32" i="6"/>
  <c r="F32" i="6"/>
  <c r="L32" i="6" s="1"/>
  <c r="K31" i="6"/>
  <c r="H31" i="6"/>
  <c r="L31" i="6" s="1"/>
  <c r="F31" i="6"/>
  <c r="L30" i="6"/>
  <c r="K30" i="6"/>
  <c r="H30" i="6"/>
  <c r="F30" i="6"/>
  <c r="K29" i="6"/>
  <c r="H29" i="6"/>
  <c r="F29" i="6"/>
  <c r="L29" i="6" s="1"/>
  <c r="E16" i="6"/>
  <c r="F16" i="6" s="1"/>
  <c r="L16" i="6" s="1"/>
  <c r="L15" i="6"/>
  <c r="K15" i="6"/>
  <c r="H15" i="6"/>
  <c r="F15" i="6"/>
  <c r="K14" i="6"/>
  <c r="H14" i="6"/>
  <c r="F14" i="6"/>
  <c r="L14" i="6" s="1"/>
  <c r="K13" i="6"/>
  <c r="H13" i="6"/>
  <c r="L13" i="6" s="1"/>
  <c r="F13" i="6"/>
  <c r="L12" i="6"/>
  <c r="K12" i="6"/>
  <c r="F12" i="6"/>
  <c r="K11" i="6"/>
  <c r="F11" i="6"/>
  <c r="L11" i="6" s="1"/>
  <c r="K10" i="6"/>
  <c r="F10" i="6"/>
  <c r="L10" i="6" s="1"/>
  <c r="K9" i="6"/>
  <c r="F9" i="6"/>
  <c r="L9" i="6" s="1"/>
  <c r="K8" i="6"/>
  <c r="F8" i="6"/>
  <c r="L8" i="6" s="1"/>
  <c r="K7" i="6"/>
  <c r="F7" i="6"/>
  <c r="A19" i="5"/>
  <c r="A18" i="5"/>
  <c r="A17" i="5"/>
  <c r="A16" i="5"/>
  <c r="I15" i="5"/>
  <c r="A13" i="5"/>
  <c r="A12" i="5"/>
  <c r="A11" i="5"/>
  <c r="J10" i="5"/>
  <c r="A10" i="5"/>
  <c r="J9" i="5"/>
  <c r="J6" i="5" s="1"/>
  <c r="A9" i="5"/>
  <c r="J8" i="5"/>
  <c r="A8" i="5"/>
  <c r="J7" i="5"/>
  <c r="A7" i="5"/>
  <c r="A3" i="5"/>
  <c r="J411" i="4"/>
  <c r="H16" i="3" s="1"/>
  <c r="M410" i="4"/>
  <c r="L410" i="4"/>
  <c r="J410" i="4"/>
  <c r="H410" i="4"/>
  <c r="N409" i="4"/>
  <c r="M409" i="4"/>
  <c r="L409" i="4"/>
  <c r="J409" i="4"/>
  <c r="H409" i="4"/>
  <c r="M408" i="4"/>
  <c r="L408" i="4"/>
  <c r="J408" i="4"/>
  <c r="H408" i="4"/>
  <c r="N399" i="4"/>
  <c r="M399" i="4"/>
  <c r="J399" i="4"/>
  <c r="H399" i="4"/>
  <c r="N398" i="4"/>
  <c r="M398" i="4"/>
  <c r="L398" i="4"/>
  <c r="J398" i="4"/>
  <c r="H398" i="4"/>
  <c r="N397" i="4"/>
  <c r="M397" i="4"/>
  <c r="L397" i="4"/>
  <c r="J397" i="4"/>
  <c r="H397" i="4"/>
  <c r="M396" i="4"/>
  <c r="L396" i="4"/>
  <c r="J396" i="4"/>
  <c r="H396" i="4"/>
  <c r="N396" i="4" s="1"/>
  <c r="M395" i="4"/>
  <c r="L395" i="4"/>
  <c r="J395" i="4"/>
  <c r="N395" i="4" s="1"/>
  <c r="H395" i="4"/>
  <c r="M394" i="4"/>
  <c r="L394" i="4"/>
  <c r="J394" i="4"/>
  <c r="N394" i="4" s="1"/>
  <c r="H394" i="4"/>
  <c r="N393" i="4"/>
  <c r="M393" i="4"/>
  <c r="L393" i="4"/>
  <c r="J393" i="4"/>
  <c r="H393" i="4"/>
  <c r="M392" i="4"/>
  <c r="L392" i="4"/>
  <c r="J392" i="4"/>
  <c r="H392" i="4"/>
  <c r="N391" i="4"/>
  <c r="M391" i="4"/>
  <c r="L391" i="4"/>
  <c r="J391" i="4"/>
  <c r="H391" i="4"/>
  <c r="M390" i="4"/>
  <c r="L390" i="4"/>
  <c r="J390" i="4"/>
  <c r="N390" i="4" s="1"/>
  <c r="H390" i="4"/>
  <c r="N389" i="4"/>
  <c r="M389" i="4"/>
  <c r="L389" i="4"/>
  <c r="H389" i="4"/>
  <c r="H411" i="4" s="1"/>
  <c r="M384" i="4"/>
  <c r="L384" i="4"/>
  <c r="J384" i="4"/>
  <c r="H384" i="4"/>
  <c r="N384" i="4" s="1"/>
  <c r="M383" i="4"/>
  <c r="L383" i="4"/>
  <c r="N383" i="4" s="1"/>
  <c r="J383" i="4"/>
  <c r="H383" i="4"/>
  <c r="M382" i="4"/>
  <c r="J382" i="4"/>
  <c r="H382" i="4"/>
  <c r="N382" i="4" s="1"/>
  <c r="M381" i="4"/>
  <c r="J381" i="4"/>
  <c r="N381" i="4" s="1"/>
  <c r="H381" i="4"/>
  <c r="M380" i="4"/>
  <c r="L380" i="4"/>
  <c r="J380" i="4"/>
  <c r="H380" i="4"/>
  <c r="N380" i="4" s="1"/>
  <c r="M379" i="4"/>
  <c r="L379" i="4"/>
  <c r="J379" i="4"/>
  <c r="H379" i="4"/>
  <c r="N379" i="4" s="1"/>
  <c r="M378" i="4"/>
  <c r="L378" i="4"/>
  <c r="J378" i="4"/>
  <c r="H378" i="4"/>
  <c r="N378" i="4" s="1"/>
  <c r="M377" i="4"/>
  <c r="L377" i="4"/>
  <c r="J377" i="4"/>
  <c r="N377" i="4" s="1"/>
  <c r="H377" i="4"/>
  <c r="N376" i="4"/>
  <c r="M376" i="4"/>
  <c r="L376" i="4"/>
  <c r="J376" i="4"/>
  <c r="H376" i="4"/>
  <c r="M375" i="4"/>
  <c r="L375" i="4"/>
  <c r="J375" i="4"/>
  <c r="H375" i="4"/>
  <c r="N375" i="4" s="1"/>
  <c r="M374" i="4"/>
  <c r="J374" i="4"/>
  <c r="H374" i="4"/>
  <c r="N374" i="4" s="1"/>
  <c r="M373" i="4"/>
  <c r="L373" i="4"/>
  <c r="J373" i="4"/>
  <c r="H373" i="4"/>
  <c r="N373" i="4" s="1"/>
  <c r="M372" i="4"/>
  <c r="L372" i="4"/>
  <c r="J372" i="4"/>
  <c r="H372" i="4"/>
  <c r="M371" i="4"/>
  <c r="J371" i="4"/>
  <c r="H371" i="4"/>
  <c r="N371" i="4" s="1"/>
  <c r="N370" i="4"/>
  <c r="M370" i="4"/>
  <c r="J370" i="4"/>
  <c r="H370" i="4"/>
  <c r="M369" i="4"/>
  <c r="J369" i="4"/>
  <c r="H369" i="4"/>
  <c r="N369" i="4" s="1"/>
  <c r="M368" i="4"/>
  <c r="J368" i="4"/>
  <c r="N368" i="4" s="1"/>
  <c r="H368" i="4"/>
  <c r="M367" i="4"/>
  <c r="J367" i="4"/>
  <c r="N367" i="4" s="1"/>
  <c r="H367" i="4"/>
  <c r="M366" i="4"/>
  <c r="J366" i="4"/>
  <c r="H366" i="4"/>
  <c r="N366" i="4" s="1"/>
  <c r="N365" i="4"/>
  <c r="M365" i="4"/>
  <c r="L365" i="4"/>
  <c r="J365" i="4"/>
  <c r="H365" i="4"/>
  <c r="H363" i="4"/>
  <c r="N362" i="4"/>
  <c r="M362" i="4"/>
  <c r="L362" i="4"/>
  <c r="J362" i="4"/>
  <c r="H362" i="4"/>
  <c r="N360" i="4"/>
  <c r="M360" i="4"/>
  <c r="L360" i="4"/>
  <c r="J360" i="4"/>
  <c r="H360" i="4"/>
  <c r="M359" i="4"/>
  <c r="L359" i="4"/>
  <c r="N359" i="4" s="1"/>
  <c r="J359" i="4"/>
  <c r="H359" i="4"/>
  <c r="N358" i="4"/>
  <c r="M358" i="4"/>
  <c r="L358" i="4"/>
  <c r="J358" i="4"/>
  <c r="H358" i="4"/>
  <c r="M357" i="4"/>
  <c r="L357" i="4"/>
  <c r="J357" i="4"/>
  <c r="N357" i="4" s="1"/>
  <c r="H357" i="4"/>
  <c r="N356" i="4"/>
  <c r="M356" i="4"/>
  <c r="L356" i="4"/>
  <c r="J356" i="4"/>
  <c r="H356" i="4"/>
  <c r="N355" i="4"/>
  <c r="M355" i="4"/>
  <c r="L355" i="4"/>
  <c r="J355" i="4"/>
  <c r="H355" i="4"/>
  <c r="N354" i="4"/>
  <c r="M354" i="4"/>
  <c r="L354" i="4"/>
  <c r="J354" i="4"/>
  <c r="H354" i="4"/>
  <c r="M353" i="4"/>
  <c r="N353" i="4" s="1"/>
  <c r="L353" i="4"/>
  <c r="J353" i="4"/>
  <c r="H353" i="4"/>
  <c r="N352" i="4"/>
  <c r="M352" i="4"/>
  <c r="L352" i="4"/>
  <c r="J352" i="4"/>
  <c r="H352" i="4"/>
  <c r="N351" i="4"/>
  <c r="M351" i="4"/>
  <c r="L351" i="4"/>
  <c r="J351" i="4"/>
  <c r="H351" i="4"/>
  <c r="N350" i="4"/>
  <c r="M350" i="4"/>
  <c r="L350" i="4"/>
  <c r="J350" i="4"/>
  <c r="H350" i="4"/>
  <c r="M349" i="4"/>
  <c r="N349" i="4" s="1"/>
  <c r="L349" i="4"/>
  <c r="J349" i="4"/>
  <c r="H349" i="4"/>
  <c r="N348" i="4"/>
  <c r="M348" i="4"/>
  <c r="L348" i="4"/>
  <c r="J348" i="4"/>
  <c r="H348" i="4"/>
  <c r="N347" i="4"/>
  <c r="M347" i="4"/>
  <c r="L347" i="4"/>
  <c r="J347" i="4"/>
  <c r="H347" i="4"/>
  <c r="N346" i="4"/>
  <c r="M346" i="4"/>
  <c r="L346" i="4"/>
  <c r="J346" i="4"/>
  <c r="H346" i="4"/>
  <c r="M345" i="4"/>
  <c r="N345" i="4" s="1"/>
  <c r="L345" i="4"/>
  <c r="J345" i="4"/>
  <c r="H345" i="4"/>
  <c r="N344" i="4"/>
  <c r="M344" i="4"/>
  <c r="L344" i="4"/>
  <c r="J344" i="4"/>
  <c r="H344" i="4"/>
  <c r="N343" i="4"/>
  <c r="M343" i="4"/>
  <c r="L343" i="4"/>
  <c r="J343" i="4"/>
  <c r="H343" i="4"/>
  <c r="N342" i="4"/>
  <c r="M342" i="4"/>
  <c r="L342" i="4"/>
  <c r="J342" i="4"/>
  <c r="H342" i="4"/>
  <c r="M341" i="4"/>
  <c r="N341" i="4" s="1"/>
  <c r="L341" i="4"/>
  <c r="J341" i="4"/>
  <c r="J363" i="4" s="1"/>
  <c r="H14" i="3" s="1"/>
  <c r="H341" i="4"/>
  <c r="M338" i="4"/>
  <c r="N338" i="4" s="1"/>
  <c r="L338" i="4"/>
  <c r="J338" i="4"/>
  <c r="H338" i="4"/>
  <c r="M337" i="4"/>
  <c r="N337" i="4" s="1"/>
  <c r="L337" i="4"/>
  <c r="J337" i="4"/>
  <c r="H337" i="4"/>
  <c r="M336" i="4"/>
  <c r="N336" i="4" s="1"/>
  <c r="L336" i="4"/>
  <c r="J336" i="4"/>
  <c r="H336" i="4"/>
  <c r="M335" i="4"/>
  <c r="N335" i="4" s="1"/>
  <c r="L335" i="4"/>
  <c r="J335" i="4"/>
  <c r="H335" i="4"/>
  <c r="M334" i="4"/>
  <c r="N334" i="4" s="1"/>
  <c r="L334" i="4"/>
  <c r="J334" i="4"/>
  <c r="H334" i="4"/>
  <c r="M333" i="4"/>
  <c r="N333" i="4" s="1"/>
  <c r="L333" i="4"/>
  <c r="J333" i="4"/>
  <c r="H333" i="4"/>
  <c r="M332" i="4"/>
  <c r="N332" i="4" s="1"/>
  <c r="L332" i="4"/>
  <c r="J332" i="4"/>
  <c r="H332" i="4"/>
  <c r="M331" i="4"/>
  <c r="N331" i="4" s="1"/>
  <c r="L331" i="4"/>
  <c r="J331" i="4"/>
  <c r="H331" i="4"/>
  <c r="N330" i="4"/>
  <c r="M330" i="4"/>
  <c r="L330" i="4"/>
  <c r="J330" i="4"/>
  <c r="H330" i="4"/>
  <c r="M329" i="4"/>
  <c r="N329" i="4" s="1"/>
  <c r="L329" i="4"/>
  <c r="J329" i="4"/>
  <c r="H329" i="4"/>
  <c r="N328" i="4"/>
  <c r="M328" i="4"/>
  <c r="L328" i="4"/>
  <c r="J328" i="4"/>
  <c r="H328" i="4"/>
  <c r="N327" i="4"/>
  <c r="M327" i="4"/>
  <c r="L327" i="4"/>
  <c r="J327" i="4"/>
  <c r="H327" i="4"/>
  <c r="N326" i="4"/>
  <c r="M326" i="4"/>
  <c r="L326" i="4"/>
  <c r="J326" i="4"/>
  <c r="H326" i="4"/>
  <c r="M325" i="4"/>
  <c r="N325" i="4" s="1"/>
  <c r="L325" i="4"/>
  <c r="J325" i="4"/>
  <c r="H325" i="4"/>
  <c r="N324" i="4"/>
  <c r="M324" i="4"/>
  <c r="L324" i="4"/>
  <c r="J324" i="4"/>
  <c r="H324" i="4"/>
  <c r="M323" i="4"/>
  <c r="N323" i="4" s="1"/>
  <c r="L323" i="4"/>
  <c r="J323" i="4"/>
  <c r="H323" i="4"/>
  <c r="M322" i="4"/>
  <c r="N322" i="4" s="1"/>
  <c r="L322" i="4"/>
  <c r="J322" i="4"/>
  <c r="H322" i="4"/>
  <c r="M321" i="4"/>
  <c r="N321" i="4" s="1"/>
  <c r="L321" i="4"/>
  <c r="J321" i="4"/>
  <c r="H321" i="4"/>
  <c r="M320" i="4"/>
  <c r="N320" i="4" s="1"/>
  <c r="L320" i="4"/>
  <c r="J320" i="4"/>
  <c r="H320" i="4"/>
  <c r="M319" i="4"/>
  <c r="N319" i="4" s="1"/>
  <c r="L319" i="4"/>
  <c r="J319" i="4"/>
  <c r="H319" i="4"/>
  <c r="M318" i="4"/>
  <c r="N318" i="4" s="1"/>
  <c r="L318" i="4"/>
  <c r="J318" i="4"/>
  <c r="H318" i="4"/>
  <c r="M317" i="4"/>
  <c r="N317" i="4" s="1"/>
  <c r="L317" i="4"/>
  <c r="J317" i="4"/>
  <c r="H317" i="4"/>
  <c r="M316" i="4"/>
  <c r="N316" i="4" s="1"/>
  <c r="L316" i="4"/>
  <c r="J316" i="4"/>
  <c r="H316" i="4"/>
  <c r="M315" i="4"/>
  <c r="N315" i="4" s="1"/>
  <c r="L315" i="4"/>
  <c r="J315" i="4"/>
  <c r="H315" i="4"/>
  <c r="M314" i="4"/>
  <c r="N314" i="4" s="1"/>
  <c r="L314" i="4"/>
  <c r="J314" i="4"/>
  <c r="H314" i="4"/>
  <c r="M313" i="4"/>
  <c r="N313" i="4" s="1"/>
  <c r="L313" i="4"/>
  <c r="J313" i="4"/>
  <c r="H313" i="4"/>
  <c r="N312" i="4"/>
  <c r="M312" i="4"/>
  <c r="L312" i="4"/>
  <c r="J312" i="4"/>
  <c r="H312" i="4"/>
  <c r="M311" i="4"/>
  <c r="N311" i="4" s="1"/>
  <c r="L311" i="4"/>
  <c r="J311" i="4"/>
  <c r="H311" i="4"/>
  <c r="M310" i="4"/>
  <c r="N310" i="4" s="1"/>
  <c r="L310" i="4"/>
  <c r="J310" i="4"/>
  <c r="H310" i="4"/>
  <c r="M309" i="4"/>
  <c r="N309" i="4" s="1"/>
  <c r="L309" i="4"/>
  <c r="J309" i="4"/>
  <c r="H309" i="4"/>
  <c r="M308" i="4"/>
  <c r="N308" i="4" s="1"/>
  <c r="L308" i="4"/>
  <c r="J308" i="4"/>
  <c r="H308" i="4"/>
  <c r="N307" i="4"/>
  <c r="M307" i="4"/>
  <c r="L307" i="4"/>
  <c r="J307" i="4"/>
  <c r="H307" i="4"/>
  <c r="N306" i="4"/>
  <c r="M306" i="4"/>
  <c r="L306" i="4"/>
  <c r="J306" i="4"/>
  <c r="H306" i="4"/>
  <c r="M305" i="4"/>
  <c r="N305" i="4" s="1"/>
  <c r="L305" i="4"/>
  <c r="J305" i="4"/>
  <c r="H305" i="4"/>
  <c r="N304" i="4"/>
  <c r="M304" i="4"/>
  <c r="L304" i="4"/>
  <c r="J304" i="4"/>
  <c r="H304" i="4"/>
  <c r="M303" i="4"/>
  <c r="N303" i="4" s="1"/>
  <c r="L303" i="4"/>
  <c r="J303" i="4"/>
  <c r="H303" i="4"/>
  <c r="M302" i="4"/>
  <c r="N302" i="4" s="1"/>
  <c r="L302" i="4"/>
  <c r="J302" i="4"/>
  <c r="H302" i="4"/>
  <c r="M301" i="4"/>
  <c r="N301" i="4" s="1"/>
  <c r="L301" i="4"/>
  <c r="J301" i="4"/>
  <c r="H301" i="4"/>
  <c r="M300" i="4"/>
  <c r="N300" i="4" s="1"/>
  <c r="L300" i="4"/>
  <c r="J300" i="4"/>
  <c r="H300" i="4"/>
  <c r="M299" i="4"/>
  <c r="N299" i="4" s="1"/>
  <c r="L299" i="4"/>
  <c r="J299" i="4"/>
  <c r="H299" i="4"/>
  <c r="N298" i="4"/>
  <c r="M298" i="4"/>
  <c r="L298" i="4"/>
  <c r="J298" i="4"/>
  <c r="H298" i="4"/>
  <c r="M297" i="4"/>
  <c r="N297" i="4" s="1"/>
  <c r="L297" i="4"/>
  <c r="J297" i="4"/>
  <c r="H297" i="4"/>
  <c r="M296" i="4"/>
  <c r="N296" i="4" s="1"/>
  <c r="L296" i="4"/>
  <c r="J296" i="4"/>
  <c r="H296" i="4"/>
  <c r="M295" i="4"/>
  <c r="N295" i="4" s="1"/>
  <c r="L295" i="4"/>
  <c r="J295" i="4"/>
  <c r="H295" i="4"/>
  <c r="M294" i="4"/>
  <c r="N294" i="4" s="1"/>
  <c r="L294" i="4"/>
  <c r="L339" i="4" s="1"/>
  <c r="J13" i="3" s="1"/>
  <c r="J294" i="4"/>
  <c r="H294" i="4"/>
  <c r="M293" i="4"/>
  <c r="N293" i="4" s="1"/>
  <c r="L293" i="4"/>
  <c r="J293" i="4"/>
  <c r="H293" i="4"/>
  <c r="N290" i="4"/>
  <c r="M290" i="4"/>
  <c r="L290" i="4"/>
  <c r="J290" i="4"/>
  <c r="H290" i="4"/>
  <c r="M289" i="4"/>
  <c r="N289" i="4" s="1"/>
  <c r="L289" i="4"/>
  <c r="J289" i="4"/>
  <c r="H289" i="4"/>
  <c r="M287" i="4"/>
  <c r="N287" i="4" s="1"/>
  <c r="L287" i="4"/>
  <c r="J287" i="4"/>
  <c r="H287" i="4"/>
  <c r="M286" i="4"/>
  <c r="N286" i="4" s="1"/>
  <c r="L286" i="4"/>
  <c r="J286" i="4"/>
  <c r="H286" i="4"/>
  <c r="M285" i="4"/>
  <c r="N285" i="4" s="1"/>
  <c r="L285" i="4"/>
  <c r="J285" i="4"/>
  <c r="H285" i="4"/>
  <c r="M284" i="4"/>
  <c r="N284" i="4" s="1"/>
  <c r="L284" i="4"/>
  <c r="J284" i="4"/>
  <c r="H284" i="4"/>
  <c r="M283" i="4"/>
  <c r="N283" i="4" s="1"/>
  <c r="L283" i="4"/>
  <c r="J283" i="4"/>
  <c r="H283" i="4"/>
  <c r="M282" i="4"/>
  <c r="N282" i="4" s="1"/>
  <c r="L282" i="4"/>
  <c r="J282" i="4"/>
  <c r="H282" i="4"/>
  <c r="M281" i="4"/>
  <c r="N281" i="4" s="1"/>
  <c r="L281" i="4"/>
  <c r="J281" i="4"/>
  <c r="H281" i="4"/>
  <c r="N280" i="4"/>
  <c r="M280" i="4"/>
  <c r="L280" i="4"/>
  <c r="J280" i="4"/>
  <c r="H280" i="4"/>
  <c r="M279" i="4"/>
  <c r="N279" i="4" s="1"/>
  <c r="L279" i="4"/>
  <c r="J279" i="4"/>
  <c r="H279" i="4"/>
  <c r="M278" i="4"/>
  <c r="N278" i="4" s="1"/>
  <c r="L278" i="4"/>
  <c r="J278" i="4"/>
  <c r="H278" i="4"/>
  <c r="N277" i="4"/>
  <c r="M277" i="4"/>
  <c r="L277" i="4"/>
  <c r="J277" i="4"/>
  <c r="H277" i="4"/>
  <c r="M276" i="4"/>
  <c r="N276" i="4" s="1"/>
  <c r="L276" i="4"/>
  <c r="J276" i="4"/>
  <c r="H276" i="4"/>
  <c r="M275" i="4"/>
  <c r="N275" i="4" s="1"/>
  <c r="L275" i="4"/>
  <c r="J275" i="4"/>
  <c r="H275" i="4"/>
  <c r="N274" i="4"/>
  <c r="M274" i="4"/>
  <c r="L274" i="4"/>
  <c r="J274" i="4"/>
  <c r="H274" i="4"/>
  <c r="N273" i="4"/>
  <c r="M273" i="4"/>
  <c r="L273" i="4"/>
  <c r="J273" i="4"/>
  <c r="H273" i="4"/>
  <c r="M272" i="4"/>
  <c r="N272" i="4" s="1"/>
  <c r="L272" i="4"/>
  <c r="J272" i="4"/>
  <c r="H272" i="4"/>
  <c r="M271" i="4"/>
  <c r="N271" i="4" s="1"/>
  <c r="L271" i="4"/>
  <c r="J271" i="4"/>
  <c r="H271" i="4"/>
  <c r="N270" i="4"/>
  <c r="M270" i="4"/>
  <c r="L270" i="4"/>
  <c r="J270" i="4"/>
  <c r="H270" i="4"/>
  <c r="M269" i="4"/>
  <c r="N269" i="4" s="1"/>
  <c r="N291" i="4" s="1"/>
  <c r="L269" i="4"/>
  <c r="J269" i="4"/>
  <c r="H269" i="4"/>
  <c r="N251" i="4"/>
  <c r="M251" i="4"/>
  <c r="L251" i="4"/>
  <c r="J251" i="4"/>
  <c r="H251" i="4"/>
  <c r="M250" i="4"/>
  <c r="L250" i="4"/>
  <c r="J250" i="4"/>
  <c r="N250" i="4" s="1"/>
  <c r="H250" i="4"/>
  <c r="M249" i="4"/>
  <c r="L249" i="4"/>
  <c r="J249" i="4"/>
  <c r="H249" i="4"/>
  <c r="M248" i="4"/>
  <c r="L248" i="4"/>
  <c r="J248" i="4"/>
  <c r="H248" i="4"/>
  <c r="N248" i="4" s="1"/>
  <c r="M247" i="4"/>
  <c r="L247" i="4"/>
  <c r="J247" i="4"/>
  <c r="N247" i="4" s="1"/>
  <c r="H247" i="4"/>
  <c r="M246" i="4"/>
  <c r="L246" i="4"/>
  <c r="J246" i="4"/>
  <c r="J267" i="4" s="1"/>
  <c r="H11" i="3" s="1"/>
  <c r="H246" i="4"/>
  <c r="H267" i="4" s="1"/>
  <c r="M245" i="4"/>
  <c r="L245" i="4"/>
  <c r="J245" i="4"/>
  <c r="H245" i="4"/>
  <c r="M221" i="4"/>
  <c r="L221" i="4"/>
  <c r="J221" i="4"/>
  <c r="H221" i="4"/>
  <c r="N221" i="4" s="1"/>
  <c r="M220" i="4"/>
  <c r="L220" i="4"/>
  <c r="J220" i="4"/>
  <c r="H220" i="4"/>
  <c r="N220" i="4" s="1"/>
  <c r="N219" i="4"/>
  <c r="M219" i="4"/>
  <c r="L219" i="4"/>
  <c r="J219" i="4"/>
  <c r="H219" i="4"/>
  <c r="N218" i="4"/>
  <c r="M218" i="4"/>
  <c r="L218" i="4"/>
  <c r="J218" i="4"/>
  <c r="H218" i="4"/>
  <c r="M217" i="4"/>
  <c r="L217" i="4"/>
  <c r="J217" i="4"/>
  <c r="H217" i="4"/>
  <c r="N217" i="4" s="1"/>
  <c r="M216" i="4"/>
  <c r="L216" i="4"/>
  <c r="J216" i="4"/>
  <c r="H216" i="4"/>
  <c r="N216" i="4" s="1"/>
  <c r="M215" i="4"/>
  <c r="L215" i="4"/>
  <c r="J215" i="4"/>
  <c r="H215" i="4"/>
  <c r="N215" i="4" s="1"/>
  <c r="M214" i="4"/>
  <c r="L214" i="4"/>
  <c r="N214" i="4" s="1"/>
  <c r="J214" i="4"/>
  <c r="H214" i="4"/>
  <c r="M213" i="4"/>
  <c r="L213" i="4"/>
  <c r="J213" i="4"/>
  <c r="H213" i="4"/>
  <c r="N213" i="4" s="1"/>
  <c r="M212" i="4"/>
  <c r="L212" i="4"/>
  <c r="J212" i="4"/>
  <c r="H212" i="4"/>
  <c r="N211" i="4"/>
  <c r="M211" i="4"/>
  <c r="L211" i="4"/>
  <c r="J211" i="4"/>
  <c r="H211" i="4"/>
  <c r="M210" i="4"/>
  <c r="L210" i="4"/>
  <c r="J210" i="4"/>
  <c r="N210" i="4" s="1"/>
  <c r="H210" i="4"/>
  <c r="M209" i="4"/>
  <c r="L209" i="4"/>
  <c r="J209" i="4"/>
  <c r="H209" i="4"/>
  <c r="N209" i="4" s="1"/>
  <c r="M208" i="4"/>
  <c r="L208" i="4"/>
  <c r="J208" i="4"/>
  <c r="H208" i="4"/>
  <c r="N208" i="4" s="1"/>
  <c r="M207" i="4"/>
  <c r="L207" i="4"/>
  <c r="J207" i="4"/>
  <c r="H207" i="4"/>
  <c r="N207" i="4" s="1"/>
  <c r="M206" i="4"/>
  <c r="L206" i="4"/>
  <c r="J206" i="4"/>
  <c r="H206" i="4"/>
  <c r="N206" i="4" s="1"/>
  <c r="M205" i="4"/>
  <c r="L205" i="4"/>
  <c r="J205" i="4"/>
  <c r="H205" i="4"/>
  <c r="N205" i="4" s="1"/>
  <c r="M204" i="4"/>
  <c r="J204" i="4"/>
  <c r="H204" i="4"/>
  <c r="M203" i="4"/>
  <c r="L203" i="4"/>
  <c r="J203" i="4"/>
  <c r="H203" i="4"/>
  <c r="N203" i="4" s="1"/>
  <c r="M202" i="4"/>
  <c r="J202" i="4"/>
  <c r="N202" i="4" s="1"/>
  <c r="H202" i="4"/>
  <c r="N201" i="4"/>
  <c r="M201" i="4"/>
  <c r="J201" i="4"/>
  <c r="H201" i="4"/>
  <c r="M200" i="4"/>
  <c r="L200" i="4"/>
  <c r="J200" i="4"/>
  <c r="H200" i="4"/>
  <c r="N200" i="4" s="1"/>
  <c r="N199" i="4"/>
  <c r="M199" i="4"/>
  <c r="J199" i="4"/>
  <c r="H199" i="4"/>
  <c r="M198" i="4"/>
  <c r="J198" i="4"/>
  <c r="H198" i="4"/>
  <c r="N198" i="4" s="1"/>
  <c r="M197" i="4"/>
  <c r="L197" i="4"/>
  <c r="J197" i="4"/>
  <c r="N197" i="4" s="1"/>
  <c r="H197" i="4"/>
  <c r="L189" i="4"/>
  <c r="L188" i="4"/>
  <c r="J188" i="4"/>
  <c r="H188" i="4"/>
  <c r="L187" i="4"/>
  <c r="J187" i="4"/>
  <c r="H187" i="4"/>
  <c r="L186" i="4"/>
  <c r="J186" i="4"/>
  <c r="H186" i="4"/>
  <c r="N185" i="4"/>
  <c r="M185" i="4"/>
  <c r="L185" i="4"/>
  <c r="J185" i="4"/>
  <c r="H185" i="4"/>
  <c r="M184" i="4"/>
  <c r="N184" i="4" s="1"/>
  <c r="L184" i="4"/>
  <c r="J184" i="4"/>
  <c r="H184" i="4"/>
  <c r="N183" i="4"/>
  <c r="M183" i="4"/>
  <c r="L183" i="4"/>
  <c r="J183" i="4"/>
  <c r="H183" i="4"/>
  <c r="M182" i="4"/>
  <c r="N182" i="4" s="1"/>
  <c r="L182" i="4"/>
  <c r="J182" i="4"/>
  <c r="H182" i="4"/>
  <c r="N181" i="4"/>
  <c r="M181" i="4"/>
  <c r="L181" i="4"/>
  <c r="J181" i="4"/>
  <c r="H181" i="4"/>
  <c r="M180" i="4"/>
  <c r="N180" i="4" s="1"/>
  <c r="L180" i="4"/>
  <c r="J180" i="4"/>
  <c r="H180" i="4"/>
  <c r="N179" i="4"/>
  <c r="M179" i="4"/>
  <c r="L179" i="4"/>
  <c r="J179" i="4"/>
  <c r="H179" i="4"/>
  <c r="M178" i="4"/>
  <c r="N178" i="4" s="1"/>
  <c r="L178" i="4"/>
  <c r="J178" i="4"/>
  <c r="H178" i="4"/>
  <c r="N177" i="4"/>
  <c r="M177" i="4"/>
  <c r="L177" i="4"/>
  <c r="J177" i="4"/>
  <c r="H177" i="4"/>
  <c r="N176" i="4"/>
  <c r="M176" i="4"/>
  <c r="L176" i="4"/>
  <c r="J176" i="4"/>
  <c r="H176" i="4"/>
  <c r="N175" i="4"/>
  <c r="M175" i="4"/>
  <c r="L175" i="4"/>
  <c r="J175" i="4"/>
  <c r="H175" i="4"/>
  <c r="M174" i="4"/>
  <c r="N174" i="4" s="1"/>
  <c r="L174" i="4"/>
  <c r="J174" i="4"/>
  <c r="H174" i="4"/>
  <c r="L173" i="4"/>
  <c r="H173" i="4"/>
  <c r="N172" i="4"/>
  <c r="M172" i="4"/>
  <c r="L172" i="4"/>
  <c r="J172" i="4"/>
  <c r="H172" i="4"/>
  <c r="N171" i="4"/>
  <c r="M171" i="4"/>
  <c r="L171" i="4"/>
  <c r="J171" i="4"/>
  <c r="H171" i="4"/>
  <c r="M170" i="4"/>
  <c r="N170" i="4" s="1"/>
  <c r="L170" i="4"/>
  <c r="J170" i="4"/>
  <c r="H170" i="4"/>
  <c r="M169" i="4"/>
  <c r="N169" i="4" s="1"/>
  <c r="L169" i="4"/>
  <c r="J169" i="4"/>
  <c r="H169" i="4"/>
  <c r="M168" i="4"/>
  <c r="N168" i="4" s="1"/>
  <c r="L168" i="4"/>
  <c r="J168" i="4"/>
  <c r="H168" i="4"/>
  <c r="N167" i="4"/>
  <c r="M167" i="4"/>
  <c r="L167" i="4"/>
  <c r="J167" i="4"/>
  <c r="H167" i="4"/>
  <c r="N166" i="4"/>
  <c r="M166" i="4"/>
  <c r="L166" i="4"/>
  <c r="J166" i="4"/>
  <c r="H166" i="4"/>
  <c r="M165" i="4"/>
  <c r="N165" i="4" s="1"/>
  <c r="L165" i="4"/>
  <c r="J165" i="4"/>
  <c r="H165" i="4"/>
  <c r="N164" i="4"/>
  <c r="M164" i="4"/>
  <c r="L164" i="4"/>
  <c r="J164" i="4"/>
  <c r="H164" i="4"/>
  <c r="N163" i="4"/>
  <c r="M163" i="4"/>
  <c r="L163" i="4"/>
  <c r="J163" i="4"/>
  <c r="H163" i="4"/>
  <c r="N162" i="4"/>
  <c r="M162" i="4"/>
  <c r="L162" i="4"/>
  <c r="J162" i="4"/>
  <c r="H162" i="4"/>
  <c r="M161" i="4"/>
  <c r="N161" i="4" s="1"/>
  <c r="L161" i="4"/>
  <c r="J161" i="4"/>
  <c r="H161" i="4"/>
  <c r="M160" i="4"/>
  <c r="N160" i="4" s="1"/>
  <c r="L160" i="4"/>
  <c r="J160" i="4"/>
  <c r="H160" i="4"/>
  <c r="L159" i="4"/>
  <c r="H159" i="4"/>
  <c r="M158" i="4"/>
  <c r="L158" i="4"/>
  <c r="J158" i="4"/>
  <c r="H158" i="4"/>
  <c r="N157" i="4"/>
  <c r="M157" i="4"/>
  <c r="L157" i="4"/>
  <c r="J157" i="4"/>
  <c r="H157" i="4"/>
  <c r="M156" i="4"/>
  <c r="L156" i="4"/>
  <c r="J156" i="4"/>
  <c r="H156" i="4"/>
  <c r="N156" i="4" s="1"/>
  <c r="M155" i="4"/>
  <c r="L155" i="4"/>
  <c r="J155" i="4"/>
  <c r="N155" i="4" s="1"/>
  <c r="H155" i="4"/>
  <c r="M154" i="4"/>
  <c r="L154" i="4"/>
  <c r="J154" i="4"/>
  <c r="H154" i="4"/>
  <c r="N154" i="4" s="1"/>
  <c r="N153" i="4"/>
  <c r="M153" i="4"/>
  <c r="L153" i="4"/>
  <c r="J153" i="4"/>
  <c r="H153" i="4"/>
  <c r="M152" i="4"/>
  <c r="L152" i="4"/>
  <c r="J152" i="4"/>
  <c r="H152" i="4"/>
  <c r="M151" i="4"/>
  <c r="L151" i="4"/>
  <c r="J151" i="4"/>
  <c r="N151" i="4" s="1"/>
  <c r="H151" i="4"/>
  <c r="M150" i="4"/>
  <c r="L150" i="4"/>
  <c r="J150" i="4"/>
  <c r="H150" i="4"/>
  <c r="M149" i="4"/>
  <c r="L149" i="4"/>
  <c r="N149" i="4" s="1"/>
  <c r="J149" i="4"/>
  <c r="H149" i="4"/>
  <c r="M148" i="4"/>
  <c r="L148" i="4"/>
  <c r="J148" i="4"/>
  <c r="H148" i="4"/>
  <c r="N148" i="4" s="1"/>
  <c r="N147" i="4"/>
  <c r="M147" i="4"/>
  <c r="L147" i="4"/>
  <c r="J147" i="4"/>
  <c r="H147" i="4"/>
  <c r="M146" i="4"/>
  <c r="L146" i="4"/>
  <c r="J146" i="4"/>
  <c r="H146" i="4"/>
  <c r="M145" i="4"/>
  <c r="L145" i="4"/>
  <c r="N145" i="4" s="1"/>
  <c r="J145" i="4"/>
  <c r="H145" i="4"/>
  <c r="M144" i="4"/>
  <c r="L144" i="4"/>
  <c r="J144" i="4"/>
  <c r="H144" i="4"/>
  <c r="N144" i="4" s="1"/>
  <c r="N143" i="4"/>
  <c r="M143" i="4"/>
  <c r="L143" i="4"/>
  <c r="J143" i="4"/>
  <c r="H143" i="4"/>
  <c r="M142" i="4"/>
  <c r="L142" i="4"/>
  <c r="J142" i="4"/>
  <c r="H142" i="4"/>
  <c r="N142" i="4" s="1"/>
  <c r="N141" i="4"/>
  <c r="M141" i="4"/>
  <c r="L141" i="4"/>
  <c r="J141" i="4"/>
  <c r="H141" i="4"/>
  <c r="M140" i="4"/>
  <c r="L140" i="4"/>
  <c r="J140" i="4"/>
  <c r="H140" i="4"/>
  <c r="N140" i="4" s="1"/>
  <c r="N139" i="4"/>
  <c r="M139" i="4"/>
  <c r="L139" i="4"/>
  <c r="J139" i="4"/>
  <c r="H139" i="4"/>
  <c r="M138" i="4"/>
  <c r="L138" i="4"/>
  <c r="J138" i="4"/>
  <c r="H138" i="4"/>
  <c r="N138" i="4" s="1"/>
  <c r="M137" i="4"/>
  <c r="L137" i="4"/>
  <c r="N137" i="4" s="1"/>
  <c r="J137" i="4"/>
  <c r="H137" i="4"/>
  <c r="N136" i="4"/>
  <c r="M136" i="4"/>
  <c r="L136" i="4"/>
  <c r="J136" i="4"/>
  <c r="H136" i="4"/>
  <c r="M135" i="4"/>
  <c r="L135" i="4"/>
  <c r="J135" i="4"/>
  <c r="H135" i="4"/>
  <c r="M134" i="4"/>
  <c r="L134" i="4"/>
  <c r="J134" i="4"/>
  <c r="H134" i="4"/>
  <c r="M133" i="4"/>
  <c r="L133" i="4"/>
  <c r="L195" i="4" s="1"/>
  <c r="J9" i="3" s="1"/>
  <c r="J133" i="4"/>
  <c r="H133" i="4"/>
  <c r="N133" i="4" s="1"/>
  <c r="N132" i="4"/>
  <c r="M132" i="4"/>
  <c r="L132" i="4"/>
  <c r="J132" i="4"/>
  <c r="H132" i="4"/>
  <c r="M131" i="4"/>
  <c r="L131" i="4"/>
  <c r="J131" i="4"/>
  <c r="N131" i="4" s="1"/>
  <c r="H131" i="4"/>
  <c r="M130" i="4"/>
  <c r="L130" i="4"/>
  <c r="J130" i="4"/>
  <c r="H130" i="4"/>
  <c r="N130" i="4" s="1"/>
  <c r="M129" i="4"/>
  <c r="L129" i="4"/>
  <c r="J129" i="4"/>
  <c r="H129" i="4"/>
  <c r="N129" i="4" s="1"/>
  <c r="N128" i="4"/>
  <c r="M128" i="4"/>
  <c r="L128" i="4"/>
  <c r="J128" i="4"/>
  <c r="H128" i="4"/>
  <c r="M127" i="4"/>
  <c r="L127" i="4"/>
  <c r="J127" i="4"/>
  <c r="N127" i="4" s="1"/>
  <c r="H127" i="4"/>
  <c r="M126" i="4"/>
  <c r="L126" i="4"/>
  <c r="J126" i="4"/>
  <c r="H126" i="4"/>
  <c r="N125" i="4"/>
  <c r="M125" i="4"/>
  <c r="L125" i="4"/>
  <c r="J125" i="4"/>
  <c r="H125" i="4"/>
  <c r="M123" i="4"/>
  <c r="M101" i="4"/>
  <c r="L101" i="4"/>
  <c r="J101" i="4"/>
  <c r="N101" i="4" s="1"/>
  <c r="H101" i="4"/>
  <c r="M100" i="4"/>
  <c r="L100" i="4"/>
  <c r="J100" i="4"/>
  <c r="H100" i="4"/>
  <c r="N100" i="4" s="1"/>
  <c r="M99" i="4"/>
  <c r="L99" i="4"/>
  <c r="J99" i="4"/>
  <c r="H99" i="4"/>
  <c r="N99" i="4" s="1"/>
  <c r="M98" i="4"/>
  <c r="L98" i="4"/>
  <c r="J98" i="4"/>
  <c r="H98" i="4"/>
  <c r="N98" i="4" s="1"/>
  <c r="M97" i="4"/>
  <c r="L97" i="4"/>
  <c r="J97" i="4"/>
  <c r="N97" i="4" s="1"/>
  <c r="H97" i="4"/>
  <c r="M96" i="4"/>
  <c r="L96" i="4"/>
  <c r="J96" i="4"/>
  <c r="H96" i="4"/>
  <c r="N96" i="4" s="1"/>
  <c r="M95" i="4"/>
  <c r="L95" i="4"/>
  <c r="N95" i="4" s="1"/>
  <c r="M94" i="4"/>
  <c r="L94" i="4"/>
  <c r="N94" i="4" s="1"/>
  <c r="M93" i="4"/>
  <c r="L93" i="4"/>
  <c r="N93" i="4" s="1"/>
  <c r="J93" i="4"/>
  <c r="N92" i="4"/>
  <c r="M92" i="4"/>
  <c r="L92" i="4"/>
  <c r="J92" i="4"/>
  <c r="H92" i="4"/>
  <c r="M91" i="4"/>
  <c r="H91" i="4"/>
  <c r="F91" i="4"/>
  <c r="L91" i="4" s="1"/>
  <c r="M90" i="4"/>
  <c r="H90" i="4"/>
  <c r="F90" i="4"/>
  <c r="N89" i="4"/>
  <c r="M89" i="4"/>
  <c r="L89" i="4"/>
  <c r="J89" i="4"/>
  <c r="H89" i="4"/>
  <c r="N88" i="4"/>
  <c r="M88" i="4"/>
  <c r="L88" i="4"/>
  <c r="J88" i="4"/>
  <c r="H88" i="4"/>
  <c r="M87" i="4"/>
  <c r="L87" i="4"/>
  <c r="J87" i="4"/>
  <c r="H87" i="4"/>
  <c r="M86" i="4"/>
  <c r="L86" i="4"/>
  <c r="J86" i="4"/>
  <c r="H86" i="4"/>
  <c r="N86" i="4" s="1"/>
  <c r="M85" i="4"/>
  <c r="L85" i="4"/>
  <c r="N85" i="4" s="1"/>
  <c r="J85" i="4"/>
  <c r="H85" i="4"/>
  <c r="N84" i="4"/>
  <c r="M84" i="4"/>
  <c r="L84" i="4"/>
  <c r="J84" i="4"/>
  <c r="H84" i="4"/>
  <c r="M83" i="4"/>
  <c r="L83" i="4"/>
  <c r="J83" i="4"/>
  <c r="H83" i="4"/>
  <c r="N83" i="4" s="1"/>
  <c r="M82" i="4"/>
  <c r="L82" i="4"/>
  <c r="J82" i="4"/>
  <c r="H82" i="4"/>
  <c r="N82" i="4" s="1"/>
  <c r="M81" i="4"/>
  <c r="L81" i="4"/>
  <c r="J81" i="4"/>
  <c r="N81" i="4" s="1"/>
  <c r="H81" i="4"/>
  <c r="N80" i="4"/>
  <c r="M80" i="4"/>
  <c r="L80" i="4"/>
  <c r="J80" i="4"/>
  <c r="H80" i="4"/>
  <c r="M79" i="4"/>
  <c r="H79" i="4"/>
  <c r="N79" i="4" s="1"/>
  <c r="M78" i="4"/>
  <c r="L78" i="4"/>
  <c r="J78" i="4"/>
  <c r="H78" i="4"/>
  <c r="M77" i="4"/>
  <c r="L77" i="4"/>
  <c r="J77" i="4"/>
  <c r="H77" i="4"/>
  <c r="M60" i="4"/>
  <c r="L60" i="4"/>
  <c r="H60" i="4"/>
  <c r="N60" i="4" s="1"/>
  <c r="M59" i="4"/>
  <c r="L59" i="4"/>
  <c r="J59" i="4"/>
  <c r="H59" i="4"/>
  <c r="N59" i="4" s="1"/>
  <c r="M58" i="4"/>
  <c r="L58" i="4"/>
  <c r="J58" i="4"/>
  <c r="H58" i="4"/>
  <c r="M57" i="4"/>
  <c r="L57" i="4"/>
  <c r="J57" i="4"/>
  <c r="H57" i="4"/>
  <c r="N57" i="4" s="1"/>
  <c r="N56" i="4"/>
  <c r="M56" i="4"/>
  <c r="L56" i="4"/>
  <c r="J56" i="4"/>
  <c r="H56" i="4"/>
  <c r="M55" i="4"/>
  <c r="L55" i="4"/>
  <c r="J55" i="4"/>
  <c r="H55" i="4"/>
  <c r="N55" i="4" s="1"/>
  <c r="M54" i="4"/>
  <c r="L54" i="4"/>
  <c r="L75" i="4" s="1"/>
  <c r="J7" i="3" s="1"/>
  <c r="J54" i="4"/>
  <c r="H54" i="4"/>
  <c r="M53" i="4"/>
  <c r="L53" i="4"/>
  <c r="J53" i="4"/>
  <c r="J75" i="4" s="1"/>
  <c r="H7" i="3" s="1"/>
  <c r="H53" i="4"/>
  <c r="N53" i="4" s="1"/>
  <c r="N31" i="4"/>
  <c r="M31" i="4"/>
  <c r="L31" i="4"/>
  <c r="M30" i="4"/>
  <c r="L30" i="4"/>
  <c r="N30" i="4" s="1"/>
  <c r="M29" i="4"/>
  <c r="L29" i="4"/>
  <c r="H29" i="4"/>
  <c r="M28" i="4"/>
  <c r="L28" i="4"/>
  <c r="J28" i="4"/>
  <c r="H28" i="4"/>
  <c r="N28" i="4" s="1"/>
  <c r="M27" i="4"/>
  <c r="L27" i="4"/>
  <c r="J27" i="4"/>
  <c r="H27" i="4"/>
  <c r="N27" i="4" s="1"/>
  <c r="M26" i="4"/>
  <c r="L26" i="4"/>
  <c r="N26" i="4" s="1"/>
  <c r="J26" i="4"/>
  <c r="H26" i="4"/>
  <c r="M25" i="4"/>
  <c r="L25" i="4"/>
  <c r="J25" i="4"/>
  <c r="H25" i="4"/>
  <c r="M24" i="4"/>
  <c r="L24" i="4"/>
  <c r="J24" i="4"/>
  <c r="H24" i="4"/>
  <c r="N24" i="4" s="1"/>
  <c r="N23" i="4"/>
  <c r="M23" i="4"/>
  <c r="L23" i="4"/>
  <c r="J23" i="4"/>
  <c r="H23" i="4"/>
  <c r="M22" i="4"/>
  <c r="L22" i="4"/>
  <c r="N22" i="4" s="1"/>
  <c r="J22" i="4"/>
  <c r="H22" i="4"/>
  <c r="M21" i="4"/>
  <c r="L21" i="4"/>
  <c r="J21" i="4"/>
  <c r="H21" i="4"/>
  <c r="M20" i="4"/>
  <c r="L20" i="4"/>
  <c r="J20" i="4"/>
  <c r="H20" i="4"/>
  <c r="N20" i="4" s="1"/>
  <c r="N19" i="4"/>
  <c r="M19" i="4"/>
  <c r="L19" i="4"/>
  <c r="J19" i="4"/>
  <c r="H19" i="4"/>
  <c r="M18" i="4"/>
  <c r="L18" i="4"/>
  <c r="N18" i="4" s="1"/>
  <c r="J18" i="4"/>
  <c r="H18" i="4"/>
  <c r="M17" i="4"/>
  <c r="L17" i="4"/>
  <c r="J17" i="4"/>
  <c r="H17" i="4"/>
  <c r="N17" i="4" s="1"/>
  <c r="M16" i="4"/>
  <c r="L16" i="4"/>
  <c r="J16" i="4"/>
  <c r="H16" i="4"/>
  <c r="N16" i="4" s="1"/>
  <c r="N15" i="4"/>
  <c r="M15" i="4"/>
  <c r="L15" i="4"/>
  <c r="J15" i="4"/>
  <c r="H15" i="4"/>
  <c r="M14" i="4"/>
  <c r="L14" i="4"/>
  <c r="N14" i="4" s="1"/>
  <c r="J14" i="4"/>
  <c r="H14" i="4"/>
  <c r="M13" i="4"/>
  <c r="L13" i="4"/>
  <c r="J13" i="4"/>
  <c r="H13" i="4"/>
  <c r="N13" i="4" s="1"/>
  <c r="N12" i="4"/>
  <c r="M12" i="4"/>
  <c r="L12" i="4"/>
  <c r="J12" i="4"/>
  <c r="H12" i="4"/>
  <c r="N11" i="4"/>
  <c r="M11" i="4"/>
  <c r="L11" i="4"/>
  <c r="J11" i="4"/>
  <c r="H11" i="4"/>
  <c r="M10" i="4"/>
  <c r="L10" i="4"/>
  <c r="N10" i="4" s="1"/>
  <c r="J10" i="4"/>
  <c r="H10" i="4"/>
  <c r="M9" i="4"/>
  <c r="L9" i="4"/>
  <c r="J9" i="4"/>
  <c r="H9" i="4"/>
  <c r="M8" i="4"/>
  <c r="L8" i="4"/>
  <c r="N8" i="4" s="1"/>
  <c r="J8" i="4"/>
  <c r="H8" i="4"/>
  <c r="M7" i="4"/>
  <c r="L7" i="4"/>
  <c r="J7" i="4"/>
  <c r="H7" i="4"/>
  <c r="N7" i="4" s="1"/>
  <c r="M6" i="4"/>
  <c r="L6" i="4"/>
  <c r="N6" i="4" s="1"/>
  <c r="J6" i="4"/>
  <c r="H6" i="4"/>
  <c r="M5" i="4"/>
  <c r="L5" i="4"/>
  <c r="J5" i="4"/>
  <c r="H5" i="4"/>
  <c r="N5" i="4" s="1"/>
  <c r="C1" i="4"/>
  <c r="A16" i="3"/>
  <c r="A15" i="3"/>
  <c r="A14" i="3"/>
  <c r="A13" i="3"/>
  <c r="A12" i="3"/>
  <c r="A11" i="3"/>
  <c r="A10" i="3"/>
  <c r="A9" i="3"/>
  <c r="A8" i="3"/>
  <c r="A7" i="3"/>
  <c r="A6" i="3"/>
  <c r="A2" i="3"/>
  <c r="L12" i="2"/>
  <c r="L11" i="2"/>
  <c r="L10" i="2"/>
  <c r="J7" i="2"/>
  <c r="J6" i="2"/>
  <c r="D30" i="1"/>
  <c r="E21" i="1"/>
  <c r="E20" i="1"/>
  <c r="E17" i="1"/>
  <c r="E15" i="1"/>
  <c r="E14" i="1"/>
  <c r="E13" i="1"/>
  <c r="E12" i="1"/>
  <c r="E11" i="1"/>
  <c r="E9" i="1"/>
  <c r="E7" i="1"/>
  <c r="K221" i="6" l="1"/>
  <c r="F221" i="6"/>
  <c r="L221" i="6" s="1"/>
  <c r="K244" i="6"/>
  <c r="F244" i="6"/>
  <c r="L244" i="6" s="1"/>
  <c r="K204" i="8"/>
  <c r="H213" i="8"/>
  <c r="G13" i="7" s="1"/>
  <c r="H13" i="7" s="1"/>
  <c r="N267" i="4"/>
  <c r="F11" i="3"/>
  <c r="L11" i="3" s="1"/>
  <c r="F16" i="3"/>
  <c r="L16" i="3" s="1"/>
  <c r="N411" i="4"/>
  <c r="K141" i="8"/>
  <c r="K150" i="8" s="1"/>
  <c r="F150" i="8"/>
  <c r="E9" i="7" s="1"/>
  <c r="F9" i="7" s="1"/>
  <c r="K9" i="7" s="1"/>
  <c r="K182" i="8"/>
  <c r="F192" i="8"/>
  <c r="E12" i="7" s="1"/>
  <c r="F12" i="7" s="1"/>
  <c r="H192" i="8"/>
  <c r="G12" i="7" s="1"/>
  <c r="H12" i="7" s="1"/>
  <c r="K186" i="8"/>
  <c r="K279" i="6"/>
  <c r="F279" i="6"/>
  <c r="L279" i="6" s="1"/>
  <c r="F165" i="6"/>
  <c r="L165" i="6" s="1"/>
  <c r="K165" i="6"/>
  <c r="K255" i="8"/>
  <c r="L269" i="6"/>
  <c r="N78" i="4"/>
  <c r="F14" i="3"/>
  <c r="H27" i="6"/>
  <c r="H7" i="5" s="1"/>
  <c r="H195" i="4"/>
  <c r="F9" i="3" s="1"/>
  <c r="L9" i="3" s="1"/>
  <c r="H387" i="4"/>
  <c r="K132" i="8"/>
  <c r="K194" i="8"/>
  <c r="E201" i="8"/>
  <c r="F201" i="8" s="1"/>
  <c r="N29" i="4"/>
  <c r="J195" i="4"/>
  <c r="H9" i="3" s="1"/>
  <c r="N134" i="4"/>
  <c r="N246" i="4"/>
  <c r="L87" i="6"/>
  <c r="L249" i="6"/>
  <c r="L293" i="6"/>
  <c r="E297" i="6"/>
  <c r="L390" i="6"/>
  <c r="N25" i="4"/>
  <c r="N152" i="4"/>
  <c r="L363" i="4"/>
  <c r="J14" i="3" s="1"/>
  <c r="N410" i="4"/>
  <c r="E349" i="6"/>
  <c r="H357" i="6"/>
  <c r="H17" i="5" s="1"/>
  <c r="N21" i="4"/>
  <c r="L82" i="6"/>
  <c r="L132" i="6"/>
  <c r="H115" i="6"/>
  <c r="H9" i="5" s="1"/>
  <c r="E106" i="6"/>
  <c r="L118" i="6"/>
  <c r="K7" i="8"/>
  <c r="K111" i="8"/>
  <c r="H339" i="4"/>
  <c r="H75" i="4"/>
  <c r="F7" i="3" s="1"/>
  <c r="L7" i="3" s="1"/>
  <c r="J339" i="4"/>
  <c r="H13" i="3" s="1"/>
  <c r="L411" i="4"/>
  <c r="J16" i="3" s="1"/>
  <c r="F269" i="6"/>
  <c r="F13" i="5" s="1"/>
  <c r="L13" i="5" s="1"/>
  <c r="K156" i="8"/>
  <c r="K192" i="8" s="1"/>
  <c r="N9" i="4"/>
  <c r="N51" i="4" s="1"/>
  <c r="N135" i="4"/>
  <c r="H243" i="4"/>
  <c r="J387" i="4"/>
  <c r="H15" i="3" s="1"/>
  <c r="L35" i="6"/>
  <c r="F55" i="6"/>
  <c r="L55" i="6" s="1"/>
  <c r="L307" i="6"/>
  <c r="E432" i="6"/>
  <c r="F467" i="6"/>
  <c r="F19" i="5" s="1"/>
  <c r="H66" i="8"/>
  <c r="G6" i="7" s="1"/>
  <c r="H6" i="7" s="1"/>
  <c r="E121" i="6"/>
  <c r="L369" i="6"/>
  <c r="L392" i="6"/>
  <c r="K16" i="6"/>
  <c r="J51" i="4"/>
  <c r="H6" i="3" s="1"/>
  <c r="H51" i="4"/>
  <c r="H123" i="4"/>
  <c r="F8" i="3" s="1"/>
  <c r="L90" i="4"/>
  <c r="L123" i="4" s="1"/>
  <c r="J8" i="3" s="1"/>
  <c r="J90" i="4"/>
  <c r="N90" i="4" s="1"/>
  <c r="N158" i="4"/>
  <c r="L291" i="4"/>
  <c r="J12" i="3" s="1"/>
  <c r="L387" i="4"/>
  <c r="J15" i="3" s="1"/>
  <c r="L67" i="6"/>
  <c r="L225" i="6"/>
  <c r="L271" i="6"/>
  <c r="L427" i="6"/>
  <c r="L452" i="6"/>
  <c r="K233" i="8"/>
  <c r="F27" i="6"/>
  <c r="F7" i="5" s="1"/>
  <c r="H225" i="6"/>
  <c r="H11" i="5" s="1"/>
  <c r="L212" i="6"/>
  <c r="L326" i="6"/>
  <c r="K202" i="8"/>
  <c r="K143" i="8"/>
  <c r="H150" i="8"/>
  <c r="G9" i="7" s="1"/>
  <c r="H9" i="7" s="1"/>
  <c r="L243" i="4"/>
  <c r="J10" i="3" s="1"/>
  <c r="F225" i="6"/>
  <c r="F11" i="5" s="1"/>
  <c r="L11" i="5" s="1"/>
  <c r="H291" i="6"/>
  <c r="H16" i="5" s="1"/>
  <c r="H15" i="5" s="1"/>
  <c r="E94" i="8"/>
  <c r="F94" i="8" s="1"/>
  <c r="K94" i="8" s="1"/>
  <c r="K108" i="8" s="1"/>
  <c r="N77" i="4"/>
  <c r="N150" i="4"/>
  <c r="N245" i="4"/>
  <c r="J291" i="4"/>
  <c r="H12" i="3" s="1"/>
  <c r="N408" i="4"/>
  <c r="L7" i="6"/>
  <c r="L27" i="6" s="1"/>
  <c r="L57" i="6"/>
  <c r="H181" i="6"/>
  <c r="L241" i="6"/>
  <c r="L246" i="6"/>
  <c r="H467" i="6"/>
  <c r="H19" i="5" s="1"/>
  <c r="N58" i="4"/>
  <c r="N91" i="4"/>
  <c r="L359" i="6"/>
  <c r="E366" i="6"/>
  <c r="G122" i="8"/>
  <c r="H122" i="8" s="1"/>
  <c r="K121" i="8"/>
  <c r="J243" i="4"/>
  <c r="H10" i="3" s="1"/>
  <c r="K250" i="6"/>
  <c r="F250" i="6"/>
  <c r="L250" i="6" s="1"/>
  <c r="H255" i="8"/>
  <c r="G16" i="7" s="1"/>
  <c r="H16" i="7" s="1"/>
  <c r="L467" i="6"/>
  <c r="N87" i="4"/>
  <c r="J91" i="4"/>
  <c r="N146" i="4"/>
  <c r="N204" i="4"/>
  <c r="L267" i="4"/>
  <c r="J11" i="3" s="1"/>
  <c r="L52" i="6"/>
  <c r="L141" i="6"/>
  <c r="L147" i="6"/>
  <c r="F207" i="6"/>
  <c r="L207" i="6" s="1"/>
  <c r="L321" i="6"/>
  <c r="E48" i="8"/>
  <c r="F48" i="8" s="1"/>
  <c r="K48" i="8" s="1"/>
  <c r="K66" i="8" s="1"/>
  <c r="F276" i="8"/>
  <c r="E17" i="7" s="1"/>
  <c r="F17" i="7" s="1"/>
  <c r="N54" i="4"/>
  <c r="N75" i="4" s="1"/>
  <c r="N126" i="4"/>
  <c r="N195" i="4" s="1"/>
  <c r="N212" i="4"/>
  <c r="L131" i="6"/>
  <c r="L217" i="6"/>
  <c r="L243" i="6"/>
  <c r="L306" i="6"/>
  <c r="F255" i="8"/>
  <c r="E16" i="7" s="1"/>
  <c r="F16" i="7" s="1"/>
  <c r="K257" i="8"/>
  <c r="L51" i="4"/>
  <c r="J6" i="3" s="1"/>
  <c r="N392" i="4"/>
  <c r="L341" i="6"/>
  <c r="H291" i="4"/>
  <c r="F12" i="3" s="1"/>
  <c r="K95" i="8"/>
  <c r="K271" i="8"/>
  <c r="E41" i="6"/>
  <c r="G96" i="8"/>
  <c r="H96" i="8" s="1"/>
  <c r="K96" i="8" s="1"/>
  <c r="G272" i="8"/>
  <c r="H272" i="8" s="1"/>
  <c r="K272" i="8" s="1"/>
  <c r="N249" i="4"/>
  <c r="N372" i="4"/>
  <c r="L156" i="6"/>
  <c r="L331" i="6"/>
  <c r="K122" i="8" l="1"/>
  <c r="K129" i="8" s="1"/>
  <c r="H129" i="8"/>
  <c r="G8" i="7" s="1"/>
  <c r="H8" i="7" s="1"/>
  <c r="K8" i="7" s="1"/>
  <c r="N363" i="4"/>
  <c r="K366" i="6"/>
  <c r="F366" i="6"/>
  <c r="K297" i="6"/>
  <c r="F297" i="6"/>
  <c r="N339" i="4"/>
  <c r="F13" i="3"/>
  <c r="L13" i="3" s="1"/>
  <c r="J123" i="4"/>
  <c r="H8" i="3" s="1"/>
  <c r="H24" i="3" s="1"/>
  <c r="H5" i="2" s="1"/>
  <c r="N123" i="4"/>
  <c r="K17" i="7"/>
  <c r="K41" i="6"/>
  <c r="F41" i="6"/>
  <c r="L8" i="3"/>
  <c r="J24" i="3"/>
  <c r="J5" i="2" s="1"/>
  <c r="K121" i="6"/>
  <c r="F121" i="6"/>
  <c r="K276" i="8"/>
  <c r="K432" i="6"/>
  <c r="F432" i="6"/>
  <c r="L432" i="6" s="1"/>
  <c r="H14" i="7"/>
  <c r="F66" i="8"/>
  <c r="E6" i="7" s="1"/>
  <c r="F6" i="7" s="1"/>
  <c r="L14" i="3"/>
  <c r="H276" i="8"/>
  <c r="G17" i="7" s="1"/>
  <c r="H17" i="7" s="1"/>
  <c r="H108" i="8"/>
  <c r="G7" i="7" s="1"/>
  <c r="H7" i="7" s="1"/>
  <c r="H10" i="7" s="1"/>
  <c r="L19" i="5"/>
  <c r="F291" i="6"/>
  <c r="F16" i="5" s="1"/>
  <c r="K12" i="7"/>
  <c r="K14" i="7" s="1"/>
  <c r="F14" i="7"/>
  <c r="N243" i="4"/>
  <c r="F10" i="3"/>
  <c r="L10" i="3" s="1"/>
  <c r="L12" i="3"/>
  <c r="F6" i="3"/>
  <c r="H413" i="4"/>
  <c r="F108" i="8"/>
  <c r="E7" i="7" s="1"/>
  <c r="F7" i="7" s="1"/>
  <c r="L7" i="5"/>
  <c r="K106" i="6"/>
  <c r="F106" i="6"/>
  <c r="H12" i="5"/>
  <c r="H10" i="5"/>
  <c r="H6" i="5" s="1"/>
  <c r="H27" i="5" s="1"/>
  <c r="H6" i="2" s="1"/>
  <c r="K16" i="7"/>
  <c r="F18" i="7"/>
  <c r="K201" i="8"/>
  <c r="K213" i="8" s="1"/>
  <c r="F213" i="8"/>
  <c r="E13" i="7" s="1"/>
  <c r="F13" i="7" s="1"/>
  <c r="K13" i="7" s="1"/>
  <c r="H18" i="7"/>
  <c r="L291" i="6"/>
  <c r="K349" i="6"/>
  <c r="F349" i="6"/>
  <c r="L349" i="6" s="1"/>
  <c r="N387" i="4"/>
  <c r="F15" i="3"/>
  <c r="L15" i="3" s="1"/>
  <c r="H20" i="7" l="1"/>
  <c r="H7" i="2" s="1"/>
  <c r="F20" i="7"/>
  <c r="F7" i="2" s="1"/>
  <c r="K18" i="7"/>
  <c r="L106" i="6"/>
  <c r="L115" i="6" s="1"/>
  <c r="F115" i="6"/>
  <c r="F9" i="5" s="1"/>
  <c r="L9" i="5" s="1"/>
  <c r="L297" i="6"/>
  <c r="L357" i="6" s="1"/>
  <c r="F357" i="6"/>
  <c r="F17" i="5" s="1"/>
  <c r="L17" i="5" s="1"/>
  <c r="L366" i="6"/>
  <c r="L445" i="6" s="1"/>
  <c r="F445" i="6"/>
  <c r="F18" i="5" s="1"/>
  <c r="L18" i="5" s="1"/>
  <c r="L6" i="3"/>
  <c r="F24" i="3"/>
  <c r="L41" i="6"/>
  <c r="L49" i="6" s="1"/>
  <c r="F49" i="6"/>
  <c r="F8" i="5" s="1"/>
  <c r="K7" i="7"/>
  <c r="J18" i="2"/>
  <c r="D10" i="1" s="1"/>
  <c r="F15" i="5"/>
  <c r="L16" i="5"/>
  <c r="L15" i="5" s="1"/>
  <c r="F10" i="7"/>
  <c r="K6" i="7"/>
  <c r="L121" i="6"/>
  <c r="L181" i="6" s="1"/>
  <c r="L270" i="6" s="1"/>
  <c r="F181" i="6"/>
  <c r="L8" i="5" l="1"/>
  <c r="F5" i="2"/>
  <c r="L24" i="3"/>
  <c r="L7" i="2"/>
  <c r="F12" i="5"/>
  <c r="L12" i="5" s="1"/>
  <c r="F10" i="5"/>
  <c r="L10" i="5" s="1"/>
  <c r="K10" i="7"/>
  <c r="K20" i="7" s="1"/>
  <c r="H18" i="2"/>
  <c r="D6" i="1" s="1"/>
  <c r="F6" i="5" l="1"/>
  <c r="F27" i="5" s="1"/>
  <c r="F6" i="2" s="1"/>
  <c r="L6" i="2" s="1"/>
  <c r="D14" i="1"/>
  <c r="D13" i="1"/>
  <c r="D7" i="1"/>
  <c r="D8" i="1" s="1"/>
  <c r="L6" i="5"/>
  <c r="L27" i="5" s="1"/>
  <c r="F18" i="2"/>
  <c r="D3" i="1" s="1"/>
  <c r="D5" i="1" s="1"/>
  <c r="L5" i="2"/>
  <c r="L18" i="2" s="1"/>
  <c r="D12" i="1" l="1"/>
  <c r="D11" i="1"/>
  <c r="D9" i="1"/>
  <c r="D16" i="1"/>
  <c r="D17" i="1"/>
  <c r="D18" i="1" l="1"/>
  <c r="D19" i="1" l="1"/>
  <c r="D20" i="1" s="1"/>
  <c r="D22" i="1" l="1"/>
  <c r="D23" i="1" s="1"/>
  <c r="D24" i="1" l="1"/>
  <c r="D25" i="1" s="1"/>
  <c r="D32" i="1" s="1"/>
  <c r="D31" i="1"/>
  <c r="F8" i="1"/>
  <c r="F5" i="1"/>
  <c r="F18" i="1"/>
  <c r="F20" i="1"/>
  <c r="F21" i="1"/>
  <c r="F22" i="1" l="1"/>
  <c r="F23" i="1" s="1"/>
  <c r="F19" i="1"/>
</calcChain>
</file>

<file path=xl/sharedStrings.xml><?xml version="1.0" encoding="utf-8"?>
<sst xmlns="http://schemas.openxmlformats.org/spreadsheetml/2006/main" count="2542" uniqueCount="1047">
  <si>
    <r>
      <rPr>
        <sz val="11"/>
        <color theme="1"/>
        <rFont val="Noto Sans CJK SC"/>
        <family val="2"/>
      </rPr>
      <t xml:space="preserve">역촌동 </t>
    </r>
    <r>
      <rPr>
        <sz val="11"/>
        <color theme="1"/>
        <rFont val="맑은 고딕"/>
        <family val="1"/>
        <charset val="129"/>
      </rPr>
      <t>36-9</t>
    </r>
  </si>
  <si>
    <t>비    목</t>
  </si>
  <si>
    <t>금 액</t>
  </si>
  <si>
    <t>구 성 내 역</t>
  </si>
  <si>
    <r>
      <rPr>
        <sz val="11"/>
        <color theme="1"/>
        <rFont val="Noto Sans CJK SC"/>
        <family val="2"/>
      </rPr>
      <t>구성비</t>
    </r>
    <r>
      <rPr>
        <sz val="11"/>
        <color theme="1"/>
        <rFont val="양재튼튼체B"/>
        <family val="1"/>
        <charset val="129"/>
      </rPr>
      <t>(%)</t>
    </r>
  </si>
  <si>
    <t>전회까지기성</t>
  </si>
  <si>
    <t>금회기성</t>
  </si>
  <si>
    <t>기성누계</t>
  </si>
  <si>
    <t>기성잔액</t>
  </si>
  <si>
    <t>비  고</t>
  </si>
  <si>
    <t>적용</t>
  </si>
  <si>
    <t>순공사원가</t>
  </si>
  <si>
    <t>자재비</t>
  </si>
  <si>
    <t>직접자재비</t>
  </si>
  <si>
    <t>간접자재비</t>
  </si>
  <si>
    <t>소  계</t>
  </si>
  <si>
    <t>노무비</t>
  </si>
  <si>
    <t>직접노무비</t>
  </si>
  <si>
    <t>간접노무비</t>
  </si>
  <si>
    <t>소계</t>
  </si>
  <si>
    <t>경비</t>
  </si>
  <si>
    <t>운반비</t>
  </si>
  <si>
    <t>기계경비</t>
  </si>
  <si>
    <t>산재보험료</t>
  </si>
  <si>
    <t>고용보험료</t>
  </si>
  <si>
    <t>건강보험료</t>
  </si>
  <si>
    <t>연금보험료</t>
  </si>
  <si>
    <t>퇴직공제부금비</t>
  </si>
  <si>
    <r>
      <rPr>
        <sz val="11"/>
        <rFont val="양재튼튼체B"/>
        <family val="1"/>
        <charset val="129"/>
      </rPr>
      <t>100</t>
    </r>
    <r>
      <rPr>
        <sz val="11"/>
        <rFont val="Noto Sans CJK SC"/>
        <family val="2"/>
      </rPr>
      <t>억 이상</t>
    </r>
  </si>
  <si>
    <t>73feel@naver.com</t>
  </si>
  <si>
    <t>안전관리비</t>
  </si>
  <si>
    <t>기타경비</t>
  </si>
  <si>
    <t>합계</t>
  </si>
  <si>
    <t>간접공사비</t>
  </si>
  <si>
    <t>일반관리비</t>
  </si>
  <si>
    <t xml:space="preserve"> </t>
  </si>
  <si>
    <t>이윤</t>
  </si>
  <si>
    <t>공사비 합계</t>
  </si>
  <si>
    <t>부가세</t>
  </si>
  <si>
    <t>총공사비계</t>
  </si>
  <si>
    <t xml:space="preserve">부가세포함 </t>
  </si>
  <si>
    <t>십만단위이하절사</t>
  </si>
  <si>
    <t>총   괄   집   계   표</t>
  </si>
  <si>
    <t>품          명</t>
  </si>
  <si>
    <t>규       격</t>
  </si>
  <si>
    <t>단위</t>
  </si>
  <si>
    <t>수량</t>
  </si>
  <si>
    <t>재  료  비</t>
  </si>
  <si>
    <t>노  무  비</t>
  </si>
  <si>
    <t>경    비</t>
  </si>
  <si>
    <t>합    계</t>
  </si>
  <si>
    <t>비고</t>
  </si>
  <si>
    <t>단가</t>
  </si>
  <si>
    <t>금액</t>
  </si>
  <si>
    <r>
      <rPr>
        <sz val="14"/>
        <color theme="1"/>
        <rFont val="맑은 고딕"/>
        <family val="3"/>
        <charset val="129"/>
      </rPr>
      <t xml:space="preserve">01 </t>
    </r>
    <r>
      <rPr>
        <sz val="14"/>
        <color theme="1"/>
        <rFont val="Noto Sans CJK SC"/>
        <family val="2"/>
      </rPr>
      <t>건축공사</t>
    </r>
  </si>
  <si>
    <t>식</t>
  </si>
  <si>
    <r>
      <rPr>
        <sz val="14"/>
        <color theme="1"/>
        <rFont val="맑은 고딕"/>
        <family val="3"/>
        <charset val="129"/>
      </rPr>
      <t xml:space="preserve">02 </t>
    </r>
    <r>
      <rPr>
        <sz val="14"/>
        <color theme="1"/>
        <rFont val="Noto Sans CJK SC"/>
        <family val="2"/>
      </rPr>
      <t>기계공사</t>
    </r>
  </si>
  <si>
    <r>
      <rPr>
        <sz val="14"/>
        <color theme="1"/>
        <rFont val="맑은 고딕"/>
        <family val="3"/>
        <charset val="129"/>
      </rPr>
      <t xml:space="preserve">03 </t>
    </r>
    <r>
      <rPr>
        <sz val="14"/>
        <color theme="1"/>
        <rFont val="Noto Sans CJK SC"/>
        <family val="2"/>
      </rPr>
      <t>전기공사</t>
    </r>
  </si>
  <si>
    <r>
      <rPr>
        <sz val="14"/>
        <color theme="1"/>
        <rFont val="맑은 고딕"/>
        <family val="3"/>
        <charset val="129"/>
      </rPr>
      <t xml:space="preserve">[ </t>
    </r>
    <r>
      <rPr>
        <sz val="14"/>
        <color theme="1"/>
        <rFont val="Noto Sans CJK SC"/>
        <family val="2"/>
      </rPr>
      <t xml:space="preserve">합                  계 </t>
    </r>
    <r>
      <rPr>
        <sz val="14"/>
        <color theme="1"/>
        <rFont val="맑은 고딕"/>
        <family val="3"/>
        <charset val="129"/>
      </rPr>
      <t>]</t>
    </r>
  </si>
  <si>
    <t>End Of File(Ver 6.0)</t>
  </si>
  <si>
    <t>마지막열은 지우지 마시오</t>
  </si>
  <si>
    <t>건  축  집   계   표</t>
  </si>
  <si>
    <r>
      <rPr>
        <b/>
        <sz val="11"/>
        <color theme="1"/>
        <rFont val="맑은 고딕"/>
        <family val="3"/>
        <charset val="129"/>
      </rPr>
      <t xml:space="preserve">01.  </t>
    </r>
    <r>
      <rPr>
        <b/>
        <sz val="11"/>
        <color theme="1"/>
        <rFont val="Noto Sans CJK SC"/>
        <family val="2"/>
      </rPr>
      <t>건축공사</t>
    </r>
  </si>
  <si>
    <t>0101</t>
  </si>
  <si>
    <t>010101</t>
  </si>
  <si>
    <t>010105</t>
  </si>
  <si>
    <t>010108</t>
  </si>
  <si>
    <r>
      <rPr>
        <sz val="11"/>
        <color theme="1"/>
        <rFont val="맑은 고딕"/>
        <family val="3"/>
        <charset val="129"/>
      </rPr>
      <t xml:space="preserve">[ </t>
    </r>
    <r>
      <rPr>
        <sz val="11"/>
        <color theme="1"/>
        <rFont val="Noto Sans CJK SC"/>
        <family val="2"/>
      </rPr>
      <t xml:space="preserve">합                  계 </t>
    </r>
    <r>
      <rPr>
        <sz val="11"/>
        <color theme="1"/>
        <rFont val="맑은 고딕"/>
        <family val="3"/>
        <charset val="129"/>
      </rPr>
      <t>]</t>
    </r>
  </si>
  <si>
    <t>공종</t>
  </si>
  <si>
    <t>코드</t>
  </si>
  <si>
    <t>수 량</t>
  </si>
  <si>
    <t>금  액</t>
  </si>
  <si>
    <t>금   액</t>
  </si>
  <si>
    <r>
      <rPr>
        <b/>
        <sz val="11"/>
        <color theme="1"/>
        <rFont val="맑은 고딕"/>
        <family val="3"/>
        <charset val="129"/>
      </rPr>
      <t xml:space="preserve">0101  </t>
    </r>
    <r>
      <rPr>
        <b/>
        <sz val="11"/>
        <color theme="1"/>
        <rFont val="Noto Sans CJK SC"/>
        <family val="2"/>
      </rPr>
      <t>가  설  공  사</t>
    </r>
  </si>
  <si>
    <t>91AA0002</t>
  </si>
  <si>
    <t>콘테이너 가설건물</t>
  </si>
  <si>
    <t>3000*6000</t>
  </si>
  <si>
    <t>EA</t>
  </si>
  <si>
    <t>장비사용료</t>
  </si>
  <si>
    <t>월</t>
  </si>
  <si>
    <r>
      <rPr>
        <sz val="11"/>
        <rFont val="Noto Sans CJK SC"/>
        <family val="2"/>
      </rPr>
      <t>가설울타리</t>
    </r>
    <r>
      <rPr>
        <sz val="11"/>
        <rFont val="맑은 고딕"/>
        <family val="3"/>
        <charset val="129"/>
      </rPr>
      <t>/RPP</t>
    </r>
    <r>
      <rPr>
        <sz val="11"/>
        <rFont val="Noto Sans CJK SC"/>
        <family val="2"/>
      </rPr>
      <t>방음벽</t>
    </r>
  </si>
  <si>
    <t xml:space="preserve"> H 3.0</t>
  </si>
  <si>
    <t>M2</t>
  </si>
  <si>
    <t>91BA0111</t>
  </si>
  <si>
    <t>경계 및 준공 측량비</t>
  </si>
  <si>
    <t>91BA0120</t>
  </si>
  <si>
    <t>가설전기 설치비</t>
  </si>
  <si>
    <t>가설용수 설치비</t>
  </si>
  <si>
    <t>가설전기 사용료</t>
  </si>
  <si>
    <t>가설용수 사용료</t>
  </si>
  <si>
    <t>91BA0202</t>
  </si>
  <si>
    <t>잡자재 구입비</t>
  </si>
  <si>
    <t>91BA0210</t>
  </si>
  <si>
    <t>폐기물처리비</t>
  </si>
  <si>
    <r>
      <rPr>
        <sz val="11"/>
        <rFont val="Noto Sans CJK SC"/>
        <family val="2"/>
      </rPr>
      <t>우</t>
    </r>
    <r>
      <rPr>
        <sz val="11"/>
        <rFont val="맑은 고딕"/>
        <family val="3"/>
        <charset val="129"/>
      </rPr>
      <t xml:space="preserve">, </t>
    </r>
    <r>
      <rPr>
        <sz val="11"/>
        <rFont val="Noto Sans CJK SC"/>
        <family val="2"/>
      </rPr>
      <t xml:space="preserve">오수 </t>
    </r>
    <r>
      <rPr>
        <sz val="11"/>
        <rFont val="맑은 고딕"/>
        <family val="3"/>
        <charset val="129"/>
      </rPr>
      <t>CCTV</t>
    </r>
  </si>
  <si>
    <t>기존 침전물 제거 별도</t>
  </si>
  <si>
    <t>도로복구비</t>
  </si>
  <si>
    <r>
      <rPr>
        <sz val="11"/>
        <rFont val="Noto Sans CJK SC"/>
        <family val="2"/>
      </rPr>
      <t>공사용 진입도로</t>
    </r>
    <r>
      <rPr>
        <sz val="11"/>
        <rFont val="맑은 고딕"/>
        <family val="3"/>
        <charset val="129"/>
      </rPr>
      <t>(</t>
    </r>
    <r>
      <rPr>
        <sz val="11"/>
        <rFont val="Noto Sans CJK SC"/>
        <family val="2"/>
      </rPr>
      <t>인도포함</t>
    </r>
    <r>
      <rPr>
        <sz val="11"/>
        <rFont val="맑은 고딕"/>
        <family val="3"/>
        <charset val="129"/>
      </rPr>
      <t>)</t>
    </r>
  </si>
  <si>
    <t>91BA0330</t>
  </si>
  <si>
    <t>현장정리비</t>
  </si>
  <si>
    <t>마감</t>
  </si>
  <si>
    <t>91BA0400</t>
  </si>
  <si>
    <t>이동식화장실</t>
  </si>
  <si>
    <t>세륜시설</t>
  </si>
  <si>
    <t>준공청소비</t>
  </si>
  <si>
    <t>수평규준틀</t>
  </si>
  <si>
    <t>먹매김</t>
  </si>
  <si>
    <t>조립말비계</t>
  </si>
  <si>
    <r>
      <rPr>
        <sz val="11"/>
        <rFont val="Noto Sans CJK SC"/>
        <family val="2"/>
      </rPr>
      <t>강관</t>
    </r>
    <r>
      <rPr>
        <sz val="11"/>
        <rFont val="맑은 고딕"/>
        <family val="3"/>
        <charset val="129"/>
      </rPr>
      <t>,6</t>
    </r>
    <r>
      <rPr>
        <sz val="11"/>
        <rFont val="Noto Sans CJK SC"/>
        <family val="2"/>
      </rPr>
      <t>개월이하</t>
    </r>
    <r>
      <rPr>
        <sz val="11"/>
        <rFont val="맑은 고딕"/>
        <family val="3"/>
        <charset val="129"/>
      </rPr>
      <t>,1</t>
    </r>
    <r>
      <rPr>
        <sz val="11"/>
        <rFont val="Noto Sans CJK SC"/>
        <family val="2"/>
      </rPr>
      <t>단</t>
    </r>
  </si>
  <si>
    <t>조</t>
  </si>
  <si>
    <t>외부쌍줄비계</t>
  </si>
  <si>
    <t>외벽 발판두줄설치</t>
  </si>
  <si>
    <t>낙하물방지망</t>
  </si>
  <si>
    <t>보호막설치</t>
  </si>
  <si>
    <t>PE</t>
  </si>
  <si>
    <t>콘크리트면보양</t>
  </si>
  <si>
    <t>현장정리</t>
  </si>
  <si>
    <t>골조</t>
  </si>
  <si>
    <t>재해안전기술지도</t>
  </si>
  <si>
    <r>
      <rPr>
        <b/>
        <sz val="11"/>
        <color theme="1"/>
        <rFont val="맑은 고딕"/>
        <family val="3"/>
        <charset val="129"/>
      </rPr>
      <t xml:space="preserve">[ </t>
    </r>
    <r>
      <rPr>
        <b/>
        <sz val="11"/>
        <color theme="1"/>
        <rFont val="Noto Sans CJK SC"/>
        <family val="2"/>
      </rPr>
      <t xml:space="preserve">합           계 </t>
    </r>
    <r>
      <rPr>
        <b/>
        <sz val="11"/>
        <color theme="1"/>
        <rFont val="맑은 고딕"/>
        <family val="3"/>
        <charset val="129"/>
      </rPr>
      <t>]</t>
    </r>
  </si>
  <si>
    <r>
      <rPr>
        <b/>
        <sz val="11"/>
        <color theme="1"/>
        <rFont val="맑은 고딕"/>
        <family val="3"/>
        <charset val="129"/>
      </rPr>
      <t xml:space="preserve">0102 </t>
    </r>
    <r>
      <rPr>
        <b/>
        <sz val="11"/>
        <color theme="1"/>
        <rFont val="Noto Sans CJK SC"/>
        <family val="2"/>
      </rPr>
      <t xml:space="preserve">구조  보강 공사 </t>
    </r>
    <r>
      <rPr>
        <b/>
        <sz val="11"/>
        <color theme="1"/>
        <rFont val="맑은 고딕"/>
        <family val="3"/>
        <charset val="129"/>
      </rPr>
      <t>(Dr. M PILE)</t>
    </r>
  </si>
  <si>
    <t>파일 코어천공</t>
  </si>
  <si>
    <t>개소</t>
  </si>
  <si>
    <r>
      <rPr>
        <sz val="11"/>
        <rFont val="맑은 고딕"/>
        <family val="3"/>
        <charset val="129"/>
      </rPr>
      <t xml:space="preserve">Dr. HP PILE </t>
    </r>
    <r>
      <rPr>
        <sz val="11"/>
        <rFont val="Noto Sans CJK SC"/>
        <family val="2"/>
      </rPr>
      <t>설치</t>
    </r>
  </si>
  <si>
    <t>M</t>
  </si>
  <si>
    <t>영커 코어천공 및 설치</t>
  </si>
  <si>
    <t>그라우팅</t>
  </si>
  <si>
    <t>속채움</t>
  </si>
  <si>
    <t>정착판 설치 및 두부정리</t>
  </si>
  <si>
    <t>플랜트 설치 및 해체</t>
  </si>
  <si>
    <t>압입장치 설치 및 해체</t>
  </si>
  <si>
    <t xml:space="preserve">운반비 및 경비 </t>
  </si>
  <si>
    <r>
      <rPr>
        <b/>
        <sz val="11"/>
        <color theme="1"/>
        <rFont val="맑은 고딕"/>
        <family val="3"/>
        <charset val="129"/>
      </rPr>
      <t xml:space="preserve">0103 </t>
    </r>
    <r>
      <rPr>
        <b/>
        <sz val="11"/>
        <color theme="1"/>
        <rFont val="Noto Sans CJK SC"/>
        <family val="2"/>
      </rPr>
      <t>철 근 콘 크 리 트 공 사</t>
    </r>
  </si>
  <si>
    <t>91GA0112</t>
  </si>
  <si>
    <t>레미콘</t>
  </si>
  <si>
    <t>30MPa</t>
  </si>
  <si>
    <t>M3</t>
  </si>
  <si>
    <t>모르터르</t>
  </si>
  <si>
    <r>
      <rPr>
        <sz val="11"/>
        <rFont val="Noto Sans CJK SC"/>
        <family val="2"/>
      </rPr>
      <t>무근 옥상</t>
    </r>
    <r>
      <rPr>
        <sz val="11"/>
        <rFont val="맑은 고딕"/>
        <family val="3"/>
        <charset val="129"/>
      </rPr>
      <t xml:space="preserve">, </t>
    </r>
    <r>
      <rPr>
        <sz val="11"/>
        <rFont val="Noto Sans CJK SC"/>
        <family val="2"/>
      </rPr>
      <t xml:space="preserve">주차장 </t>
    </r>
    <r>
      <rPr>
        <sz val="11"/>
        <rFont val="맑은 고딕"/>
        <family val="3"/>
        <charset val="129"/>
      </rPr>
      <t>24Mpa</t>
    </r>
  </si>
  <si>
    <t>이형철근</t>
  </si>
  <si>
    <t>HD10</t>
  </si>
  <si>
    <t>TON</t>
  </si>
  <si>
    <t>HD13</t>
  </si>
  <si>
    <t>HD19</t>
  </si>
  <si>
    <t>91GA0139</t>
  </si>
  <si>
    <t>CEMICAL</t>
  </si>
  <si>
    <t>RE500 D10</t>
  </si>
  <si>
    <t>RE500 D13</t>
  </si>
  <si>
    <t>91GA0145</t>
  </si>
  <si>
    <t>RE500 D19</t>
  </si>
  <si>
    <t>거푸집 설치 해체</t>
  </si>
  <si>
    <t>유로폼</t>
  </si>
  <si>
    <t>91GA0147</t>
  </si>
  <si>
    <t>합판거푸집</t>
  </si>
  <si>
    <t>표면처리</t>
  </si>
  <si>
    <t>치핑</t>
  </si>
  <si>
    <t>010102</t>
  </si>
  <si>
    <t>91DA0250</t>
  </si>
  <si>
    <t>타설홀</t>
  </si>
  <si>
    <t>철근 가공 조립</t>
  </si>
  <si>
    <t>현장가공</t>
  </si>
  <si>
    <t>콘크리트 타설</t>
  </si>
  <si>
    <t>장비사용 타설</t>
  </si>
  <si>
    <t>소운반</t>
  </si>
  <si>
    <t>현장내</t>
  </si>
  <si>
    <t>인</t>
  </si>
  <si>
    <t>장비대</t>
  </si>
  <si>
    <t>펌프카</t>
  </si>
  <si>
    <t>회</t>
  </si>
  <si>
    <t>포터블</t>
  </si>
  <si>
    <r>
      <rPr>
        <sz val="11"/>
        <rFont val="맑은 고딕"/>
        <family val="3"/>
        <charset val="129"/>
      </rPr>
      <t>PF</t>
    </r>
    <r>
      <rPr>
        <sz val="11"/>
        <rFont val="Noto Sans CJK SC"/>
        <family val="2"/>
      </rPr>
      <t>보드</t>
    </r>
  </si>
  <si>
    <r>
      <rPr>
        <sz val="11"/>
        <rFont val="맑은 고딕"/>
        <family val="3"/>
        <charset val="129"/>
      </rPr>
      <t>T90,</t>
    </r>
    <r>
      <rPr>
        <sz val="11"/>
        <rFont val="Noto Sans CJK SC"/>
        <family val="2"/>
      </rPr>
      <t>외부 벽체</t>
    </r>
  </si>
  <si>
    <r>
      <rPr>
        <sz val="11"/>
        <rFont val="맑은 고딕"/>
        <family val="3"/>
        <charset val="129"/>
      </rPr>
      <t>T50,1</t>
    </r>
    <r>
      <rPr>
        <sz val="11"/>
        <rFont val="Noto Sans CJK SC"/>
        <family val="2"/>
      </rPr>
      <t>층 벽체</t>
    </r>
  </si>
  <si>
    <r>
      <rPr>
        <sz val="11"/>
        <rFont val="맑은 고딕"/>
        <family val="3"/>
        <charset val="129"/>
      </rPr>
      <t>T100,</t>
    </r>
    <r>
      <rPr>
        <sz val="11"/>
        <rFont val="Noto Sans CJK SC"/>
        <family val="2"/>
      </rPr>
      <t>주차장 천장</t>
    </r>
  </si>
  <si>
    <r>
      <rPr>
        <sz val="11"/>
        <rFont val="Noto Sans CJK SC"/>
        <family val="2"/>
      </rPr>
      <t xml:space="preserve">비드법보온판 </t>
    </r>
    <r>
      <rPr>
        <sz val="11"/>
        <rFont val="맑은 고딕"/>
        <family val="3"/>
        <charset val="129"/>
      </rPr>
      <t>2</t>
    </r>
    <r>
      <rPr>
        <sz val="11"/>
        <rFont val="Noto Sans CJK SC"/>
        <family val="2"/>
      </rPr>
      <t>종</t>
    </r>
    <r>
      <rPr>
        <sz val="11"/>
        <rFont val="맑은 고딕"/>
        <family val="3"/>
        <charset val="129"/>
      </rPr>
      <t>1</t>
    </r>
    <r>
      <rPr>
        <sz val="11"/>
        <rFont val="Noto Sans CJK SC"/>
        <family val="2"/>
      </rPr>
      <t>호</t>
    </r>
  </si>
  <si>
    <r>
      <rPr>
        <sz val="11"/>
        <rFont val="맑은 고딕"/>
        <family val="3"/>
        <charset val="129"/>
      </rPr>
      <t>T40,</t>
    </r>
    <r>
      <rPr>
        <sz val="11"/>
        <rFont val="Noto Sans CJK SC"/>
        <family val="2"/>
      </rPr>
      <t>실내 바닥</t>
    </r>
  </si>
  <si>
    <t>우레탄뿜칠</t>
  </si>
  <si>
    <r>
      <rPr>
        <sz val="11"/>
        <rFont val="맑은 고딕"/>
        <family val="3"/>
        <charset val="129"/>
      </rPr>
      <t>H</t>
    </r>
    <r>
      <rPr>
        <sz val="11"/>
        <rFont val="Noto Sans CJK SC"/>
        <family val="2"/>
      </rPr>
      <t>빔</t>
    </r>
    <r>
      <rPr>
        <sz val="11"/>
        <rFont val="맑은 고딕"/>
        <family val="3"/>
        <charset val="129"/>
      </rPr>
      <t xml:space="preserve">, </t>
    </r>
    <r>
      <rPr>
        <sz val="11"/>
        <rFont val="Noto Sans CJK SC"/>
        <family val="2"/>
      </rPr>
      <t>외벽접합부 충진</t>
    </r>
  </si>
  <si>
    <t>압출법보온판</t>
  </si>
  <si>
    <r>
      <rPr>
        <sz val="11"/>
        <rFont val="맑은 고딕"/>
        <family val="3"/>
        <charset val="129"/>
      </rPr>
      <t>T180,</t>
    </r>
    <r>
      <rPr>
        <sz val="11"/>
        <rFont val="Noto Sans CJK SC"/>
        <family val="2"/>
      </rPr>
      <t>지붕</t>
    </r>
  </si>
  <si>
    <r>
      <rPr>
        <b/>
        <sz val="11"/>
        <color theme="1"/>
        <rFont val="맑은 고딕"/>
        <family val="3"/>
        <charset val="129"/>
      </rPr>
      <t xml:space="preserve">0104 </t>
    </r>
    <r>
      <rPr>
        <b/>
        <sz val="11"/>
        <color theme="1"/>
        <rFont val="Noto Sans CJK SC"/>
        <family val="2"/>
      </rPr>
      <t>철 골 공 사</t>
    </r>
  </si>
  <si>
    <r>
      <rPr>
        <sz val="11"/>
        <rFont val="맑은 고딕"/>
        <family val="3"/>
        <charset val="129"/>
      </rPr>
      <t>H</t>
    </r>
    <r>
      <rPr>
        <sz val="11"/>
        <rFont val="Noto Sans CJK SC"/>
        <family val="2"/>
      </rPr>
      <t xml:space="preserve">형강 </t>
    </r>
    <r>
      <rPr>
        <sz val="11"/>
        <rFont val="맑은 고딕"/>
        <family val="3"/>
        <charset val="129"/>
      </rPr>
      <t>SS275</t>
    </r>
  </si>
  <si>
    <t>H-200*100*5.5*8</t>
  </si>
  <si>
    <t>H-200*200*8*12</t>
  </si>
  <si>
    <t>H-244*175*7*11</t>
  </si>
  <si>
    <t>H-250*125*6*9</t>
  </si>
  <si>
    <r>
      <rPr>
        <sz val="11"/>
        <rFont val="맑은 고딕"/>
        <family val="3"/>
        <charset val="129"/>
      </rPr>
      <t>H</t>
    </r>
    <r>
      <rPr>
        <sz val="11"/>
        <rFont val="Noto Sans CJK SC"/>
        <family val="2"/>
      </rPr>
      <t xml:space="preserve">형강 </t>
    </r>
    <r>
      <rPr>
        <sz val="11"/>
        <rFont val="맑은 고딕"/>
        <family val="3"/>
        <charset val="129"/>
      </rPr>
      <t>SM355</t>
    </r>
  </si>
  <si>
    <t>H-250*250*9*14</t>
  </si>
  <si>
    <t>H-294*200*8*12</t>
  </si>
  <si>
    <t>H-300*150*6.5*9</t>
  </si>
  <si>
    <t>H-300*300*10*15</t>
  </si>
  <si>
    <r>
      <rPr>
        <sz val="11"/>
        <rFont val="맑은 고딕"/>
        <family val="3"/>
        <charset val="129"/>
      </rPr>
      <t>L</t>
    </r>
    <r>
      <rPr>
        <sz val="11"/>
        <rFont val="Noto Sans CJK SC"/>
        <family val="2"/>
      </rPr>
      <t>형강</t>
    </r>
  </si>
  <si>
    <t>L-75*75*6</t>
  </si>
  <si>
    <t>PL</t>
  </si>
  <si>
    <t>PL=9T</t>
  </si>
  <si>
    <t>PL=12T</t>
  </si>
  <si>
    <t>PL=14T</t>
  </si>
  <si>
    <t>PL=15T</t>
  </si>
  <si>
    <t>PL=16T</t>
  </si>
  <si>
    <t>PL=19T</t>
  </si>
  <si>
    <t>PL=20T</t>
  </si>
  <si>
    <t>PL=24T</t>
  </si>
  <si>
    <t>PL-3.2T</t>
  </si>
  <si>
    <t>T.S BOLT</t>
  </si>
  <si>
    <t>M20(F10T)</t>
  </si>
  <si>
    <t>CHEMICAL</t>
  </si>
  <si>
    <t>RE500 + M20</t>
  </si>
  <si>
    <t>ANCHOR</t>
  </si>
  <si>
    <t>M12</t>
  </si>
  <si>
    <t>DECK PLATE</t>
  </si>
  <si>
    <t>D10 2-D8 T:150</t>
  </si>
  <si>
    <t>STUD BOLT</t>
  </si>
  <si>
    <t>Φ19</t>
  </si>
  <si>
    <t>그라인딩</t>
  </si>
  <si>
    <t>EPOXY</t>
  </si>
  <si>
    <t>AVG.10mm</t>
  </si>
  <si>
    <t>KG</t>
  </si>
  <si>
    <t>녹막이페인트</t>
  </si>
  <si>
    <t>광명단</t>
  </si>
  <si>
    <t>내화페인트</t>
  </si>
  <si>
    <r>
      <rPr>
        <sz val="11"/>
        <rFont val="맑은 고딕"/>
        <family val="3"/>
        <charset val="129"/>
      </rPr>
      <t>2</t>
    </r>
    <r>
      <rPr>
        <sz val="11"/>
        <rFont val="Noto Sans CJK SC"/>
        <family val="2"/>
      </rPr>
      <t>시간</t>
    </r>
  </si>
  <si>
    <t>철골 철판 제작비</t>
  </si>
  <si>
    <t>보통구조</t>
  </si>
  <si>
    <t>철골 및 철판 설치비</t>
  </si>
  <si>
    <r>
      <rPr>
        <sz val="11"/>
        <rFont val="Noto Sans CJK SC"/>
        <family val="2"/>
      </rPr>
      <t xml:space="preserve">보통구조 </t>
    </r>
    <r>
      <rPr>
        <sz val="11"/>
        <rFont val="맑은 고딕"/>
        <family val="3"/>
        <charset val="129"/>
      </rPr>
      <t>(</t>
    </r>
    <r>
      <rPr>
        <sz val="11"/>
        <rFont val="Noto Sans CJK SC"/>
        <family val="2"/>
      </rPr>
      <t>인력설치 포함</t>
    </r>
    <r>
      <rPr>
        <sz val="11"/>
        <rFont val="맑은 고딕"/>
        <family val="3"/>
        <charset val="129"/>
      </rPr>
      <t>)</t>
    </r>
  </si>
  <si>
    <r>
      <rPr>
        <sz val="11"/>
        <rFont val="Noto Sans CJK SC"/>
        <family val="2"/>
      </rPr>
      <t xml:space="preserve">크레인 </t>
    </r>
    <r>
      <rPr>
        <sz val="11"/>
        <rFont val="맑은 고딕"/>
        <family val="3"/>
        <charset val="129"/>
      </rPr>
      <t>(</t>
    </r>
    <r>
      <rPr>
        <sz val="11"/>
        <rFont val="Noto Sans CJK SC"/>
        <family val="2"/>
      </rPr>
      <t>철골용</t>
    </r>
    <r>
      <rPr>
        <sz val="11"/>
        <rFont val="맑은 고딕"/>
        <family val="3"/>
        <charset val="129"/>
      </rPr>
      <t>)</t>
    </r>
  </si>
  <si>
    <r>
      <rPr>
        <sz val="11"/>
        <rFont val="Noto Sans CJK SC"/>
        <family val="2"/>
      </rPr>
      <t xml:space="preserve">크레인 </t>
    </r>
    <r>
      <rPr>
        <sz val="11"/>
        <rFont val="맑은 고딕"/>
        <family val="3"/>
        <charset val="129"/>
      </rPr>
      <t>(</t>
    </r>
    <r>
      <rPr>
        <sz val="11"/>
        <rFont val="Noto Sans CJK SC"/>
        <family val="2"/>
      </rPr>
      <t>데크 양중용</t>
    </r>
    <r>
      <rPr>
        <sz val="11"/>
        <rFont val="맑은 고딕"/>
        <family val="3"/>
        <charset val="129"/>
      </rPr>
      <t>)</t>
    </r>
  </si>
  <si>
    <t>지게차</t>
  </si>
  <si>
    <t>철골계단 설치공사</t>
  </si>
  <si>
    <r>
      <rPr>
        <sz val="11"/>
        <rFont val="맑은 고딕"/>
        <family val="3"/>
        <charset val="129"/>
      </rPr>
      <t>H</t>
    </r>
    <r>
      <rPr>
        <sz val="11"/>
        <rFont val="Noto Sans CJK SC"/>
        <family val="2"/>
      </rPr>
      <t>형강</t>
    </r>
  </si>
  <si>
    <r>
      <rPr>
        <sz val="11"/>
        <rFont val="Noto Sans CJK SC"/>
        <family val="2"/>
      </rPr>
      <t>ㅁ</t>
    </r>
    <r>
      <rPr>
        <sz val="11"/>
        <rFont val="맑은 고딕"/>
        <family val="3"/>
        <charset val="129"/>
      </rPr>
      <t>-200*100*6</t>
    </r>
  </si>
  <si>
    <r>
      <rPr>
        <sz val="11"/>
        <rFont val="Noto Sans CJK SC"/>
        <family val="2"/>
      </rPr>
      <t>ㅁ</t>
    </r>
    <r>
      <rPr>
        <sz val="11"/>
        <rFont val="맑은 고딕"/>
        <family val="3"/>
        <charset val="129"/>
      </rPr>
      <t>-150*75*4.5</t>
    </r>
  </si>
  <si>
    <t>PL=4.5T</t>
  </si>
  <si>
    <t>PL=6T</t>
  </si>
  <si>
    <t>크레인</t>
  </si>
  <si>
    <t>철판 보강공사</t>
  </si>
  <si>
    <t>HILTI HUV M10</t>
  </si>
  <si>
    <t>AVG.5mm</t>
  </si>
  <si>
    <t>스카이</t>
  </si>
  <si>
    <r>
      <rPr>
        <b/>
        <sz val="11"/>
        <color theme="1"/>
        <rFont val="맑은 고딕"/>
        <family val="3"/>
        <charset val="129"/>
      </rPr>
      <t xml:space="preserve">0105 </t>
    </r>
    <r>
      <rPr>
        <b/>
        <sz val="11"/>
        <color theme="1"/>
        <rFont val="Noto Sans CJK SC"/>
        <family val="2"/>
      </rPr>
      <t xml:space="preserve">습식공사 </t>
    </r>
    <r>
      <rPr>
        <b/>
        <sz val="11"/>
        <color theme="1"/>
        <rFont val="맑은 고딕"/>
        <family val="3"/>
        <charset val="129"/>
      </rPr>
      <t>(</t>
    </r>
    <r>
      <rPr>
        <b/>
        <sz val="11"/>
        <color theme="1"/>
        <rFont val="Noto Sans CJK SC"/>
        <family val="2"/>
      </rPr>
      <t>조적</t>
    </r>
    <r>
      <rPr>
        <b/>
        <sz val="11"/>
        <color theme="1"/>
        <rFont val="맑은 고딕"/>
        <family val="3"/>
        <charset val="129"/>
      </rPr>
      <t xml:space="preserve">, </t>
    </r>
    <r>
      <rPr>
        <b/>
        <sz val="11"/>
        <color theme="1"/>
        <rFont val="Noto Sans CJK SC"/>
        <family val="2"/>
      </rPr>
      <t>미장</t>
    </r>
    <r>
      <rPr>
        <b/>
        <sz val="11"/>
        <color theme="1"/>
        <rFont val="맑은 고딕"/>
        <family val="3"/>
        <charset val="129"/>
      </rPr>
      <t xml:space="preserve">, </t>
    </r>
    <r>
      <rPr>
        <b/>
        <sz val="11"/>
        <color theme="1"/>
        <rFont val="Noto Sans CJK SC"/>
        <family val="2"/>
      </rPr>
      <t>방</t>
    </r>
    <r>
      <rPr>
        <b/>
        <sz val="11"/>
        <color theme="1"/>
        <rFont val="맑은 고딕"/>
        <family val="3"/>
        <charset val="129"/>
      </rPr>
      <t xml:space="preserve">, </t>
    </r>
    <r>
      <rPr>
        <b/>
        <sz val="11"/>
        <color theme="1"/>
        <rFont val="Noto Sans CJK SC"/>
        <family val="2"/>
      </rPr>
      <t>타일</t>
    </r>
    <r>
      <rPr>
        <b/>
        <sz val="11"/>
        <color theme="1"/>
        <rFont val="맑은 고딕"/>
        <family val="3"/>
        <charset val="129"/>
      </rPr>
      <t>)</t>
    </r>
  </si>
  <si>
    <t>010107</t>
  </si>
  <si>
    <t>91IA0111</t>
  </si>
  <si>
    <t xml:space="preserve">시멘트 블럭쌓기 </t>
  </si>
  <si>
    <t xml:space="preserve">보강 쌓기 </t>
  </si>
  <si>
    <t>매</t>
  </si>
  <si>
    <t xml:space="preserve">바탕고르기 </t>
  </si>
  <si>
    <t xml:space="preserve">바닥 </t>
  </si>
  <si>
    <t>콘크리트 면처리</t>
  </si>
  <si>
    <t>벽</t>
  </si>
  <si>
    <t>천정</t>
  </si>
  <si>
    <r>
      <rPr>
        <sz val="11"/>
        <color theme="1"/>
        <rFont val="Noto Sans CJK SC"/>
        <family val="2"/>
      </rPr>
      <t xml:space="preserve">계단 밑 </t>
    </r>
    <r>
      <rPr>
        <sz val="11"/>
        <color theme="1"/>
        <rFont val="맑은 고딕"/>
        <family val="3"/>
        <charset val="129"/>
      </rPr>
      <t>RC</t>
    </r>
  </si>
  <si>
    <t xml:space="preserve">주차장 바닥 </t>
  </si>
  <si>
    <t>경량 기포콘크리트</t>
  </si>
  <si>
    <t>옥상</t>
  </si>
  <si>
    <t xml:space="preserve">바닥 난방 </t>
  </si>
  <si>
    <r>
      <rPr>
        <sz val="11"/>
        <color theme="1"/>
        <rFont val="Noto Sans CJK SC"/>
        <family val="2"/>
      </rPr>
      <t xml:space="preserve">몰탈타설 </t>
    </r>
    <r>
      <rPr>
        <sz val="11"/>
        <color theme="1"/>
        <rFont val="맑은 고딕"/>
        <family val="3"/>
        <charset val="129"/>
      </rPr>
      <t>1:3</t>
    </r>
  </si>
  <si>
    <t>각층 자재비 포함</t>
  </si>
  <si>
    <t>와이어 매쉬 깔기</t>
  </si>
  <si>
    <t>#8-150*150</t>
  </si>
  <si>
    <t>자기질 타일</t>
  </si>
  <si>
    <t>논슬립</t>
  </si>
  <si>
    <t>도기질타일</t>
  </si>
  <si>
    <t xml:space="preserve">방수 석고 위 </t>
  </si>
  <si>
    <t xml:space="preserve"> 타일코너비드 </t>
  </si>
  <si>
    <r>
      <rPr>
        <sz val="11"/>
        <rFont val="맑은 고딕"/>
        <family val="3"/>
        <charset val="129"/>
      </rPr>
      <t xml:space="preserve"> SST'L </t>
    </r>
    <r>
      <rPr>
        <sz val="11"/>
        <rFont val="Noto Sans CJK SC"/>
        <family val="2"/>
      </rPr>
      <t>ㅁ</t>
    </r>
    <r>
      <rPr>
        <sz val="11"/>
        <rFont val="맑은 고딕"/>
        <family val="3"/>
        <charset val="129"/>
      </rPr>
      <t xml:space="preserve">-6*6mm </t>
    </r>
  </si>
  <si>
    <t xml:space="preserve"> M </t>
  </si>
  <si>
    <t xml:space="preserve"> 타일시멘트 </t>
  </si>
  <si>
    <t xml:space="preserve">본드 석고보드 접착 </t>
  </si>
  <si>
    <t xml:space="preserve"> 포 </t>
  </si>
  <si>
    <t xml:space="preserve"> 줄눈용 </t>
  </si>
  <si>
    <t>91IA0200</t>
  </si>
  <si>
    <t>우레탄 복합방수</t>
  </si>
  <si>
    <t>비노출 옥상바닥</t>
  </si>
  <si>
    <t>우레탄 방수</t>
  </si>
  <si>
    <t xml:space="preserve"> 파라펫</t>
  </si>
  <si>
    <t>액체방수</t>
  </si>
  <si>
    <r>
      <rPr>
        <sz val="10"/>
        <rFont val="맑은 고딕"/>
        <family val="3"/>
        <charset val="129"/>
      </rPr>
      <t>1</t>
    </r>
    <r>
      <rPr>
        <sz val="10"/>
        <rFont val="Noto Sans CJK SC"/>
        <family val="2"/>
      </rPr>
      <t xml:space="preserve">종 화장실 바닥 </t>
    </r>
  </si>
  <si>
    <t>도막방수 방수석고위</t>
  </si>
  <si>
    <t>1.8H</t>
  </si>
  <si>
    <t xml:space="preserve">수용성 에폭시 방수 </t>
  </si>
  <si>
    <r>
      <rPr>
        <sz val="11"/>
        <rFont val="Noto Sans CJK SC"/>
        <family val="2"/>
      </rPr>
      <t>물탱크실</t>
    </r>
    <r>
      <rPr>
        <sz val="11"/>
        <rFont val="맑은 고딕"/>
        <family val="3"/>
        <charset val="129"/>
      </rPr>
      <t xml:space="preserve">, </t>
    </r>
    <r>
      <rPr>
        <sz val="11"/>
        <rFont val="Noto Sans CJK SC"/>
        <family val="2"/>
      </rPr>
      <t>정화조</t>
    </r>
  </si>
  <si>
    <t xml:space="preserve">신축줄눈 </t>
  </si>
  <si>
    <r>
      <rPr>
        <sz val="11"/>
        <rFont val="Noto Sans CJK SC"/>
        <family val="2"/>
      </rPr>
      <t xml:space="preserve">옥상 </t>
    </r>
    <r>
      <rPr>
        <sz val="11"/>
        <rFont val="맑은 고딕"/>
        <family val="3"/>
        <charset val="129"/>
      </rPr>
      <t>@3000</t>
    </r>
  </si>
  <si>
    <r>
      <rPr>
        <sz val="11"/>
        <rFont val="맑은 고딕"/>
        <family val="3"/>
        <charset val="129"/>
      </rPr>
      <t>PE</t>
    </r>
    <r>
      <rPr>
        <sz val="11"/>
        <rFont val="Noto Sans CJK SC"/>
        <family val="2"/>
      </rPr>
      <t>배수판</t>
    </r>
  </si>
  <si>
    <t xml:space="preserve">옥상 </t>
  </si>
  <si>
    <t>종석마감</t>
  </si>
  <si>
    <t>세로 줄눈</t>
  </si>
  <si>
    <t>시멘트</t>
  </si>
  <si>
    <t>40KG</t>
  </si>
  <si>
    <t>포</t>
  </si>
  <si>
    <t>모래</t>
  </si>
  <si>
    <t>91IA1902B</t>
  </si>
  <si>
    <r>
      <rPr>
        <b/>
        <sz val="11"/>
        <color theme="1"/>
        <rFont val="맑은 고딕"/>
        <family val="3"/>
        <charset val="129"/>
      </rPr>
      <t xml:space="preserve">0106 </t>
    </r>
    <r>
      <rPr>
        <b/>
        <sz val="11"/>
        <color theme="1"/>
        <rFont val="Noto Sans CJK SC"/>
        <family val="2"/>
      </rPr>
      <t xml:space="preserve">석 공 사 </t>
    </r>
  </si>
  <si>
    <r>
      <rPr>
        <sz val="11"/>
        <color theme="1"/>
        <rFont val="맑은 고딕"/>
        <family val="3"/>
        <charset val="129"/>
      </rPr>
      <t xml:space="preserve">T30 </t>
    </r>
    <r>
      <rPr>
        <sz val="11"/>
        <color theme="1"/>
        <rFont val="Noto Sans CJK SC"/>
        <family val="2"/>
      </rPr>
      <t xml:space="preserve">화강석 </t>
    </r>
  </si>
  <si>
    <t>외부 벽</t>
  </si>
  <si>
    <r>
      <rPr>
        <sz val="11"/>
        <color theme="1"/>
        <rFont val="맑은 고딕"/>
        <family val="3"/>
        <charset val="129"/>
      </rPr>
      <t xml:space="preserve">T30 </t>
    </r>
    <r>
      <rPr>
        <sz val="11"/>
        <color theme="1"/>
        <rFont val="Noto Sans CJK SC"/>
        <family val="2"/>
      </rPr>
      <t xml:space="preserve">화강석 디딤판 </t>
    </r>
  </si>
  <si>
    <r>
      <rPr>
        <sz val="11"/>
        <color theme="1"/>
        <rFont val="맑은 고딕"/>
        <family val="3"/>
        <charset val="129"/>
      </rPr>
      <t>W:270</t>
    </r>
    <r>
      <rPr>
        <sz val="11"/>
        <color theme="1"/>
        <rFont val="Noto Sans CJK SC"/>
        <family val="2"/>
      </rPr>
      <t>홈파기 내부</t>
    </r>
  </si>
  <si>
    <r>
      <rPr>
        <sz val="11"/>
        <color theme="1"/>
        <rFont val="맑은 고딕"/>
        <family val="3"/>
        <charset val="129"/>
      </rPr>
      <t xml:space="preserve">T30 </t>
    </r>
    <r>
      <rPr>
        <sz val="11"/>
        <color theme="1"/>
        <rFont val="Noto Sans CJK SC"/>
        <family val="2"/>
      </rPr>
      <t>화강석 챌판</t>
    </r>
  </si>
  <si>
    <r>
      <rPr>
        <sz val="11"/>
        <color theme="1"/>
        <rFont val="맑은 고딕"/>
        <family val="3"/>
        <charset val="129"/>
      </rPr>
      <t xml:space="preserve">W:165 </t>
    </r>
    <r>
      <rPr>
        <sz val="11"/>
        <color theme="1"/>
        <rFont val="Noto Sans CJK SC"/>
        <family val="2"/>
      </rPr>
      <t>내부</t>
    </r>
  </si>
  <si>
    <r>
      <rPr>
        <sz val="11"/>
        <color theme="1"/>
        <rFont val="맑은 고딕"/>
        <family val="3"/>
        <charset val="129"/>
      </rPr>
      <t>T30</t>
    </r>
    <r>
      <rPr>
        <sz val="11"/>
        <color theme="1"/>
        <rFont val="Noto Sans CJK SC"/>
        <family val="2"/>
      </rPr>
      <t xml:space="preserve">화강석 물갈기 </t>
    </r>
  </si>
  <si>
    <t xml:space="preserve">계단실 </t>
  </si>
  <si>
    <r>
      <rPr>
        <sz val="11"/>
        <color theme="1"/>
        <rFont val="맑은 고딕"/>
        <family val="3"/>
        <charset val="129"/>
      </rPr>
      <t>T20</t>
    </r>
    <r>
      <rPr>
        <sz val="11"/>
        <color theme="1"/>
        <rFont val="Noto Sans CJK SC"/>
        <family val="2"/>
      </rPr>
      <t xml:space="preserve">화강석 잔다듬 </t>
    </r>
  </si>
  <si>
    <t>옥상 데크</t>
  </si>
  <si>
    <r>
      <rPr>
        <b/>
        <sz val="11"/>
        <color theme="1"/>
        <rFont val="맑은 고딕"/>
        <family val="3"/>
        <charset val="129"/>
      </rPr>
      <t xml:space="preserve">0107 </t>
    </r>
    <r>
      <rPr>
        <b/>
        <sz val="11"/>
        <color theme="1"/>
        <rFont val="Noto Sans CJK SC"/>
        <family val="2"/>
      </rPr>
      <t>금 속 공 사</t>
    </r>
  </si>
  <si>
    <t>금속 선홈통 설치</t>
  </si>
  <si>
    <r>
      <rPr>
        <sz val="11"/>
        <color theme="1"/>
        <rFont val="맑은 고딕"/>
        <family val="3"/>
        <charset val="129"/>
      </rPr>
      <t xml:space="preserve">100mm, </t>
    </r>
    <r>
      <rPr>
        <sz val="11"/>
        <color theme="1"/>
        <rFont val="Noto Sans CJK SC"/>
        <family val="2"/>
      </rPr>
      <t>스테인리스관</t>
    </r>
  </si>
  <si>
    <t>스텐 상자홈통 설치</t>
  </si>
  <si>
    <t>250*250*250*1.5t</t>
  </si>
  <si>
    <t>루프드레인 설치</t>
  </si>
  <si>
    <r>
      <rPr>
        <sz val="11"/>
        <color theme="1"/>
        <rFont val="Noto Sans CJK SC"/>
        <family val="2"/>
      </rPr>
      <t>수직형</t>
    </r>
    <r>
      <rPr>
        <sz val="11"/>
        <color theme="1"/>
        <rFont val="맑은 고딕"/>
        <family val="3"/>
        <charset val="129"/>
      </rPr>
      <t>, D100</t>
    </r>
    <r>
      <rPr>
        <sz val="11"/>
        <color theme="1"/>
        <rFont val="Noto Sans CJK SC"/>
        <family val="2"/>
      </rPr>
      <t>㎜</t>
    </r>
  </si>
  <si>
    <r>
      <rPr>
        <sz val="11"/>
        <color theme="1"/>
        <rFont val="맑은 고딕"/>
        <family val="3"/>
        <charset val="129"/>
      </rPr>
      <t>L</t>
    </r>
    <r>
      <rPr>
        <sz val="11"/>
        <color theme="1"/>
        <rFont val="Noto Sans CJK SC"/>
        <family val="2"/>
      </rPr>
      <t>형</t>
    </r>
    <r>
      <rPr>
        <sz val="11"/>
        <color theme="1"/>
        <rFont val="맑은 고딕"/>
        <family val="3"/>
        <charset val="129"/>
      </rPr>
      <t>, D100mm</t>
    </r>
  </si>
  <si>
    <r>
      <rPr>
        <sz val="11"/>
        <color theme="1"/>
        <rFont val="Noto Sans CJK SC"/>
        <family val="2"/>
      </rPr>
      <t>트랜치</t>
    </r>
    <r>
      <rPr>
        <sz val="11"/>
        <color theme="1"/>
        <rFont val="맑은 고딕"/>
        <family val="3"/>
        <charset val="129"/>
      </rPr>
      <t>/</t>
    </r>
    <r>
      <rPr>
        <sz val="11"/>
        <color theme="1"/>
        <rFont val="Noto Sans CJK SC"/>
        <family val="2"/>
      </rPr>
      <t>옥상</t>
    </r>
  </si>
  <si>
    <r>
      <rPr>
        <sz val="11"/>
        <color theme="1"/>
        <rFont val="맑은 고딕"/>
        <family val="3"/>
        <charset val="129"/>
      </rPr>
      <t>W=100,</t>
    </r>
    <r>
      <rPr>
        <sz val="11"/>
        <color theme="1"/>
        <rFont val="Noto Sans CJK SC"/>
        <family val="2"/>
      </rPr>
      <t>아연도 그레이팅</t>
    </r>
  </si>
  <si>
    <r>
      <rPr>
        <sz val="11"/>
        <color theme="1"/>
        <rFont val="맑은 고딕"/>
        <family val="3"/>
        <charset val="129"/>
      </rPr>
      <t>W=200,</t>
    </r>
    <r>
      <rPr>
        <sz val="11"/>
        <color theme="1"/>
        <rFont val="Noto Sans CJK SC"/>
        <family val="2"/>
      </rPr>
      <t>아연도 그레이팅</t>
    </r>
  </si>
  <si>
    <r>
      <rPr>
        <sz val="11"/>
        <color theme="1"/>
        <rFont val="Noto Sans CJK SC"/>
        <family val="2"/>
      </rPr>
      <t>난간대</t>
    </r>
    <r>
      <rPr>
        <sz val="11"/>
        <color theme="1"/>
        <rFont val="맑은 고딕"/>
        <family val="3"/>
        <charset val="129"/>
      </rPr>
      <t>/</t>
    </r>
    <r>
      <rPr>
        <sz val="11"/>
        <color theme="1"/>
        <rFont val="Noto Sans CJK SC"/>
        <family val="2"/>
      </rPr>
      <t>내부계단</t>
    </r>
  </si>
  <si>
    <t>H:900</t>
  </si>
  <si>
    <t>발코니난간대</t>
  </si>
  <si>
    <t>H:1200</t>
  </si>
  <si>
    <t>스테인리스재료분리대</t>
  </si>
  <si>
    <r>
      <rPr>
        <sz val="11"/>
        <color theme="1"/>
        <rFont val="Noto Sans CJK SC"/>
        <family val="2"/>
      </rPr>
      <t>바닥</t>
    </r>
    <r>
      <rPr>
        <sz val="11"/>
        <color theme="1"/>
        <rFont val="맑은 고딕"/>
        <family val="3"/>
        <charset val="129"/>
      </rPr>
      <t>, W15*H20*1.5t</t>
    </r>
  </si>
  <si>
    <r>
      <rPr>
        <sz val="11"/>
        <color theme="1"/>
        <rFont val="Noto Sans CJK SC"/>
        <family val="2"/>
      </rPr>
      <t>스테인리스재료분리대</t>
    </r>
    <r>
      <rPr>
        <sz val="11"/>
        <color theme="1"/>
        <rFont val="맑은 고딕"/>
        <family val="3"/>
        <charset val="129"/>
      </rPr>
      <t>/</t>
    </r>
    <r>
      <rPr>
        <sz val="11"/>
        <color theme="1"/>
        <rFont val="Noto Sans CJK SC"/>
        <family val="2"/>
      </rPr>
      <t>외벽</t>
    </r>
  </si>
  <si>
    <r>
      <rPr>
        <sz val="11"/>
        <color theme="1"/>
        <rFont val="맑은 고딕"/>
        <family val="3"/>
        <charset val="129"/>
      </rPr>
      <t xml:space="preserve">SST </t>
    </r>
    <r>
      <rPr>
        <sz val="11"/>
        <color theme="1"/>
        <rFont val="Noto Sans CJK SC"/>
        <family val="2"/>
      </rPr>
      <t>칼라</t>
    </r>
    <r>
      <rPr>
        <sz val="11"/>
        <color theme="1"/>
        <rFont val="맑은 고딕"/>
        <family val="3"/>
        <charset val="129"/>
      </rPr>
      <t>*1.5T</t>
    </r>
  </si>
  <si>
    <r>
      <rPr>
        <sz val="11"/>
        <color theme="1"/>
        <rFont val="Noto Sans CJK SC"/>
        <family val="2"/>
      </rPr>
      <t>집수정</t>
    </r>
    <r>
      <rPr>
        <sz val="11"/>
        <color theme="1"/>
        <rFont val="맑은 고딕"/>
        <family val="3"/>
        <charset val="129"/>
      </rPr>
      <t>/</t>
    </r>
    <r>
      <rPr>
        <sz val="11"/>
        <color theme="1"/>
        <rFont val="Noto Sans CJK SC"/>
        <family val="2"/>
      </rPr>
      <t>커버</t>
    </r>
  </si>
  <si>
    <t>600*600</t>
  </si>
  <si>
    <t>층간방화구획</t>
  </si>
  <si>
    <t>W:360</t>
  </si>
  <si>
    <t>AL SHEET</t>
  </si>
  <si>
    <r>
      <rPr>
        <sz val="11"/>
        <color theme="1"/>
        <rFont val="Noto Sans CJK SC"/>
        <family val="2"/>
      </rPr>
      <t>두겁</t>
    </r>
    <r>
      <rPr>
        <sz val="11"/>
        <color theme="1"/>
        <rFont val="맑은 고딕"/>
        <family val="3"/>
        <charset val="129"/>
      </rPr>
      <t>. 2t W=700</t>
    </r>
  </si>
  <si>
    <r>
      <rPr>
        <sz val="11"/>
        <color theme="1"/>
        <rFont val="Noto Sans CJK SC"/>
        <family val="2"/>
      </rPr>
      <t>칼라강판</t>
    </r>
    <r>
      <rPr>
        <sz val="11"/>
        <color theme="1"/>
        <rFont val="맑은 고딕"/>
        <family val="3"/>
        <charset val="129"/>
      </rPr>
      <t>/</t>
    </r>
    <r>
      <rPr>
        <sz val="11"/>
        <color theme="1"/>
        <rFont val="Noto Sans CJK SC"/>
        <family val="2"/>
      </rPr>
      <t>지붕층</t>
    </r>
  </si>
  <si>
    <r>
      <rPr>
        <sz val="11"/>
        <color theme="1"/>
        <rFont val="맑은 고딕"/>
        <family val="3"/>
        <charset val="129"/>
      </rPr>
      <t>1.2T/</t>
    </r>
    <r>
      <rPr>
        <sz val="11"/>
        <color theme="1"/>
        <rFont val="Noto Sans CJK SC"/>
        <family val="2"/>
      </rPr>
      <t>술소수지도장</t>
    </r>
  </si>
  <si>
    <t>카스톱퍼</t>
  </si>
  <si>
    <r>
      <rPr>
        <sz val="11"/>
        <color theme="1"/>
        <rFont val="Noto Sans CJK SC"/>
        <family val="2"/>
      </rPr>
      <t>네오프렌계</t>
    </r>
    <r>
      <rPr>
        <sz val="11"/>
        <color theme="1"/>
        <rFont val="맑은 고딕"/>
        <family val="3"/>
        <charset val="129"/>
      </rPr>
      <t>, 150*120*750mm</t>
    </r>
  </si>
  <si>
    <t>패대스탈</t>
  </si>
  <si>
    <t xml:space="preserve">석재 트러스 </t>
  </si>
  <si>
    <r>
      <rPr>
        <b/>
        <sz val="11"/>
        <color theme="1"/>
        <rFont val="맑은 고딕"/>
        <family val="3"/>
        <charset val="129"/>
      </rPr>
      <t xml:space="preserve">0108 </t>
    </r>
    <r>
      <rPr>
        <b/>
        <sz val="11"/>
        <color theme="1"/>
        <rFont val="Noto Sans CJK SC"/>
        <family val="2"/>
      </rPr>
      <t>창 호 공 사</t>
    </r>
  </si>
  <si>
    <t>AW-1</t>
  </si>
  <si>
    <t>2.000 X 2.390</t>
  </si>
  <si>
    <t>AW-2</t>
  </si>
  <si>
    <t>2.850 X 2.390</t>
  </si>
  <si>
    <t>AW-3</t>
  </si>
  <si>
    <t>6.200 X 22.350</t>
  </si>
  <si>
    <t>AW-4</t>
  </si>
  <si>
    <t>1.880 X 21.880</t>
  </si>
  <si>
    <t>PW-5</t>
  </si>
  <si>
    <t>700 X 700</t>
  </si>
  <si>
    <t>PW-6</t>
  </si>
  <si>
    <t>2.200 X 2.200</t>
  </si>
  <si>
    <t>PW-7</t>
  </si>
  <si>
    <t>2.400 X 2.200</t>
  </si>
  <si>
    <t>PW-8</t>
  </si>
  <si>
    <t>700 X 900</t>
  </si>
  <si>
    <t>PW-9</t>
  </si>
  <si>
    <t>PW-10</t>
  </si>
  <si>
    <t>AFD-1</t>
  </si>
  <si>
    <t>2.200 X 2.400</t>
  </si>
  <si>
    <t>PW-11</t>
  </si>
  <si>
    <t>2.200 X 2.300</t>
  </si>
  <si>
    <t>PW-12</t>
  </si>
  <si>
    <t>2.400 X 2.300</t>
  </si>
  <si>
    <t>PW-13</t>
  </si>
  <si>
    <t>3.250 X 1.100</t>
  </si>
  <si>
    <t>PW-14</t>
  </si>
  <si>
    <t>700  X 4.820</t>
  </si>
  <si>
    <t>PW-15</t>
  </si>
  <si>
    <t>600 X 700</t>
  </si>
  <si>
    <t>PW-16</t>
  </si>
  <si>
    <t>2.200 X 2.800</t>
  </si>
  <si>
    <t>PW-17</t>
  </si>
  <si>
    <t>2.400 X 2.800</t>
  </si>
  <si>
    <t>PD-1-R</t>
  </si>
  <si>
    <t>900 X 2.100</t>
  </si>
  <si>
    <t>PW-18</t>
  </si>
  <si>
    <t>6.160 X 4.180</t>
  </si>
  <si>
    <t>FSD-1-R</t>
  </si>
  <si>
    <t>1.000 X 2.100</t>
  </si>
  <si>
    <t>FSD-1-L</t>
  </si>
  <si>
    <t>FSD-3</t>
  </si>
  <si>
    <t>600 X 1.200</t>
  </si>
  <si>
    <t>FSD-4</t>
  </si>
  <si>
    <t>1.000 X 2.200</t>
  </si>
  <si>
    <t>SD-1</t>
  </si>
  <si>
    <t>700 X 2.100</t>
  </si>
  <si>
    <t>SD-2</t>
  </si>
  <si>
    <t>PD-1-L</t>
  </si>
  <si>
    <t>PD-2</t>
  </si>
  <si>
    <t>750 X 2.100</t>
  </si>
  <si>
    <t>PD-3</t>
  </si>
  <si>
    <t>WPD-1</t>
  </si>
  <si>
    <t>1.900 X 2.100</t>
  </si>
  <si>
    <t>WPD-2</t>
  </si>
  <si>
    <t>1.550 X 2.100</t>
  </si>
  <si>
    <t>알루미늄 방충망</t>
  </si>
  <si>
    <r>
      <rPr>
        <sz val="11"/>
        <rFont val="맑은 고딕"/>
        <family val="3"/>
        <charset val="129"/>
      </rPr>
      <t xml:space="preserve">P.J. </t>
    </r>
    <r>
      <rPr>
        <sz val="11"/>
        <rFont val="Noto Sans CJK SC"/>
        <family val="2"/>
      </rPr>
      <t>전용</t>
    </r>
    <r>
      <rPr>
        <sz val="11"/>
        <rFont val="맑은 고딕"/>
        <family val="3"/>
        <charset val="129"/>
      </rPr>
      <t>, 600*700</t>
    </r>
  </si>
  <si>
    <r>
      <rPr>
        <sz val="11"/>
        <rFont val="맑은 고딕"/>
        <family val="3"/>
        <charset val="129"/>
      </rPr>
      <t xml:space="preserve">P.J. </t>
    </r>
    <r>
      <rPr>
        <sz val="11"/>
        <rFont val="Noto Sans CJK SC"/>
        <family val="2"/>
      </rPr>
      <t>전용</t>
    </r>
    <r>
      <rPr>
        <sz val="11"/>
        <rFont val="맑은 고딕"/>
        <family val="3"/>
        <charset val="129"/>
      </rPr>
      <t>, 700*700</t>
    </r>
  </si>
  <si>
    <r>
      <rPr>
        <sz val="11"/>
        <rFont val="맑은 고딕"/>
        <family val="3"/>
        <charset val="129"/>
      </rPr>
      <t xml:space="preserve">P.J. </t>
    </r>
    <r>
      <rPr>
        <sz val="11"/>
        <rFont val="Noto Sans CJK SC"/>
        <family val="2"/>
      </rPr>
      <t>전용</t>
    </r>
    <r>
      <rPr>
        <sz val="11"/>
        <rFont val="맑은 고딕"/>
        <family val="3"/>
        <charset val="129"/>
      </rPr>
      <t>, 700*900</t>
    </r>
  </si>
  <si>
    <r>
      <rPr>
        <sz val="11"/>
        <rFont val="맑은 고딕"/>
        <family val="3"/>
        <charset val="129"/>
      </rPr>
      <t xml:space="preserve">P.J. </t>
    </r>
    <r>
      <rPr>
        <sz val="11"/>
        <rFont val="Noto Sans CJK SC"/>
        <family val="2"/>
      </rPr>
      <t>전용</t>
    </r>
    <r>
      <rPr>
        <sz val="11"/>
        <rFont val="맑은 고딕"/>
        <family val="3"/>
        <charset val="129"/>
      </rPr>
      <t>, 850*600</t>
    </r>
  </si>
  <si>
    <r>
      <rPr>
        <sz val="11"/>
        <rFont val="맑은 고딕"/>
        <family val="3"/>
        <charset val="129"/>
      </rPr>
      <t xml:space="preserve">P.J. </t>
    </r>
    <r>
      <rPr>
        <sz val="11"/>
        <rFont val="Noto Sans CJK SC"/>
        <family val="2"/>
      </rPr>
      <t>전용</t>
    </r>
    <r>
      <rPr>
        <sz val="11"/>
        <rFont val="맑은 고딕"/>
        <family val="3"/>
        <charset val="129"/>
      </rPr>
      <t>, 900*1600</t>
    </r>
  </si>
  <si>
    <t>플로어힌지</t>
  </si>
  <si>
    <t>AW</t>
  </si>
  <si>
    <t>도어스톱</t>
  </si>
  <si>
    <t>개</t>
  </si>
  <si>
    <t>도어핸들</t>
  </si>
  <si>
    <t>레바록</t>
  </si>
  <si>
    <t>도어클로저</t>
  </si>
  <si>
    <t>경첩</t>
  </si>
  <si>
    <r>
      <rPr>
        <sz val="11"/>
        <rFont val="Noto Sans CJK SC"/>
        <family val="2"/>
      </rPr>
      <t>황동</t>
    </r>
    <r>
      <rPr>
        <sz val="11"/>
        <rFont val="맑은 고딕"/>
        <family val="3"/>
        <charset val="129"/>
      </rPr>
      <t>, 4"*2.7</t>
    </r>
  </si>
  <si>
    <r>
      <rPr>
        <sz val="11"/>
        <rFont val="Noto Sans CJK SC"/>
        <family val="2"/>
      </rPr>
      <t xml:space="preserve">도어록 설치 </t>
    </r>
    <r>
      <rPr>
        <sz val="11"/>
        <rFont val="맑은 고딕"/>
        <family val="3"/>
        <charset val="129"/>
      </rPr>
      <t xml:space="preserve">/ </t>
    </r>
    <r>
      <rPr>
        <sz val="11"/>
        <rFont val="Noto Sans CJK SC"/>
        <family val="2"/>
      </rPr>
      <t>일반도어록 강재창호</t>
    </r>
  </si>
  <si>
    <t>재료비 별도</t>
  </si>
  <si>
    <t>도어체크 설치</t>
  </si>
  <si>
    <t>창호주위코킹</t>
  </si>
  <si>
    <t>10*10</t>
  </si>
  <si>
    <t>010111</t>
  </si>
  <si>
    <t>91OA0613</t>
  </si>
  <si>
    <r>
      <rPr>
        <b/>
        <sz val="11"/>
        <color theme="1"/>
        <rFont val="맑은 고딕"/>
        <family val="3"/>
        <charset val="129"/>
      </rPr>
      <t xml:space="preserve">0109 </t>
    </r>
    <r>
      <rPr>
        <b/>
        <sz val="11"/>
        <color theme="1"/>
        <rFont val="Noto Sans CJK SC"/>
        <family val="2"/>
      </rPr>
      <t>유 리 공 사</t>
    </r>
  </si>
  <si>
    <t>방화유리</t>
  </si>
  <si>
    <r>
      <rPr>
        <sz val="11"/>
        <rFont val="맑은 고딕"/>
        <family val="3"/>
        <charset val="129"/>
      </rPr>
      <t xml:space="preserve">8mm, </t>
    </r>
    <r>
      <rPr>
        <sz val="11"/>
        <rFont val="Noto Sans CJK SC"/>
        <family val="2"/>
      </rPr>
      <t>비차열</t>
    </r>
    <r>
      <rPr>
        <sz val="11"/>
        <rFont val="맑은 고딕"/>
        <family val="3"/>
        <charset val="129"/>
      </rPr>
      <t>1</t>
    </r>
    <r>
      <rPr>
        <sz val="11"/>
        <rFont val="Noto Sans CJK SC"/>
        <family val="2"/>
      </rPr>
      <t>시간</t>
    </r>
  </si>
  <si>
    <r>
      <rPr>
        <sz val="11"/>
        <rFont val="Noto Sans CJK SC"/>
        <family val="2"/>
      </rPr>
      <t>로이복층유리</t>
    </r>
    <r>
      <rPr>
        <sz val="11"/>
        <rFont val="맑은 고딕"/>
        <family val="3"/>
        <charset val="129"/>
      </rPr>
      <t>-</t>
    </r>
    <r>
      <rPr>
        <sz val="11"/>
        <rFont val="Noto Sans CJK SC"/>
        <family val="2"/>
      </rPr>
      <t>아르곤</t>
    </r>
  </si>
  <si>
    <r>
      <rPr>
        <sz val="11"/>
        <rFont val="맑은 고딕"/>
        <family val="3"/>
        <charset val="129"/>
      </rPr>
      <t>24mm,5CL+14Ar+5LE,</t>
    </r>
    <r>
      <rPr>
        <sz val="11"/>
        <rFont val="Noto Sans CJK SC"/>
        <family val="2"/>
      </rPr>
      <t>투명</t>
    </r>
  </si>
  <si>
    <r>
      <rPr>
        <sz val="11"/>
        <rFont val="Noto Sans CJK SC"/>
        <family val="2"/>
      </rPr>
      <t>로이복층유리</t>
    </r>
    <r>
      <rPr>
        <sz val="11"/>
        <rFont val="맑은 고딕"/>
        <family val="3"/>
        <charset val="129"/>
      </rPr>
      <t xml:space="preserve">- </t>
    </r>
    <r>
      <rPr>
        <sz val="11"/>
        <rFont val="Noto Sans CJK SC"/>
        <family val="2"/>
      </rPr>
      <t>소방관진입창</t>
    </r>
  </si>
  <si>
    <r>
      <rPr>
        <sz val="11"/>
        <rFont val="맑은 고딕"/>
        <family val="3"/>
        <charset val="129"/>
      </rPr>
      <t>24mm,6CL(HS)+12Ar+6LE(HS),</t>
    </r>
    <r>
      <rPr>
        <sz val="11"/>
        <rFont val="Noto Sans CJK SC"/>
        <family val="2"/>
      </rPr>
      <t>투명</t>
    </r>
  </si>
  <si>
    <r>
      <rPr>
        <sz val="11"/>
        <rFont val="Noto Sans CJK SC"/>
        <family val="2"/>
      </rPr>
      <t xml:space="preserve">창호유리설치 </t>
    </r>
    <r>
      <rPr>
        <sz val="11"/>
        <rFont val="맑은 고딕"/>
        <family val="3"/>
        <charset val="129"/>
      </rPr>
      <t xml:space="preserve">/ </t>
    </r>
    <r>
      <rPr>
        <sz val="11"/>
        <rFont val="Noto Sans CJK SC"/>
        <family val="2"/>
      </rPr>
      <t>판유리</t>
    </r>
  </si>
  <si>
    <r>
      <rPr>
        <sz val="11"/>
        <rFont val="맑은 고딕"/>
        <family val="3"/>
        <charset val="129"/>
      </rPr>
      <t xml:space="preserve">10mm </t>
    </r>
    <r>
      <rPr>
        <sz val="11"/>
        <rFont val="Noto Sans CJK SC"/>
        <family val="2"/>
      </rPr>
      <t>이하</t>
    </r>
  </si>
  <si>
    <r>
      <rPr>
        <sz val="11"/>
        <rFont val="Noto Sans CJK SC"/>
        <family val="2"/>
      </rPr>
      <t xml:space="preserve">창호유리설치 </t>
    </r>
    <r>
      <rPr>
        <sz val="11"/>
        <rFont val="맑은 고딕"/>
        <family val="3"/>
        <charset val="129"/>
      </rPr>
      <t xml:space="preserve">/ </t>
    </r>
    <r>
      <rPr>
        <sz val="11"/>
        <rFont val="Noto Sans CJK SC"/>
        <family val="2"/>
      </rPr>
      <t>복층유리</t>
    </r>
  </si>
  <si>
    <r>
      <rPr>
        <sz val="11"/>
        <rFont val="맑은 고딕"/>
        <family val="3"/>
        <charset val="129"/>
      </rPr>
      <t>24mm</t>
    </r>
    <r>
      <rPr>
        <sz val="11"/>
        <rFont val="Noto Sans CJK SC"/>
        <family val="2"/>
      </rPr>
      <t>복층</t>
    </r>
  </si>
  <si>
    <t>유리주위코킹</t>
  </si>
  <si>
    <t xml:space="preserve"> 5 * 5</t>
  </si>
  <si>
    <t>구조용코킹</t>
  </si>
  <si>
    <t>010115</t>
  </si>
  <si>
    <t>91UA0023</t>
  </si>
  <si>
    <t>노턴테이프</t>
  </si>
  <si>
    <t>웨더코킹</t>
  </si>
  <si>
    <t>소방관진입스티커</t>
  </si>
  <si>
    <t>타굑장치표시포함</t>
  </si>
  <si>
    <t>세이프도어</t>
  </si>
  <si>
    <r>
      <rPr>
        <sz val="11"/>
        <rFont val="맑은 고딕"/>
        <family val="3"/>
        <charset val="129"/>
      </rPr>
      <t xml:space="preserve"> 24*1100*2400mm/</t>
    </r>
    <r>
      <rPr>
        <sz val="11"/>
        <rFont val="Noto Sans CJK SC"/>
        <family val="2"/>
      </rPr>
      <t>손잡이포함</t>
    </r>
  </si>
  <si>
    <t>91UA0005A</t>
  </si>
  <si>
    <r>
      <rPr>
        <b/>
        <sz val="11"/>
        <color theme="1"/>
        <rFont val="맑은 고딕"/>
        <family val="3"/>
        <charset val="129"/>
      </rPr>
      <t xml:space="preserve">0110 </t>
    </r>
    <r>
      <rPr>
        <b/>
        <sz val="11"/>
        <color theme="1"/>
        <rFont val="Noto Sans CJK SC"/>
        <family val="2"/>
      </rPr>
      <t>수장</t>
    </r>
    <r>
      <rPr>
        <b/>
        <sz val="11"/>
        <color theme="1"/>
        <rFont val="맑은 고딕"/>
        <family val="3"/>
        <charset val="129"/>
      </rPr>
      <t xml:space="preserve">, </t>
    </r>
    <r>
      <rPr>
        <b/>
        <sz val="11"/>
        <color theme="1"/>
        <rFont val="Noto Sans CJK SC"/>
        <family val="2"/>
      </rPr>
      <t xml:space="preserve">도장 공사 </t>
    </r>
  </si>
  <si>
    <t>경량철골천정틀</t>
  </si>
  <si>
    <r>
      <rPr>
        <sz val="11"/>
        <rFont val="맑은 고딕"/>
        <family val="3"/>
        <charset val="129"/>
      </rPr>
      <t>M-BAR(</t>
    </r>
    <r>
      <rPr>
        <sz val="11"/>
        <rFont val="Noto Sans CJK SC"/>
        <family val="2"/>
      </rPr>
      <t>마이너찬넬</t>
    </r>
    <r>
      <rPr>
        <sz val="11"/>
        <rFont val="맑은 고딕"/>
        <family val="3"/>
        <charset val="129"/>
      </rPr>
      <t>)</t>
    </r>
  </si>
  <si>
    <t>DW1</t>
  </si>
  <si>
    <r>
      <rPr>
        <sz val="11"/>
        <rFont val="맑은 고딕"/>
        <family val="3"/>
        <charset val="129"/>
      </rPr>
      <t>150</t>
    </r>
    <r>
      <rPr>
        <sz val="11"/>
        <rFont val="Noto Sans CJK SC"/>
        <family val="2"/>
      </rPr>
      <t>방화양면석고보드</t>
    </r>
    <r>
      <rPr>
        <sz val="11"/>
        <rFont val="맑은 고딕"/>
        <family val="3"/>
        <charset val="129"/>
      </rPr>
      <t xml:space="preserve">2P </t>
    </r>
  </si>
  <si>
    <t>DW2</t>
  </si>
  <si>
    <r>
      <rPr>
        <sz val="11"/>
        <rFont val="맑은 고딕"/>
        <family val="3"/>
        <charset val="129"/>
      </rPr>
      <t xml:space="preserve">150 </t>
    </r>
    <r>
      <rPr>
        <sz val="11"/>
        <rFont val="Noto Sans CJK SC"/>
        <family val="2"/>
      </rPr>
      <t>안</t>
    </r>
    <r>
      <rPr>
        <sz val="11"/>
        <rFont val="맑은 고딕"/>
        <family val="3"/>
        <charset val="129"/>
      </rPr>
      <t>)9.5</t>
    </r>
    <r>
      <rPr>
        <sz val="11"/>
        <rFont val="Noto Sans CJK SC"/>
        <family val="2"/>
      </rPr>
      <t>일반</t>
    </r>
    <r>
      <rPr>
        <sz val="11"/>
        <rFont val="맑은 고딕"/>
        <family val="3"/>
        <charset val="129"/>
      </rPr>
      <t xml:space="preserve">2P 
</t>
    </r>
    <r>
      <rPr>
        <sz val="11"/>
        <rFont val="Noto Sans CJK SC"/>
        <family val="2"/>
      </rPr>
      <t>밖</t>
    </r>
    <r>
      <rPr>
        <sz val="11"/>
        <rFont val="맑은 고딕"/>
        <family val="3"/>
        <charset val="129"/>
      </rPr>
      <t>)</t>
    </r>
    <r>
      <rPr>
        <sz val="11"/>
        <rFont val="Noto Sans CJK SC"/>
        <family val="2"/>
      </rPr>
      <t>방화석고</t>
    </r>
    <r>
      <rPr>
        <sz val="11"/>
        <rFont val="맑은 고딕"/>
        <family val="3"/>
        <charset val="129"/>
      </rPr>
      <t>2P</t>
    </r>
  </si>
  <si>
    <t>DW3</t>
  </si>
  <si>
    <r>
      <rPr>
        <sz val="11"/>
        <rFont val="맑은 고딕"/>
        <family val="3"/>
        <charset val="129"/>
      </rPr>
      <t>150</t>
    </r>
    <r>
      <rPr>
        <sz val="11"/>
        <rFont val="Noto Sans CJK SC"/>
        <family val="2"/>
      </rPr>
      <t>일반양면석고보드</t>
    </r>
    <r>
      <rPr>
        <sz val="11"/>
        <rFont val="맑은 고딕"/>
        <family val="3"/>
        <charset val="129"/>
      </rPr>
      <t xml:space="preserve">2P </t>
    </r>
  </si>
  <si>
    <r>
      <rPr>
        <sz val="11"/>
        <rFont val="Noto Sans CJK SC"/>
        <family val="2"/>
      </rPr>
      <t xml:space="preserve">석고보드 </t>
    </r>
    <r>
      <rPr>
        <sz val="11"/>
        <rFont val="맑은 고딕"/>
        <family val="3"/>
        <charset val="129"/>
      </rPr>
      <t>2P</t>
    </r>
  </si>
  <si>
    <r>
      <rPr>
        <sz val="11"/>
        <rFont val="Noto Sans CJK SC"/>
        <family val="2"/>
      </rPr>
      <t xml:space="preserve">벽 한면 일반 </t>
    </r>
    <r>
      <rPr>
        <sz val="11"/>
        <rFont val="맑은 고딕"/>
        <family val="3"/>
        <charset val="129"/>
      </rPr>
      <t>9.5 2P</t>
    </r>
  </si>
  <si>
    <r>
      <rPr>
        <sz val="11"/>
        <rFont val="Noto Sans CJK SC"/>
        <family val="2"/>
      </rPr>
      <t xml:space="preserve">벽 한면 방화석고 </t>
    </r>
    <r>
      <rPr>
        <sz val="11"/>
        <rFont val="맑은 고딕"/>
        <family val="3"/>
        <charset val="129"/>
      </rPr>
      <t>2P</t>
    </r>
  </si>
  <si>
    <r>
      <rPr>
        <sz val="11"/>
        <rFont val="Noto Sans CJK SC"/>
        <family val="2"/>
      </rPr>
      <t xml:space="preserve">방화석고보드 </t>
    </r>
    <r>
      <rPr>
        <sz val="11"/>
        <rFont val="맑은 고딕"/>
        <family val="3"/>
        <charset val="129"/>
      </rPr>
      <t>2P</t>
    </r>
  </si>
  <si>
    <r>
      <rPr>
        <sz val="11"/>
        <rFont val="맑은 고딕"/>
        <family val="3"/>
        <charset val="129"/>
      </rPr>
      <t>E/V</t>
    </r>
    <r>
      <rPr>
        <sz val="11"/>
        <rFont val="Noto Sans CJK SC"/>
        <family val="2"/>
      </rPr>
      <t xml:space="preserve">내부 </t>
    </r>
  </si>
  <si>
    <r>
      <rPr>
        <sz val="11"/>
        <rFont val="맑은 고딕"/>
        <family val="3"/>
        <charset val="129"/>
      </rPr>
      <t xml:space="preserve">T19.5 </t>
    </r>
    <r>
      <rPr>
        <sz val="11"/>
        <rFont val="Noto Sans CJK SC"/>
        <family val="2"/>
      </rPr>
      <t>천정</t>
    </r>
  </si>
  <si>
    <r>
      <rPr>
        <sz val="11"/>
        <rFont val="맑은 고딕"/>
        <family val="3"/>
        <charset val="129"/>
      </rPr>
      <t>SMC</t>
    </r>
    <r>
      <rPr>
        <sz val="11"/>
        <rFont val="Noto Sans CJK SC"/>
        <family val="2"/>
      </rPr>
      <t>천정제</t>
    </r>
  </si>
  <si>
    <t xml:space="preserve">매쉬망 마감 </t>
  </si>
  <si>
    <t>주차장 천정</t>
  </si>
  <si>
    <t>큐비클</t>
  </si>
  <si>
    <t>친횐경 수성페인트</t>
  </si>
  <si>
    <r>
      <rPr>
        <sz val="11"/>
        <rFont val="Noto Sans CJK SC"/>
        <family val="2"/>
      </rPr>
      <t>내벽</t>
    </r>
    <r>
      <rPr>
        <sz val="11"/>
        <rFont val="맑은 고딕"/>
        <family val="3"/>
        <charset val="129"/>
      </rPr>
      <t xml:space="preserve">, </t>
    </r>
    <r>
      <rPr>
        <sz val="11"/>
        <rFont val="Noto Sans CJK SC"/>
        <family val="2"/>
      </rPr>
      <t xml:space="preserve">계단 하부 등 </t>
    </r>
  </si>
  <si>
    <t xml:space="preserve">천정 </t>
  </si>
  <si>
    <r>
      <rPr>
        <sz val="11"/>
        <rFont val="Noto Sans CJK SC"/>
        <family val="2"/>
      </rPr>
      <t>방습</t>
    </r>
    <r>
      <rPr>
        <sz val="11"/>
        <rFont val="맑은 고딕"/>
        <family val="3"/>
        <charset val="129"/>
      </rPr>
      <t>/</t>
    </r>
    <r>
      <rPr>
        <sz val="11"/>
        <rFont val="Noto Sans CJK SC"/>
        <family val="2"/>
      </rPr>
      <t>향균 페인트</t>
    </r>
  </si>
  <si>
    <t xml:space="preserve">지하층 </t>
  </si>
  <si>
    <t>주차장라인마킹</t>
  </si>
  <si>
    <t>대</t>
  </si>
  <si>
    <r>
      <rPr>
        <sz val="11"/>
        <rFont val="Noto Sans CJK SC"/>
        <family val="2"/>
      </rPr>
      <t xml:space="preserve">에폭시  페인트 </t>
    </r>
    <r>
      <rPr>
        <sz val="11"/>
        <rFont val="맑은 고딕"/>
        <family val="3"/>
        <charset val="129"/>
      </rPr>
      <t>2</t>
    </r>
    <r>
      <rPr>
        <sz val="11"/>
        <rFont val="Noto Sans CJK SC"/>
        <family val="2"/>
      </rPr>
      <t xml:space="preserve">회 </t>
    </r>
  </si>
  <si>
    <r>
      <rPr>
        <sz val="11"/>
        <rFont val="Noto Sans CJK SC"/>
        <family val="2"/>
      </rPr>
      <t>수공 프라이머</t>
    </r>
    <r>
      <rPr>
        <sz val="11"/>
        <rFont val="맑은 고딕"/>
        <family val="3"/>
        <charset val="129"/>
      </rPr>
      <t>2</t>
    </r>
    <r>
      <rPr>
        <sz val="11"/>
        <rFont val="Noto Sans CJK SC"/>
        <family val="2"/>
      </rPr>
      <t>회</t>
    </r>
  </si>
  <si>
    <t>투명 에폭시</t>
  </si>
  <si>
    <t>바닥</t>
  </si>
  <si>
    <t xml:space="preserve">단열재 보수 </t>
  </si>
  <si>
    <t xml:space="preserve">기존설치 </t>
  </si>
  <si>
    <t>외부 벽돌 페인트</t>
  </si>
  <si>
    <t xml:space="preserve">기존 덧칠 </t>
  </si>
  <si>
    <t xml:space="preserve">외부용페인트 마감 </t>
  </si>
  <si>
    <r>
      <rPr>
        <b/>
        <sz val="11"/>
        <color theme="1"/>
        <rFont val="맑은 고딕"/>
        <family val="3"/>
        <charset val="129"/>
      </rPr>
      <t xml:space="preserve">0111 </t>
    </r>
    <r>
      <rPr>
        <b/>
        <sz val="11"/>
        <color theme="1"/>
        <rFont val="Noto Sans CJK SC"/>
        <family val="2"/>
      </rPr>
      <t>부 대 토 목 공 사</t>
    </r>
  </si>
  <si>
    <t xml:space="preserve">엘리베이터 </t>
  </si>
  <si>
    <r>
      <rPr>
        <sz val="11"/>
        <rFont val="맑은 고딕"/>
        <family val="3"/>
        <charset val="129"/>
      </rPr>
      <t>9</t>
    </r>
    <r>
      <rPr>
        <sz val="11"/>
        <rFont val="Noto Sans CJK SC"/>
        <family val="2"/>
      </rPr>
      <t xml:space="preserve">인승 </t>
    </r>
    <r>
      <rPr>
        <sz val="11"/>
        <rFont val="맑은 고딕"/>
        <family val="3"/>
        <charset val="129"/>
      </rPr>
      <t>7</t>
    </r>
    <r>
      <rPr>
        <sz val="11"/>
        <rFont val="Noto Sans CJK SC"/>
        <family val="2"/>
      </rPr>
      <t>개층 스톱</t>
    </r>
  </si>
  <si>
    <t xml:space="preserve">정화조 </t>
  </si>
  <si>
    <t xml:space="preserve">콘크리트 구체 </t>
  </si>
  <si>
    <t xml:space="preserve">집수정 </t>
  </si>
  <si>
    <r>
      <rPr>
        <sz val="11"/>
        <rFont val="Noto Sans CJK SC"/>
        <family val="2"/>
      </rPr>
      <t xml:space="preserve">우수용 </t>
    </r>
    <r>
      <rPr>
        <sz val="11"/>
        <rFont val="맑은 고딕"/>
        <family val="3"/>
        <charset val="129"/>
      </rPr>
      <t>0.6*0.6</t>
    </r>
  </si>
  <si>
    <r>
      <rPr>
        <sz val="11"/>
        <rFont val="맑은 고딕"/>
        <family val="3"/>
        <charset val="129"/>
      </rPr>
      <t>P.E</t>
    </r>
    <r>
      <rPr>
        <sz val="11"/>
        <rFont val="Noto Sans CJK SC"/>
        <family val="2"/>
      </rPr>
      <t>이중벽관</t>
    </r>
    <r>
      <rPr>
        <sz val="11"/>
        <rFont val="맑은 고딕"/>
        <family val="3"/>
        <charset val="129"/>
      </rPr>
      <t>(</t>
    </r>
    <r>
      <rPr>
        <sz val="11"/>
        <rFont val="Noto Sans CJK SC"/>
        <family val="2"/>
      </rPr>
      <t>우수</t>
    </r>
    <r>
      <rPr>
        <sz val="11"/>
        <rFont val="맑은 고딕"/>
        <family val="3"/>
        <charset val="129"/>
      </rPr>
      <t>)</t>
    </r>
  </si>
  <si>
    <r>
      <rPr>
        <sz val="11"/>
        <rFont val="맑은 고딕"/>
        <family val="3"/>
        <charset val="129"/>
      </rPr>
      <t>d=200mm/</t>
    </r>
    <r>
      <rPr>
        <sz val="11"/>
        <rFont val="Noto Sans CJK SC"/>
        <family val="2"/>
      </rPr>
      <t>부속일체</t>
    </r>
  </si>
  <si>
    <r>
      <rPr>
        <sz val="11"/>
        <rFont val="Noto Sans CJK SC"/>
        <family val="2"/>
      </rPr>
      <t>오수맨홀</t>
    </r>
    <r>
      <rPr>
        <sz val="11"/>
        <rFont val="맑은 고딕"/>
        <family val="3"/>
        <charset val="129"/>
      </rPr>
      <t>(</t>
    </r>
    <r>
      <rPr>
        <sz val="11"/>
        <rFont val="Noto Sans CJK SC"/>
        <family val="2"/>
      </rPr>
      <t>스라브</t>
    </r>
    <r>
      <rPr>
        <sz val="11"/>
        <rFont val="맑은 고딕"/>
        <family val="3"/>
        <charset val="129"/>
      </rPr>
      <t>,</t>
    </r>
    <r>
      <rPr>
        <sz val="11"/>
        <rFont val="Noto Sans CJK SC"/>
        <family val="2"/>
      </rPr>
      <t>주철뚜껑포함</t>
    </r>
    <r>
      <rPr>
        <sz val="11"/>
        <rFont val="맑은 고딕"/>
        <family val="3"/>
        <charset val="129"/>
      </rPr>
      <t>)</t>
    </r>
  </si>
  <si>
    <t>0.9*0.9</t>
  </si>
  <si>
    <r>
      <rPr>
        <sz val="11"/>
        <rFont val="맑은 고딕"/>
        <family val="3"/>
        <charset val="129"/>
      </rPr>
      <t>P.E</t>
    </r>
    <r>
      <rPr>
        <sz val="11"/>
        <rFont val="Noto Sans CJK SC"/>
        <family val="2"/>
      </rPr>
      <t>이중벽관</t>
    </r>
    <r>
      <rPr>
        <sz val="11"/>
        <rFont val="맑은 고딕"/>
        <family val="3"/>
        <charset val="129"/>
      </rPr>
      <t>(</t>
    </r>
    <r>
      <rPr>
        <sz val="11"/>
        <rFont val="Noto Sans CJK SC"/>
        <family val="2"/>
      </rPr>
      <t>오수</t>
    </r>
    <r>
      <rPr>
        <sz val="11"/>
        <rFont val="맑은 고딕"/>
        <family val="3"/>
        <charset val="129"/>
      </rPr>
      <t>)</t>
    </r>
  </si>
  <si>
    <r>
      <rPr>
        <sz val="11"/>
        <rFont val="맑은 고딕"/>
        <family val="3"/>
        <charset val="129"/>
      </rPr>
      <t>d=250mm/</t>
    </r>
    <r>
      <rPr>
        <sz val="11"/>
        <rFont val="Noto Sans CJK SC"/>
        <family val="2"/>
      </rPr>
      <t>부속일체</t>
    </r>
  </si>
  <si>
    <t>화강석 경계석</t>
  </si>
  <si>
    <t>150*150*1000</t>
  </si>
  <si>
    <t>200*250*1000</t>
  </si>
  <si>
    <r>
      <rPr>
        <sz val="11"/>
        <rFont val="Noto Sans CJK SC"/>
        <family val="2"/>
      </rPr>
      <t>시 우</t>
    </r>
    <r>
      <rPr>
        <sz val="11"/>
        <rFont val="맑은 고딕"/>
        <family val="3"/>
        <charset val="129"/>
      </rPr>
      <t>,</t>
    </r>
    <r>
      <rPr>
        <sz val="11"/>
        <rFont val="Noto Sans CJK SC"/>
        <family val="2"/>
      </rPr>
      <t>오수맨홀에접속</t>
    </r>
  </si>
  <si>
    <t>도로굴착 후 원상복구</t>
  </si>
  <si>
    <t>조경구획</t>
  </si>
  <si>
    <t>조경 식재</t>
  </si>
  <si>
    <t>91UA0005B</t>
  </si>
  <si>
    <t>기 계 설 비 공 사 집 계 표</t>
  </si>
  <si>
    <t>재 료 비</t>
  </si>
  <si>
    <t>노 무 비</t>
  </si>
  <si>
    <t>경     비</t>
  </si>
  <si>
    <t>합         계</t>
  </si>
  <si>
    <t>비     고</t>
  </si>
  <si>
    <t>단 가</t>
  </si>
  <si>
    <r>
      <rPr>
        <b/>
        <sz val="12"/>
        <color rgb="FF000000"/>
        <rFont val="맑은 고딕"/>
        <family val="3"/>
        <charset val="129"/>
      </rPr>
      <t xml:space="preserve">0201 </t>
    </r>
    <r>
      <rPr>
        <b/>
        <sz val="12"/>
        <color rgb="FF000000"/>
        <rFont val="Noto Sans CJK SC"/>
        <family val="2"/>
      </rPr>
      <t>기계설비공사</t>
    </r>
  </si>
  <si>
    <r>
      <rPr>
        <b/>
        <sz val="12"/>
        <color rgb="FF000000"/>
        <rFont val="맑은 고딕"/>
        <family val="3"/>
        <charset val="129"/>
      </rPr>
      <t xml:space="preserve">0202 </t>
    </r>
    <r>
      <rPr>
        <b/>
        <sz val="12"/>
        <color rgb="FF000000"/>
        <rFont val="Noto Sans CJK SC"/>
        <family val="2"/>
      </rPr>
      <t>소방설비공사</t>
    </r>
  </si>
  <si>
    <t>합       계</t>
  </si>
  <si>
    <t>기 계 설 비 공 사 내 역 서</t>
  </si>
  <si>
    <r>
      <rPr>
        <b/>
        <sz val="14"/>
        <rFont val="맑은 고딕"/>
        <family val="3"/>
        <charset val="129"/>
      </rPr>
      <t>[</t>
    </r>
    <r>
      <rPr>
        <b/>
        <sz val="14"/>
        <rFont val="Noto Sans CJK SC"/>
        <family val="2"/>
      </rPr>
      <t xml:space="preserve">공사명 </t>
    </r>
    <r>
      <rPr>
        <b/>
        <sz val="14"/>
        <rFont val="맑은 고딕"/>
        <family val="3"/>
        <charset val="129"/>
      </rPr>
      <t xml:space="preserve">: </t>
    </r>
    <r>
      <rPr>
        <b/>
        <sz val="14"/>
        <rFont val="Noto Sans CJK SC"/>
        <family val="2"/>
      </rPr>
      <t xml:space="preserve">은평구 역촌동 </t>
    </r>
    <r>
      <rPr>
        <b/>
        <sz val="14"/>
        <rFont val="맑은 고딕"/>
        <family val="3"/>
        <charset val="129"/>
      </rPr>
      <t>36-9</t>
    </r>
    <r>
      <rPr>
        <b/>
        <sz val="14"/>
        <rFont val="Noto Sans CJK SC"/>
        <family val="2"/>
      </rPr>
      <t>번지 근생 증축 및 대수선공사중 기계설비공사</t>
    </r>
    <r>
      <rPr>
        <b/>
        <sz val="14"/>
        <rFont val="맑은 고딕"/>
        <family val="3"/>
        <charset val="129"/>
      </rPr>
      <t>]</t>
    </r>
  </si>
  <si>
    <r>
      <rPr>
        <b/>
        <sz val="12"/>
        <rFont val="맑은 고딕"/>
        <family val="3"/>
        <charset val="129"/>
      </rPr>
      <t xml:space="preserve">0201 </t>
    </r>
    <r>
      <rPr>
        <b/>
        <sz val="12"/>
        <rFont val="Noto Sans CJK SC"/>
        <family val="2"/>
      </rPr>
      <t>장비설치공사</t>
    </r>
  </si>
  <si>
    <r>
      <rPr>
        <sz val="12"/>
        <rFont val="Noto Sans CJK SC"/>
        <family val="2"/>
      </rPr>
      <t>배수펌프</t>
    </r>
    <r>
      <rPr>
        <sz val="12"/>
        <rFont val="맑은 고딕"/>
        <family val="3"/>
        <charset val="129"/>
      </rPr>
      <t>(</t>
    </r>
    <r>
      <rPr>
        <sz val="12"/>
        <rFont val="Noto Sans CJK SC"/>
        <family val="2"/>
      </rPr>
      <t>수중형</t>
    </r>
    <r>
      <rPr>
        <sz val="12"/>
        <rFont val="맑은 고딕"/>
        <family val="3"/>
        <charset val="129"/>
      </rPr>
      <t>)</t>
    </r>
  </si>
  <si>
    <t>100L*6M*0.5HP</t>
  </si>
  <si>
    <r>
      <rPr>
        <sz val="12"/>
        <rFont val="Noto Sans CJK SC"/>
        <family val="2"/>
      </rPr>
      <t>온수보일러</t>
    </r>
    <r>
      <rPr>
        <sz val="12"/>
        <rFont val="맑은 고딕"/>
        <family val="3"/>
        <charset val="129"/>
      </rPr>
      <t>(</t>
    </r>
    <r>
      <rPr>
        <sz val="12"/>
        <rFont val="Noto Sans CJK SC"/>
        <family val="2"/>
      </rPr>
      <t>가스</t>
    </r>
    <r>
      <rPr>
        <sz val="12"/>
        <rFont val="맑은 고딕"/>
        <family val="3"/>
        <charset val="129"/>
      </rPr>
      <t>)</t>
    </r>
  </si>
  <si>
    <t>20,000kcal/h</t>
  </si>
  <si>
    <r>
      <rPr>
        <sz val="12"/>
        <rFont val="Noto Sans CJK SC"/>
        <family val="2"/>
      </rPr>
      <t>배기휀</t>
    </r>
    <r>
      <rPr>
        <sz val="12"/>
        <rFont val="맑은 고딕"/>
        <family val="3"/>
        <charset val="129"/>
      </rPr>
      <t>(</t>
    </r>
    <r>
      <rPr>
        <sz val="12"/>
        <rFont val="Noto Sans CJK SC"/>
        <family val="2"/>
      </rPr>
      <t>천정형</t>
    </r>
    <r>
      <rPr>
        <sz val="12"/>
        <rFont val="맑은 고딕"/>
        <family val="3"/>
        <charset val="129"/>
      </rPr>
      <t>,</t>
    </r>
    <r>
      <rPr>
        <sz val="12"/>
        <rFont val="Noto Sans CJK SC"/>
        <family val="2"/>
      </rPr>
      <t>저소음</t>
    </r>
    <r>
      <rPr>
        <sz val="12"/>
        <rFont val="맑은 고딕"/>
        <family val="3"/>
        <charset val="129"/>
      </rPr>
      <t>)</t>
    </r>
  </si>
  <si>
    <t>3.5CMMx3.5mmAqx30W</t>
  </si>
  <si>
    <t>2CMMx1.5KW</t>
  </si>
  <si>
    <r>
      <rPr>
        <sz val="12"/>
        <rFont val="Noto Sans CJK SC"/>
        <family val="2"/>
      </rPr>
      <t>배기휀</t>
    </r>
    <r>
      <rPr>
        <sz val="12"/>
        <rFont val="맑은 고딕"/>
        <family val="3"/>
        <charset val="129"/>
      </rPr>
      <t>(</t>
    </r>
    <r>
      <rPr>
        <sz val="12"/>
        <rFont val="Noto Sans CJK SC"/>
        <family val="2"/>
      </rPr>
      <t>라인형</t>
    </r>
    <r>
      <rPr>
        <sz val="12"/>
        <rFont val="맑은 고딕"/>
        <family val="3"/>
        <charset val="129"/>
      </rPr>
      <t>)</t>
    </r>
  </si>
  <si>
    <t>23CMMx10mmAqx0.1KW</t>
  </si>
  <si>
    <r>
      <rPr>
        <sz val="12"/>
        <rFont val="Noto Sans CJK SC"/>
        <family val="2"/>
      </rPr>
      <t>전기온수기</t>
    </r>
    <r>
      <rPr>
        <sz val="12"/>
        <rFont val="맑은 고딕"/>
        <family val="3"/>
        <charset val="129"/>
      </rPr>
      <t>(</t>
    </r>
    <r>
      <rPr>
        <sz val="12"/>
        <rFont val="Noto Sans CJK SC"/>
        <family val="2"/>
      </rPr>
      <t>벽부형</t>
    </r>
    <r>
      <rPr>
        <sz val="12"/>
        <rFont val="맑은 고딕"/>
        <family val="3"/>
        <charset val="129"/>
      </rPr>
      <t>)</t>
    </r>
  </si>
  <si>
    <t>2.0KW</t>
  </si>
  <si>
    <r>
      <rPr>
        <sz val="12"/>
        <rFont val="Noto Sans CJK SC"/>
        <family val="2"/>
      </rPr>
      <t>복사난방기</t>
    </r>
    <r>
      <rPr>
        <sz val="12"/>
        <rFont val="맑은 고딕"/>
        <family val="3"/>
        <charset val="129"/>
      </rPr>
      <t>(</t>
    </r>
    <r>
      <rPr>
        <sz val="12"/>
        <rFont val="Noto Sans CJK SC"/>
        <family val="2"/>
      </rPr>
      <t>천정형</t>
    </r>
    <r>
      <rPr>
        <sz val="12"/>
        <rFont val="맑은 고딕"/>
        <family val="3"/>
        <charset val="129"/>
      </rPr>
      <t>)</t>
    </r>
  </si>
  <si>
    <t>374KCAL</t>
  </si>
  <si>
    <t>기계설비공</t>
  </si>
  <si>
    <t>보통인부</t>
  </si>
  <si>
    <t>공구손료</t>
  </si>
  <si>
    <r>
      <rPr>
        <sz val="12"/>
        <rFont val="Noto Sans CJK SC"/>
        <family val="2"/>
      </rPr>
      <t>노무비의</t>
    </r>
    <r>
      <rPr>
        <sz val="12"/>
        <rFont val="맑은 고딕"/>
        <family val="3"/>
        <charset val="129"/>
      </rPr>
      <t>3%</t>
    </r>
  </si>
  <si>
    <t>합  계</t>
  </si>
  <si>
    <r>
      <rPr>
        <b/>
        <sz val="12"/>
        <rFont val="맑은 고딕"/>
        <family val="3"/>
        <charset val="129"/>
      </rPr>
      <t xml:space="preserve">0202 </t>
    </r>
    <r>
      <rPr>
        <b/>
        <sz val="12"/>
        <rFont val="Noto Sans CJK SC"/>
        <family val="2"/>
      </rPr>
      <t>위생기구설치공사</t>
    </r>
  </si>
  <si>
    <r>
      <rPr>
        <sz val="12"/>
        <rFont val="Noto Sans CJK SC"/>
        <family val="2"/>
      </rPr>
      <t>양변기</t>
    </r>
    <r>
      <rPr>
        <sz val="12"/>
        <rFont val="맑은 고딕"/>
        <family val="3"/>
        <charset val="129"/>
      </rPr>
      <t>(LT)</t>
    </r>
  </si>
  <si>
    <t>세면기</t>
  </si>
  <si>
    <t>샤워기</t>
  </si>
  <si>
    <r>
      <rPr>
        <sz val="12"/>
        <rFont val="Noto Sans CJK SC"/>
        <family val="2"/>
      </rPr>
      <t xml:space="preserve">욕조수전 </t>
    </r>
    <r>
      <rPr>
        <sz val="12"/>
        <rFont val="맑은 고딕"/>
        <family val="3"/>
        <charset val="129"/>
      </rPr>
      <t xml:space="preserve">&amp; </t>
    </r>
    <r>
      <rPr>
        <sz val="12"/>
        <rFont val="Noto Sans CJK SC"/>
        <family val="2"/>
      </rPr>
      <t>줄샤워기 겸용</t>
    </r>
  </si>
  <si>
    <t>청소용 부동수전</t>
  </si>
  <si>
    <r>
      <rPr>
        <sz val="12"/>
        <rFont val="Noto Sans CJK SC"/>
        <family val="2"/>
      </rPr>
      <t xml:space="preserve">세탁수전 </t>
    </r>
    <r>
      <rPr>
        <sz val="12"/>
        <rFont val="맑은 고딕"/>
        <family val="3"/>
        <charset val="129"/>
      </rPr>
      <t xml:space="preserve">&amp; </t>
    </r>
    <r>
      <rPr>
        <sz val="12"/>
        <rFont val="Noto Sans CJK SC"/>
        <family val="2"/>
      </rPr>
      <t>청소수전 겸용</t>
    </r>
  </si>
  <si>
    <t>씽크수전</t>
  </si>
  <si>
    <t>휴지걸이</t>
  </si>
  <si>
    <t>비누갑</t>
  </si>
  <si>
    <t>STS</t>
  </si>
  <si>
    <t>수건걸이</t>
  </si>
  <si>
    <t>위생공</t>
  </si>
  <si>
    <r>
      <rPr>
        <sz val="12"/>
        <rFont val="Noto Sans CJK SC"/>
        <family val="2"/>
      </rPr>
      <t xml:space="preserve">노무비의 </t>
    </r>
    <r>
      <rPr>
        <sz val="12"/>
        <rFont val="맑은 고딕"/>
        <family val="3"/>
        <charset val="129"/>
      </rPr>
      <t>3%</t>
    </r>
  </si>
  <si>
    <r>
      <rPr>
        <b/>
        <sz val="12"/>
        <rFont val="맑은 고딕"/>
        <family val="3"/>
        <charset val="129"/>
      </rPr>
      <t xml:space="preserve">0203 </t>
    </r>
    <r>
      <rPr>
        <b/>
        <sz val="12"/>
        <rFont val="Noto Sans CJK SC"/>
        <family val="2"/>
      </rPr>
      <t>급수급탕배관공사</t>
    </r>
  </si>
  <si>
    <r>
      <rPr>
        <sz val="12"/>
        <color rgb="FF000000"/>
        <rFont val="맑은 고딕"/>
        <family val="3"/>
        <charset val="129"/>
      </rPr>
      <t>STS</t>
    </r>
    <r>
      <rPr>
        <sz val="12"/>
        <color rgb="FF000000"/>
        <rFont val="Noto Sans CJK SC"/>
        <family val="2"/>
      </rPr>
      <t>배관</t>
    </r>
    <r>
      <rPr>
        <sz val="12"/>
        <color rgb="FF000000"/>
        <rFont val="맑은 고딕"/>
        <family val="3"/>
        <charset val="129"/>
      </rPr>
      <t>(</t>
    </r>
    <r>
      <rPr>
        <sz val="12"/>
        <color rgb="FF000000"/>
        <rFont val="Noto Sans CJK SC"/>
        <family val="2"/>
      </rPr>
      <t>프레스식</t>
    </r>
    <r>
      <rPr>
        <sz val="12"/>
        <color rgb="FF000000"/>
        <rFont val="맑은 고딕"/>
        <family val="3"/>
        <charset val="129"/>
      </rPr>
      <t>)</t>
    </r>
  </si>
  <si>
    <t>D13</t>
  </si>
  <si>
    <t>D20</t>
  </si>
  <si>
    <t>D25</t>
  </si>
  <si>
    <t>D30</t>
  </si>
  <si>
    <t>잡자재비</t>
  </si>
  <si>
    <r>
      <rPr>
        <sz val="12"/>
        <color rgb="FF000000"/>
        <rFont val="Noto Sans CJK SC"/>
        <family val="2"/>
      </rPr>
      <t>관의</t>
    </r>
    <r>
      <rPr>
        <sz val="12"/>
        <color rgb="FF000000"/>
        <rFont val="맑은 고딕"/>
        <family val="3"/>
        <charset val="129"/>
      </rPr>
      <t>3%</t>
    </r>
  </si>
  <si>
    <r>
      <rPr>
        <sz val="12"/>
        <color rgb="FF000000"/>
        <rFont val="Noto Sans CJK SC"/>
        <family val="2"/>
      </rPr>
      <t>관보온</t>
    </r>
    <r>
      <rPr>
        <sz val="12"/>
        <color rgb="FF000000"/>
        <rFont val="맑은 고딕"/>
        <family val="3"/>
        <charset val="129"/>
      </rPr>
      <t>(</t>
    </r>
    <r>
      <rPr>
        <sz val="12"/>
        <color rgb="FF000000"/>
        <rFont val="Noto Sans CJK SC"/>
        <family val="2"/>
      </rPr>
      <t>발포폴리에틸렌보온통</t>
    </r>
    <r>
      <rPr>
        <sz val="12"/>
        <color rgb="FF000000"/>
        <rFont val="맑은 고딕"/>
        <family val="3"/>
        <charset val="129"/>
      </rPr>
      <t>)</t>
    </r>
  </si>
  <si>
    <t>25t × ø 15</t>
  </si>
  <si>
    <t>m</t>
  </si>
  <si>
    <t>25t × ø 20</t>
  </si>
  <si>
    <t>25t × ø 25</t>
  </si>
  <si>
    <t>25t × ø 32</t>
  </si>
  <si>
    <r>
      <rPr>
        <sz val="12"/>
        <color rgb="FF000000"/>
        <rFont val="맑은 고딕"/>
        <family val="3"/>
        <charset val="129"/>
      </rPr>
      <t>STS</t>
    </r>
    <r>
      <rPr>
        <sz val="12"/>
        <color rgb="FF000000"/>
        <rFont val="Noto Sans CJK SC"/>
        <family val="2"/>
      </rPr>
      <t>엘보</t>
    </r>
    <r>
      <rPr>
        <sz val="12"/>
        <color rgb="FF000000"/>
        <rFont val="맑은 고딕"/>
        <family val="3"/>
        <charset val="129"/>
      </rPr>
      <t>(SR)</t>
    </r>
  </si>
  <si>
    <r>
      <rPr>
        <sz val="12"/>
        <color rgb="FF000000"/>
        <rFont val="맑은 고딕"/>
        <family val="3"/>
        <charset val="129"/>
      </rPr>
      <t>STS</t>
    </r>
    <r>
      <rPr>
        <sz val="12"/>
        <color rgb="FF000000"/>
        <rFont val="Noto Sans CJK SC"/>
        <family val="2"/>
      </rPr>
      <t>티이</t>
    </r>
    <r>
      <rPr>
        <sz val="12"/>
        <color rgb="FF000000"/>
        <rFont val="맑은 고딕"/>
        <family val="3"/>
        <charset val="129"/>
      </rPr>
      <t>(SR)</t>
    </r>
  </si>
  <si>
    <r>
      <rPr>
        <sz val="12"/>
        <color rgb="FF000000"/>
        <rFont val="맑은 고딕"/>
        <family val="3"/>
        <charset val="129"/>
      </rPr>
      <t>STS</t>
    </r>
    <r>
      <rPr>
        <sz val="12"/>
        <color rgb="FF000000"/>
        <rFont val="Noto Sans CJK SC"/>
        <family val="2"/>
      </rPr>
      <t>레듀샤</t>
    </r>
    <r>
      <rPr>
        <sz val="12"/>
        <color rgb="FF000000"/>
        <rFont val="맑은 고딕"/>
        <family val="3"/>
        <charset val="129"/>
      </rPr>
      <t>(SR)</t>
    </r>
  </si>
  <si>
    <r>
      <rPr>
        <sz val="12"/>
        <color rgb="FF000000"/>
        <rFont val="맑은 고딕"/>
        <family val="3"/>
        <charset val="129"/>
      </rPr>
      <t>STS</t>
    </r>
    <r>
      <rPr>
        <sz val="12"/>
        <color rgb="FF000000"/>
        <rFont val="Noto Sans CJK SC"/>
        <family val="2"/>
      </rPr>
      <t>소켓</t>
    </r>
    <r>
      <rPr>
        <sz val="12"/>
        <color rgb="FF000000"/>
        <rFont val="맑은 고딕"/>
        <family val="3"/>
        <charset val="129"/>
      </rPr>
      <t>(SR)</t>
    </r>
  </si>
  <si>
    <r>
      <rPr>
        <sz val="12"/>
        <color rgb="FF000000"/>
        <rFont val="맑은 고딕"/>
        <family val="3"/>
        <charset val="129"/>
      </rPr>
      <t>STS</t>
    </r>
    <r>
      <rPr>
        <sz val="12"/>
        <color rgb="FF000000"/>
        <rFont val="Noto Sans CJK SC"/>
        <family val="2"/>
      </rPr>
      <t>캡</t>
    </r>
    <r>
      <rPr>
        <sz val="12"/>
        <color rgb="FF000000"/>
        <rFont val="맑은 고딕"/>
        <family val="3"/>
        <charset val="129"/>
      </rPr>
      <t>(SR)</t>
    </r>
  </si>
  <si>
    <r>
      <rPr>
        <sz val="12"/>
        <color rgb="FF000000"/>
        <rFont val="맑은 고딕"/>
        <family val="3"/>
        <charset val="129"/>
      </rPr>
      <t>STS M</t>
    </r>
    <r>
      <rPr>
        <sz val="12"/>
        <color rgb="FF000000"/>
        <rFont val="Noto Sans CJK SC"/>
        <family val="2"/>
      </rPr>
      <t>밸브소켓</t>
    </r>
    <r>
      <rPr>
        <sz val="12"/>
        <color rgb="FF000000"/>
        <rFont val="맑은 고딕"/>
        <family val="3"/>
        <charset val="129"/>
      </rPr>
      <t>(SR)</t>
    </r>
  </si>
  <si>
    <r>
      <rPr>
        <sz val="12"/>
        <color rgb="FF000000"/>
        <rFont val="맑은 고딕"/>
        <family val="3"/>
        <charset val="129"/>
      </rPr>
      <t>STS F</t>
    </r>
    <r>
      <rPr>
        <sz val="12"/>
        <color rgb="FF000000"/>
        <rFont val="Noto Sans CJK SC"/>
        <family val="2"/>
      </rPr>
      <t>밸브소켓</t>
    </r>
    <r>
      <rPr>
        <sz val="12"/>
        <color rgb="FF000000"/>
        <rFont val="맑은 고딕"/>
        <family val="3"/>
        <charset val="129"/>
      </rPr>
      <t>(SR)</t>
    </r>
  </si>
  <si>
    <r>
      <rPr>
        <sz val="12"/>
        <color rgb="FF000000"/>
        <rFont val="맑은 고딕"/>
        <family val="3"/>
        <charset val="129"/>
      </rPr>
      <t xml:space="preserve">STS </t>
    </r>
    <r>
      <rPr>
        <sz val="12"/>
        <color rgb="FF000000"/>
        <rFont val="Noto Sans CJK SC"/>
        <family val="2"/>
      </rPr>
      <t>유니온</t>
    </r>
    <r>
      <rPr>
        <sz val="12"/>
        <color rgb="FF000000"/>
        <rFont val="맑은 고딕"/>
        <family val="3"/>
        <charset val="129"/>
      </rPr>
      <t>(SR)</t>
    </r>
  </si>
  <si>
    <r>
      <rPr>
        <sz val="12"/>
        <color rgb="FF000000"/>
        <rFont val="맑은 고딕"/>
        <family val="3"/>
        <charset val="129"/>
      </rPr>
      <t xml:space="preserve">STS </t>
    </r>
    <r>
      <rPr>
        <sz val="12"/>
        <color rgb="FF000000"/>
        <rFont val="Noto Sans CJK SC"/>
        <family val="2"/>
      </rPr>
      <t>수전엘보</t>
    </r>
    <r>
      <rPr>
        <sz val="12"/>
        <color rgb="FF000000"/>
        <rFont val="맑은 고딕"/>
        <family val="3"/>
        <charset val="129"/>
      </rPr>
      <t>(SR)</t>
    </r>
  </si>
  <si>
    <r>
      <rPr>
        <sz val="12"/>
        <color rgb="FF000000"/>
        <rFont val="맑은 고딕"/>
        <family val="3"/>
        <charset val="129"/>
      </rPr>
      <t xml:space="preserve">STS </t>
    </r>
    <r>
      <rPr>
        <sz val="12"/>
        <color rgb="FF000000"/>
        <rFont val="Noto Sans CJK SC"/>
        <family val="2"/>
      </rPr>
      <t>수전티이</t>
    </r>
    <r>
      <rPr>
        <sz val="12"/>
        <color rgb="FF000000"/>
        <rFont val="맑은 고딕"/>
        <family val="3"/>
        <charset val="129"/>
      </rPr>
      <t>(SR)</t>
    </r>
  </si>
  <si>
    <r>
      <rPr>
        <sz val="12"/>
        <color rgb="FF000000"/>
        <rFont val="Noto Sans CJK SC"/>
        <family val="2"/>
      </rPr>
      <t>볼밸브</t>
    </r>
    <r>
      <rPr>
        <sz val="12"/>
        <color rgb="FF000000"/>
        <rFont val="맑은 고딕"/>
        <family val="3"/>
        <charset val="129"/>
      </rPr>
      <t>(</t>
    </r>
    <r>
      <rPr>
        <sz val="12"/>
        <color rgb="FF000000"/>
        <rFont val="Noto Sans CJK SC"/>
        <family val="2"/>
      </rPr>
      <t>청동</t>
    </r>
    <r>
      <rPr>
        <sz val="12"/>
        <color rgb="FF000000"/>
        <rFont val="맑은 고딕"/>
        <family val="3"/>
        <charset val="129"/>
      </rPr>
      <t>)</t>
    </r>
  </si>
  <si>
    <t>D15</t>
  </si>
  <si>
    <t>수도앵글밸브</t>
  </si>
  <si>
    <t>유량계</t>
  </si>
  <si>
    <r>
      <rPr>
        <sz val="12"/>
        <color rgb="FF000000"/>
        <rFont val="Noto Sans CJK SC"/>
        <family val="2"/>
      </rPr>
      <t>유량계</t>
    </r>
    <r>
      <rPr>
        <sz val="12"/>
        <color rgb="FF000000"/>
        <rFont val="맑은 고딕"/>
        <family val="3"/>
        <charset val="129"/>
      </rPr>
      <t>(</t>
    </r>
    <r>
      <rPr>
        <sz val="12"/>
        <color rgb="FF000000"/>
        <rFont val="Noto Sans CJK SC"/>
        <family val="2"/>
      </rPr>
      <t>보호통</t>
    </r>
    <r>
      <rPr>
        <sz val="12"/>
        <color rgb="FF000000"/>
        <rFont val="맑은 고딕"/>
        <family val="3"/>
        <charset val="129"/>
      </rPr>
      <t>)</t>
    </r>
  </si>
  <si>
    <t>절연행거</t>
  </si>
  <si>
    <t>D32</t>
  </si>
  <si>
    <r>
      <rPr>
        <sz val="12"/>
        <color rgb="FF000000"/>
        <rFont val="Noto Sans CJK SC"/>
        <family val="2"/>
      </rPr>
      <t>절연</t>
    </r>
    <r>
      <rPr>
        <sz val="12"/>
        <color rgb="FF000000"/>
        <rFont val="맑은 고딕"/>
        <family val="3"/>
        <charset val="129"/>
      </rPr>
      <t>U</t>
    </r>
    <r>
      <rPr>
        <sz val="12"/>
        <color rgb="FF000000"/>
        <rFont val="Noto Sans CJK SC"/>
        <family val="2"/>
      </rPr>
      <t>볼트</t>
    </r>
    <r>
      <rPr>
        <sz val="12"/>
        <color rgb="FF000000"/>
        <rFont val="맑은 고딕"/>
        <family val="3"/>
        <charset val="129"/>
      </rPr>
      <t>/</t>
    </r>
    <r>
      <rPr>
        <sz val="12"/>
        <color rgb="FF000000"/>
        <rFont val="Noto Sans CJK SC"/>
        <family val="2"/>
      </rPr>
      <t>너트</t>
    </r>
  </si>
  <si>
    <r>
      <rPr>
        <sz val="12"/>
        <color rgb="FF000000"/>
        <rFont val="Noto Sans CJK SC"/>
        <family val="2"/>
      </rPr>
      <t>슬리브설치</t>
    </r>
    <r>
      <rPr>
        <sz val="12"/>
        <color rgb="FF000000"/>
        <rFont val="맑은 고딕"/>
        <family val="3"/>
        <charset val="129"/>
      </rPr>
      <t>(</t>
    </r>
    <r>
      <rPr>
        <sz val="12"/>
        <color rgb="FF000000"/>
        <rFont val="Noto Sans CJK SC"/>
        <family val="2"/>
      </rPr>
      <t>바닥</t>
    </r>
    <r>
      <rPr>
        <sz val="12"/>
        <color rgb="FF000000"/>
        <rFont val="맑은 고딕"/>
        <family val="3"/>
        <charset val="129"/>
      </rPr>
      <t>)</t>
    </r>
  </si>
  <si>
    <r>
      <rPr>
        <sz val="12"/>
        <color rgb="FF000000"/>
        <rFont val="Noto Sans CJK SC"/>
        <family val="2"/>
      </rPr>
      <t>슬리브설치</t>
    </r>
    <r>
      <rPr>
        <sz val="12"/>
        <color rgb="FF000000"/>
        <rFont val="맑은 고딕"/>
        <family val="3"/>
        <charset val="129"/>
      </rPr>
      <t>(</t>
    </r>
    <r>
      <rPr>
        <sz val="12"/>
        <color rgb="FF000000"/>
        <rFont val="Noto Sans CJK SC"/>
        <family val="2"/>
      </rPr>
      <t>벽체</t>
    </r>
    <r>
      <rPr>
        <sz val="12"/>
        <color rgb="FF000000"/>
        <rFont val="맑은 고딕"/>
        <family val="3"/>
        <charset val="129"/>
      </rPr>
      <t>)</t>
    </r>
  </si>
  <si>
    <r>
      <rPr>
        <sz val="12"/>
        <color rgb="FF000000"/>
        <rFont val="Noto Sans CJK SC"/>
        <family val="2"/>
      </rPr>
      <t>내화충진재 금속관</t>
    </r>
    <r>
      <rPr>
        <sz val="12"/>
        <color rgb="FF000000"/>
        <rFont val="맑은 고딕"/>
        <family val="3"/>
        <charset val="129"/>
      </rPr>
      <t>(</t>
    </r>
    <r>
      <rPr>
        <sz val="12"/>
        <color rgb="FF000000"/>
        <rFont val="Noto Sans CJK SC"/>
        <family val="2"/>
      </rPr>
      <t>바닥</t>
    </r>
    <r>
      <rPr>
        <sz val="12"/>
        <color rgb="FF000000"/>
        <rFont val="맑은 고딕"/>
        <family val="3"/>
        <charset val="129"/>
      </rPr>
      <t>)</t>
    </r>
  </si>
  <si>
    <r>
      <rPr>
        <sz val="12"/>
        <color rgb="FF000000"/>
        <rFont val="Noto Sans CJK SC"/>
        <family val="2"/>
      </rPr>
      <t>내화충진재 금속관</t>
    </r>
    <r>
      <rPr>
        <sz val="12"/>
        <color rgb="FF000000"/>
        <rFont val="맑은 고딕"/>
        <family val="3"/>
        <charset val="129"/>
      </rPr>
      <t>(</t>
    </r>
    <r>
      <rPr>
        <sz val="12"/>
        <color rgb="FF000000"/>
        <rFont val="Noto Sans CJK SC"/>
        <family val="2"/>
      </rPr>
      <t>벽체</t>
    </r>
    <r>
      <rPr>
        <sz val="12"/>
        <color rgb="FF000000"/>
        <rFont val="맑은 고딕"/>
        <family val="3"/>
        <charset val="129"/>
      </rPr>
      <t>)</t>
    </r>
  </si>
  <si>
    <r>
      <rPr>
        <sz val="12"/>
        <color rgb="FF000000"/>
        <rFont val="Noto Sans CJK SC"/>
        <family val="2"/>
      </rPr>
      <t xml:space="preserve">내화충진재 </t>
    </r>
    <r>
      <rPr>
        <sz val="12"/>
        <color rgb="FF000000"/>
        <rFont val="맑은 고딕"/>
        <family val="3"/>
        <charset val="129"/>
      </rPr>
      <t>PVC(</t>
    </r>
    <r>
      <rPr>
        <sz val="12"/>
        <color rgb="FF000000"/>
        <rFont val="Noto Sans CJK SC"/>
        <family val="2"/>
      </rPr>
      <t>벽체</t>
    </r>
    <r>
      <rPr>
        <sz val="12"/>
        <color rgb="FF000000"/>
        <rFont val="맑은 고딕"/>
        <family val="3"/>
        <charset val="129"/>
      </rPr>
      <t>)</t>
    </r>
  </si>
  <si>
    <r>
      <rPr>
        <sz val="12"/>
        <color rgb="FF000000"/>
        <rFont val="Noto Sans CJK SC"/>
        <family val="2"/>
      </rPr>
      <t>터파기</t>
    </r>
    <r>
      <rPr>
        <sz val="12"/>
        <color rgb="FF000000"/>
        <rFont val="맑은 고딕"/>
        <family val="3"/>
        <charset val="129"/>
      </rPr>
      <t>(</t>
    </r>
    <r>
      <rPr>
        <sz val="12"/>
        <color rgb="FF000000"/>
        <rFont val="Noto Sans CJK SC"/>
        <family val="2"/>
      </rPr>
      <t>보통토사</t>
    </r>
    <r>
      <rPr>
        <sz val="12"/>
        <color rgb="FF000000"/>
        <rFont val="맑은 고딕"/>
        <family val="3"/>
        <charset val="129"/>
      </rPr>
      <t>)</t>
    </r>
  </si>
  <si>
    <t>   1 - 2 m</t>
  </si>
  <si>
    <t>㎥</t>
  </si>
  <si>
    <t>되메우기</t>
  </si>
  <si>
    <t>잔토처리</t>
  </si>
  <si>
    <t>모래부설</t>
  </si>
  <si>
    <t>배관공</t>
  </si>
  <si>
    <r>
      <rPr>
        <sz val="12"/>
        <color rgb="FF000000"/>
        <rFont val="Noto Sans CJK SC"/>
        <family val="2"/>
      </rPr>
      <t>노무비의</t>
    </r>
    <r>
      <rPr>
        <sz val="12"/>
        <color rgb="FF000000"/>
        <rFont val="맑은 고딕"/>
        <family val="3"/>
        <charset val="129"/>
      </rPr>
      <t>3%</t>
    </r>
  </si>
  <si>
    <t>01010502528322E51EDB869685648B85B9F10E</t>
  </si>
  <si>
    <t>01010502528322E51EDB85F1C9F38E43076406</t>
  </si>
  <si>
    <t>01010502528322E51EDB84EBFEC18195AB8205</t>
  </si>
  <si>
    <t>01010502528322E51EDB83C226258CC078A70E</t>
  </si>
  <si>
    <t>01010502528322E51EDB823D431B8384885006</t>
  </si>
  <si>
    <t>01010502528342350E9488269B158FFBC3310C</t>
  </si>
  <si>
    <t>01010502528342350E948AE83DE980C2755B04</t>
  </si>
  <si>
    <r>
      <rPr>
        <b/>
        <sz val="12"/>
        <rFont val="맑은 고딕"/>
        <family val="3"/>
        <charset val="129"/>
      </rPr>
      <t xml:space="preserve">0204 </t>
    </r>
    <r>
      <rPr>
        <b/>
        <sz val="12"/>
        <rFont val="Noto Sans CJK SC"/>
        <family val="2"/>
      </rPr>
      <t>오배수 및 환기배관공사</t>
    </r>
  </si>
  <si>
    <r>
      <rPr>
        <sz val="12"/>
        <color rgb="FF000000"/>
        <rFont val="맑은 고딕"/>
        <family val="3"/>
        <charset val="129"/>
      </rPr>
      <t>PVC</t>
    </r>
    <r>
      <rPr>
        <sz val="12"/>
        <color rgb="FF000000"/>
        <rFont val="Noto Sans CJK SC"/>
        <family val="2"/>
      </rPr>
      <t>배관</t>
    </r>
    <r>
      <rPr>
        <sz val="12"/>
        <color rgb="FF000000"/>
        <rFont val="맑은 고딕"/>
        <family val="3"/>
        <charset val="129"/>
      </rPr>
      <t>(VG1)DRF</t>
    </r>
  </si>
  <si>
    <t>D50</t>
  </si>
  <si>
    <t>D75</t>
  </si>
  <si>
    <t>D100</t>
  </si>
  <si>
    <r>
      <rPr>
        <sz val="12"/>
        <color rgb="FF000000"/>
        <rFont val="맑은 고딕"/>
        <family val="3"/>
        <charset val="129"/>
      </rPr>
      <t>PVC</t>
    </r>
    <r>
      <rPr>
        <sz val="12"/>
        <color rgb="FF000000"/>
        <rFont val="Noto Sans CJK SC"/>
        <family val="2"/>
      </rPr>
      <t>배관</t>
    </r>
    <r>
      <rPr>
        <sz val="12"/>
        <color rgb="FF000000"/>
        <rFont val="맑은 고딕"/>
        <family val="3"/>
        <charset val="129"/>
      </rPr>
      <t>(VG2)DTS</t>
    </r>
  </si>
  <si>
    <r>
      <rPr>
        <sz val="12"/>
        <color rgb="FF000000"/>
        <rFont val="맑은 고딕"/>
        <family val="3"/>
        <charset val="129"/>
      </rPr>
      <t>PVC</t>
    </r>
    <r>
      <rPr>
        <sz val="12"/>
        <color rgb="FF000000"/>
        <rFont val="Noto Sans CJK SC"/>
        <family val="2"/>
      </rPr>
      <t xml:space="preserve">엘보 </t>
    </r>
    <r>
      <rPr>
        <sz val="12"/>
        <color rgb="FF000000"/>
        <rFont val="맑은 고딕"/>
        <family val="3"/>
        <charset val="129"/>
      </rPr>
      <t>90</t>
    </r>
    <r>
      <rPr>
        <sz val="12"/>
        <color rgb="FF000000"/>
        <rFont val="Noto Sans CJK SC"/>
        <family val="2"/>
      </rPr>
      <t>도</t>
    </r>
    <r>
      <rPr>
        <sz val="12"/>
        <color rgb="FF000000"/>
        <rFont val="맑은 고딕"/>
        <family val="3"/>
        <charset val="129"/>
      </rPr>
      <t>(DTS)</t>
    </r>
  </si>
  <si>
    <r>
      <rPr>
        <sz val="12"/>
        <color rgb="FF000000"/>
        <rFont val="맑은 고딕"/>
        <family val="3"/>
        <charset val="129"/>
      </rPr>
      <t>PVC</t>
    </r>
    <r>
      <rPr>
        <sz val="12"/>
        <color rgb="FF000000"/>
        <rFont val="Noto Sans CJK SC"/>
        <family val="2"/>
      </rPr>
      <t xml:space="preserve">엘보 </t>
    </r>
    <r>
      <rPr>
        <sz val="12"/>
        <color rgb="FF000000"/>
        <rFont val="맑은 고딕"/>
        <family val="3"/>
        <charset val="129"/>
      </rPr>
      <t>45</t>
    </r>
    <r>
      <rPr>
        <sz val="12"/>
        <color rgb="FF000000"/>
        <rFont val="Noto Sans CJK SC"/>
        <family val="2"/>
      </rPr>
      <t>도</t>
    </r>
    <r>
      <rPr>
        <sz val="12"/>
        <color rgb="FF000000"/>
        <rFont val="맑은 고딕"/>
        <family val="3"/>
        <charset val="129"/>
      </rPr>
      <t>(DTS)</t>
    </r>
  </si>
  <si>
    <t>PVC Y (DTS)</t>
  </si>
  <si>
    <t>100*50</t>
  </si>
  <si>
    <t>PVC DT (DTS)</t>
  </si>
  <si>
    <r>
      <rPr>
        <sz val="12"/>
        <color rgb="FF000000"/>
        <rFont val="맑은 고딕"/>
        <family val="3"/>
        <charset val="129"/>
      </rPr>
      <t xml:space="preserve">PVC </t>
    </r>
    <r>
      <rPr>
        <sz val="12"/>
        <color rgb="FF000000"/>
        <rFont val="Noto Sans CJK SC"/>
        <family val="2"/>
      </rPr>
      <t xml:space="preserve">소켓 </t>
    </r>
    <r>
      <rPr>
        <sz val="12"/>
        <color rgb="FF000000"/>
        <rFont val="맑은 고딕"/>
        <family val="3"/>
        <charset val="129"/>
      </rPr>
      <t>(DTS)</t>
    </r>
  </si>
  <si>
    <r>
      <rPr>
        <sz val="12"/>
        <color rgb="FF000000"/>
        <rFont val="맑은 고딕"/>
        <family val="3"/>
        <charset val="129"/>
      </rPr>
      <t>PVC</t>
    </r>
    <r>
      <rPr>
        <sz val="12"/>
        <color rgb="FF000000"/>
        <rFont val="Noto Sans CJK SC"/>
        <family val="2"/>
      </rPr>
      <t xml:space="preserve">엘보 </t>
    </r>
    <r>
      <rPr>
        <sz val="12"/>
        <color rgb="FF000000"/>
        <rFont val="맑은 고딕"/>
        <family val="3"/>
        <charset val="129"/>
      </rPr>
      <t>90</t>
    </r>
    <r>
      <rPr>
        <sz val="12"/>
        <color rgb="FF000000"/>
        <rFont val="Noto Sans CJK SC"/>
        <family val="2"/>
      </rPr>
      <t>도</t>
    </r>
    <r>
      <rPr>
        <sz val="12"/>
        <color rgb="FF000000"/>
        <rFont val="맑은 고딕"/>
        <family val="3"/>
        <charset val="129"/>
      </rPr>
      <t>(DRF)</t>
    </r>
  </si>
  <si>
    <r>
      <rPr>
        <sz val="12"/>
        <color rgb="FF000000"/>
        <rFont val="맑은 고딕"/>
        <family val="3"/>
        <charset val="129"/>
      </rPr>
      <t>PVC</t>
    </r>
    <r>
      <rPr>
        <sz val="12"/>
        <color rgb="FF000000"/>
        <rFont val="Noto Sans CJK SC"/>
        <family val="2"/>
      </rPr>
      <t xml:space="preserve">엘보 </t>
    </r>
    <r>
      <rPr>
        <sz val="12"/>
        <color rgb="FF000000"/>
        <rFont val="맑은 고딕"/>
        <family val="3"/>
        <charset val="129"/>
      </rPr>
      <t>45</t>
    </r>
    <r>
      <rPr>
        <sz val="12"/>
        <color rgb="FF000000"/>
        <rFont val="Noto Sans CJK SC"/>
        <family val="2"/>
      </rPr>
      <t>도</t>
    </r>
    <r>
      <rPr>
        <sz val="12"/>
        <color rgb="FF000000"/>
        <rFont val="맑은 고딕"/>
        <family val="3"/>
        <charset val="129"/>
      </rPr>
      <t>(DRF)</t>
    </r>
  </si>
  <si>
    <t>PVC LT (DRF)</t>
  </si>
  <si>
    <t>PVC CLT (DRF)</t>
  </si>
  <si>
    <t>D125</t>
  </si>
  <si>
    <r>
      <rPr>
        <sz val="12"/>
        <color rgb="FF000000"/>
        <rFont val="맑은 고딕"/>
        <family val="3"/>
        <charset val="129"/>
      </rPr>
      <t>PVC P</t>
    </r>
    <r>
      <rPr>
        <sz val="12"/>
        <color rgb="FF000000"/>
        <rFont val="Noto Sans CJK SC"/>
        <family val="2"/>
      </rPr>
      <t xml:space="preserve">트랩 </t>
    </r>
    <r>
      <rPr>
        <sz val="12"/>
        <color rgb="FF000000"/>
        <rFont val="맑은 고딕"/>
        <family val="3"/>
        <charset val="129"/>
      </rPr>
      <t>(DRF)</t>
    </r>
  </si>
  <si>
    <t>VTR</t>
  </si>
  <si>
    <t>바닥배수구 설치</t>
  </si>
  <si>
    <t>일반행거</t>
  </si>
  <si>
    <r>
      <rPr>
        <sz val="12"/>
        <color rgb="FF000000"/>
        <rFont val="Noto Sans CJK SC"/>
        <family val="2"/>
      </rPr>
      <t>일반</t>
    </r>
    <r>
      <rPr>
        <sz val="12"/>
        <color rgb="FF000000"/>
        <rFont val="맑은 고딕"/>
        <family val="3"/>
        <charset val="129"/>
      </rPr>
      <t>U</t>
    </r>
    <r>
      <rPr>
        <sz val="12"/>
        <color rgb="FF000000"/>
        <rFont val="Noto Sans CJK SC"/>
        <family val="2"/>
      </rPr>
      <t>볼트</t>
    </r>
    <r>
      <rPr>
        <sz val="12"/>
        <color rgb="FF000000"/>
        <rFont val="맑은 고딕"/>
        <family val="3"/>
        <charset val="129"/>
      </rPr>
      <t>/</t>
    </r>
    <r>
      <rPr>
        <sz val="12"/>
        <color rgb="FF000000"/>
        <rFont val="Noto Sans CJK SC"/>
        <family val="2"/>
      </rPr>
      <t>너트</t>
    </r>
  </si>
  <si>
    <r>
      <rPr>
        <sz val="12"/>
        <color rgb="FF000000"/>
        <rFont val="Noto Sans CJK SC"/>
        <family val="2"/>
      </rPr>
      <t>성형슬리브설치</t>
    </r>
    <r>
      <rPr>
        <sz val="12"/>
        <color rgb="FF000000"/>
        <rFont val="맑은 고딕"/>
        <family val="3"/>
        <charset val="129"/>
      </rPr>
      <t>(</t>
    </r>
    <r>
      <rPr>
        <sz val="12"/>
        <color rgb="FF000000"/>
        <rFont val="Noto Sans CJK SC"/>
        <family val="2"/>
      </rPr>
      <t>바닥</t>
    </r>
    <r>
      <rPr>
        <sz val="12"/>
        <color rgb="FF000000"/>
        <rFont val="맑은 고딕"/>
        <family val="3"/>
        <charset val="129"/>
      </rPr>
      <t>)</t>
    </r>
  </si>
  <si>
    <t>D80</t>
  </si>
  <si>
    <r>
      <rPr>
        <sz val="12"/>
        <color rgb="FF000000"/>
        <rFont val="Noto Sans CJK SC"/>
        <family val="2"/>
      </rPr>
      <t>강관 스리브</t>
    </r>
    <r>
      <rPr>
        <sz val="12"/>
        <color rgb="FF000000"/>
        <rFont val="맑은 고딕"/>
        <family val="3"/>
        <charset val="129"/>
      </rPr>
      <t>(</t>
    </r>
    <r>
      <rPr>
        <sz val="12"/>
        <color rgb="FF000000"/>
        <rFont val="Noto Sans CJK SC"/>
        <family val="2"/>
      </rPr>
      <t>지수판포함</t>
    </r>
    <r>
      <rPr>
        <sz val="12"/>
        <color rgb="FF000000"/>
        <rFont val="맑은 고딕"/>
        <family val="3"/>
        <charset val="129"/>
      </rPr>
      <t>)</t>
    </r>
  </si>
  <si>
    <r>
      <rPr>
        <sz val="12"/>
        <color rgb="FF000000"/>
        <rFont val="Noto Sans CJK SC"/>
        <family val="2"/>
      </rPr>
      <t xml:space="preserve">내화충진재 </t>
    </r>
    <r>
      <rPr>
        <sz val="12"/>
        <color rgb="FF000000"/>
        <rFont val="맑은 고딕"/>
        <family val="3"/>
        <charset val="129"/>
      </rPr>
      <t>PVC(</t>
    </r>
    <r>
      <rPr>
        <sz val="12"/>
        <color rgb="FF000000"/>
        <rFont val="Noto Sans CJK SC"/>
        <family val="2"/>
      </rPr>
      <t>바닥</t>
    </r>
    <r>
      <rPr>
        <sz val="12"/>
        <color rgb="FF000000"/>
        <rFont val="맑은 고딕"/>
        <family val="3"/>
        <charset val="129"/>
      </rPr>
      <t>)</t>
    </r>
  </si>
  <si>
    <t>인써트플레이트</t>
  </si>
  <si>
    <t>200 × 200</t>
  </si>
  <si>
    <t>ㄱ자형강</t>
  </si>
  <si>
    <t>50*50*6</t>
  </si>
  <si>
    <t>잡철물 제작 설치</t>
  </si>
  <si>
    <t>현장제작설치</t>
  </si>
  <si>
    <t>Ton</t>
  </si>
  <si>
    <t>녹막이 페인트 칠</t>
  </si>
  <si>
    <r>
      <rPr>
        <sz val="12"/>
        <color rgb="FF000000"/>
        <rFont val="맑은 고딕"/>
        <family val="3"/>
        <charset val="129"/>
      </rPr>
      <t xml:space="preserve">2 </t>
    </r>
    <r>
      <rPr>
        <sz val="12"/>
        <color rgb="FF000000"/>
        <rFont val="Noto Sans CJK SC"/>
        <family val="2"/>
      </rPr>
      <t>회</t>
    </r>
  </si>
  <si>
    <t>㎡</t>
  </si>
  <si>
    <t>유성 페인트 칠</t>
  </si>
  <si>
    <r>
      <rPr>
        <b/>
        <sz val="12"/>
        <rFont val="맑은 고딕"/>
        <family val="3"/>
        <charset val="129"/>
      </rPr>
      <t xml:space="preserve">0205 </t>
    </r>
    <r>
      <rPr>
        <b/>
        <sz val="12"/>
        <rFont val="Noto Sans CJK SC"/>
        <family val="2"/>
      </rPr>
      <t>가스배관공사</t>
    </r>
  </si>
  <si>
    <t>가스계량기 외가스배관</t>
  </si>
  <si>
    <r>
      <rPr>
        <sz val="12"/>
        <rFont val="맑은 고딕"/>
        <family val="3"/>
        <charset val="129"/>
      </rPr>
      <t>2.5</t>
    </r>
    <r>
      <rPr>
        <sz val="12"/>
        <rFont val="Noto Sans CJK SC"/>
        <family val="2"/>
      </rPr>
      <t>등급</t>
    </r>
  </si>
  <si>
    <r>
      <rPr>
        <b/>
        <sz val="12"/>
        <rFont val="맑은 고딕"/>
        <family val="3"/>
        <charset val="129"/>
      </rPr>
      <t xml:space="preserve">0206 </t>
    </r>
    <r>
      <rPr>
        <b/>
        <sz val="12"/>
        <rFont val="Noto Sans CJK SC"/>
        <family val="2"/>
      </rPr>
      <t>난방배관공사</t>
    </r>
  </si>
  <si>
    <r>
      <rPr>
        <sz val="12"/>
        <color rgb="FF000000"/>
        <rFont val="맑은 고딕"/>
        <family val="3"/>
        <charset val="129"/>
      </rPr>
      <t>PB</t>
    </r>
    <r>
      <rPr>
        <sz val="12"/>
        <color rgb="FF000000"/>
        <rFont val="Noto Sans CJK SC"/>
        <family val="2"/>
      </rPr>
      <t>이중관배관</t>
    </r>
    <r>
      <rPr>
        <sz val="12"/>
        <color rgb="FF000000"/>
        <rFont val="맑은 고딕"/>
        <family val="3"/>
        <charset val="129"/>
      </rPr>
      <t>(CD+PB)</t>
    </r>
  </si>
  <si>
    <r>
      <rPr>
        <sz val="12"/>
        <color rgb="FF000000"/>
        <rFont val="맑은 고딕"/>
        <family val="3"/>
        <charset val="129"/>
      </rPr>
      <t>X-L</t>
    </r>
    <r>
      <rPr>
        <sz val="12"/>
        <color rgb="FF000000"/>
        <rFont val="Noto Sans CJK SC"/>
        <family val="2"/>
      </rPr>
      <t>배관</t>
    </r>
  </si>
  <si>
    <t>5t × ø 15</t>
  </si>
  <si>
    <t>10t*20A</t>
  </si>
  <si>
    <r>
      <rPr>
        <sz val="12"/>
        <color rgb="FF000000"/>
        <rFont val="맑은 고딕"/>
        <family val="3"/>
        <charset val="129"/>
      </rPr>
      <t>PB M</t>
    </r>
    <r>
      <rPr>
        <sz val="12"/>
        <color rgb="FF000000"/>
        <rFont val="Noto Sans CJK SC"/>
        <family val="2"/>
      </rPr>
      <t>밸브소켓</t>
    </r>
  </si>
  <si>
    <r>
      <rPr>
        <sz val="12"/>
        <color rgb="FF000000"/>
        <rFont val="맑은 고딕"/>
        <family val="3"/>
        <charset val="129"/>
      </rPr>
      <t>PB S</t>
    </r>
    <r>
      <rPr>
        <sz val="12"/>
        <color rgb="FF000000"/>
        <rFont val="Noto Sans CJK SC"/>
        <family val="2"/>
      </rPr>
      <t>슬리브</t>
    </r>
  </si>
  <si>
    <t>관말캡</t>
  </si>
  <si>
    <t>온수분배기설치</t>
  </si>
  <si>
    <r>
      <rPr>
        <sz val="12"/>
        <color rgb="FF000000"/>
        <rFont val="맑은 고딕"/>
        <family val="3"/>
        <charset val="129"/>
      </rPr>
      <t>4</t>
    </r>
    <r>
      <rPr>
        <sz val="12"/>
        <color rgb="FF000000"/>
        <rFont val="Noto Sans CJK SC"/>
        <family val="2"/>
      </rPr>
      <t>구</t>
    </r>
  </si>
  <si>
    <r>
      <rPr>
        <sz val="12"/>
        <color rgb="FF000000"/>
        <rFont val="맑은 고딕"/>
        <family val="3"/>
        <charset val="129"/>
      </rPr>
      <t>3</t>
    </r>
    <r>
      <rPr>
        <sz val="12"/>
        <color rgb="FF000000"/>
        <rFont val="Noto Sans CJK SC"/>
        <family val="2"/>
      </rPr>
      <t>구</t>
    </r>
  </si>
  <si>
    <r>
      <rPr>
        <sz val="12"/>
        <color rgb="FF000000"/>
        <rFont val="맑은 고딕"/>
        <family val="3"/>
        <charset val="129"/>
      </rPr>
      <t>U</t>
    </r>
    <r>
      <rPr>
        <sz val="12"/>
        <color rgb="FF000000"/>
        <rFont val="Noto Sans CJK SC"/>
        <family val="2"/>
      </rPr>
      <t>핀</t>
    </r>
  </si>
  <si>
    <r>
      <rPr>
        <b/>
        <sz val="12"/>
        <rFont val="맑은 고딕"/>
        <family val="3"/>
        <charset val="129"/>
      </rPr>
      <t xml:space="preserve">0207 EHP,ERV </t>
    </r>
    <r>
      <rPr>
        <b/>
        <sz val="12"/>
        <rFont val="Noto Sans CJK SC"/>
        <family val="2"/>
      </rPr>
      <t>공사</t>
    </r>
  </si>
  <si>
    <r>
      <rPr>
        <sz val="12"/>
        <color rgb="FF000000"/>
        <rFont val="Noto Sans CJK SC"/>
        <family val="2"/>
      </rPr>
      <t>시스템에어컨실외기</t>
    </r>
    <r>
      <rPr>
        <sz val="12"/>
        <color rgb="FF000000"/>
        <rFont val="맑은 고딕"/>
        <family val="3"/>
        <charset val="129"/>
      </rPr>
      <t>(</t>
    </r>
    <r>
      <rPr>
        <sz val="12"/>
        <color rgb="FF000000"/>
        <rFont val="Noto Sans CJK SC"/>
        <family val="2"/>
      </rPr>
      <t>주거용</t>
    </r>
    <r>
      <rPr>
        <sz val="12"/>
        <color rgb="FF000000"/>
        <rFont val="맑은 고딕"/>
        <family val="3"/>
        <charset val="129"/>
      </rPr>
      <t>)</t>
    </r>
  </si>
  <si>
    <t>AJ050MXHNBC1</t>
  </si>
  <si>
    <t>AJ060MXHNBC1</t>
  </si>
  <si>
    <r>
      <rPr>
        <sz val="12"/>
        <color rgb="FF000000"/>
        <rFont val="Noto Sans CJK SC"/>
        <family val="2"/>
      </rPr>
      <t>시스템에어컨실내기</t>
    </r>
    <r>
      <rPr>
        <sz val="12"/>
        <color rgb="FF000000"/>
        <rFont val="맑은 고딕"/>
        <family val="3"/>
        <charset val="129"/>
      </rPr>
      <t>(1-WAY)</t>
    </r>
  </si>
  <si>
    <t>AJ020BN1PBC1</t>
  </si>
  <si>
    <t>AJ040BN1PBC1</t>
  </si>
  <si>
    <t>AJ060BN1PBC1</t>
  </si>
  <si>
    <t>무선 리모컨</t>
  </si>
  <si>
    <t>AR-EC05</t>
  </si>
  <si>
    <t>유연호스</t>
  </si>
  <si>
    <t>분지관</t>
  </si>
  <si>
    <t>실내기용</t>
  </si>
  <si>
    <t>실외기 받침대</t>
  </si>
  <si>
    <t>주거용</t>
  </si>
  <si>
    <t>장비설치공사</t>
  </si>
  <si>
    <t>냉매배관 설치공사</t>
  </si>
  <si>
    <t>드레인배관 설치공사</t>
  </si>
  <si>
    <t>통신선 설치공사</t>
  </si>
  <si>
    <t>냉매충진 및 시운전</t>
  </si>
  <si>
    <t>배관트레이</t>
  </si>
  <si>
    <t>장비사용</t>
  </si>
  <si>
    <t>내화채움공사</t>
  </si>
  <si>
    <r>
      <rPr>
        <sz val="12"/>
        <color rgb="FF000000"/>
        <rFont val="Noto Sans CJK SC"/>
        <family val="2"/>
      </rPr>
      <t>전열교환기</t>
    </r>
    <r>
      <rPr>
        <sz val="12"/>
        <color rgb="FF000000"/>
        <rFont val="맑은 고딕"/>
        <family val="3"/>
        <charset val="129"/>
      </rPr>
      <t>(</t>
    </r>
    <r>
      <rPr>
        <sz val="12"/>
        <color rgb="FF000000"/>
        <rFont val="Noto Sans CJK SC"/>
        <family val="2"/>
      </rPr>
      <t>유선리모컨포함</t>
    </r>
    <r>
      <rPr>
        <sz val="12"/>
        <color rgb="FF000000"/>
        <rFont val="맑은 고딕"/>
        <family val="3"/>
        <charset val="129"/>
      </rPr>
      <t>)</t>
    </r>
  </si>
  <si>
    <t>200CMH</t>
  </si>
  <si>
    <t>장비 설치공사</t>
  </si>
  <si>
    <t>덕트 공사</t>
  </si>
  <si>
    <t>덕트및디퓨저일체</t>
  </si>
  <si>
    <t>환기캡</t>
  </si>
  <si>
    <t>Ø150</t>
  </si>
  <si>
    <r>
      <rPr>
        <b/>
        <sz val="12"/>
        <rFont val="맑은 고딕"/>
        <family val="3"/>
        <charset val="129"/>
      </rPr>
      <t xml:space="preserve">0201 </t>
    </r>
    <r>
      <rPr>
        <b/>
        <sz val="12"/>
        <rFont val="Noto Sans CJK SC"/>
        <family val="2"/>
      </rPr>
      <t>소화장비설치공사</t>
    </r>
  </si>
  <si>
    <r>
      <rPr>
        <sz val="12"/>
        <rFont val="Noto Sans CJK SC"/>
        <family val="2"/>
      </rPr>
      <t>소화주펌프</t>
    </r>
    <r>
      <rPr>
        <sz val="12"/>
        <rFont val="맑은 고딕"/>
        <family val="3"/>
        <charset val="129"/>
      </rPr>
      <t>(</t>
    </r>
    <r>
      <rPr>
        <sz val="12"/>
        <rFont val="Noto Sans CJK SC"/>
        <family val="2"/>
      </rPr>
      <t>다단볼류트</t>
    </r>
    <r>
      <rPr>
        <sz val="12"/>
        <rFont val="맑은 고딕"/>
        <family val="3"/>
        <charset val="129"/>
      </rPr>
      <t>)</t>
    </r>
  </si>
  <si>
    <t>1200L*70M*30HP</t>
  </si>
  <si>
    <r>
      <rPr>
        <sz val="12"/>
        <rFont val="Noto Sans CJK SC"/>
        <family val="2"/>
      </rPr>
      <t>소화주펌프</t>
    </r>
    <r>
      <rPr>
        <sz val="12"/>
        <rFont val="맑은 고딕"/>
        <family val="3"/>
        <charset val="129"/>
      </rPr>
      <t>(</t>
    </r>
    <r>
      <rPr>
        <sz val="12"/>
        <rFont val="Noto Sans CJK SC"/>
        <family val="2"/>
      </rPr>
      <t>웨스크</t>
    </r>
    <r>
      <rPr>
        <sz val="12"/>
        <rFont val="맑은 고딕"/>
        <family val="3"/>
        <charset val="129"/>
      </rPr>
      <t>)</t>
    </r>
  </si>
  <si>
    <t>60L*70M*5HP</t>
  </si>
  <si>
    <t>전자식압력스위치</t>
  </si>
  <si>
    <t>방진가대</t>
  </si>
  <si>
    <t>30HP</t>
  </si>
  <si>
    <t>웨스코</t>
  </si>
  <si>
    <r>
      <rPr>
        <b/>
        <sz val="12"/>
        <rFont val="맑은 고딕"/>
        <family val="3"/>
        <charset val="129"/>
      </rPr>
      <t xml:space="preserve">0202 </t>
    </r>
    <r>
      <rPr>
        <b/>
        <sz val="12"/>
        <rFont val="Noto Sans CJK SC"/>
        <family val="2"/>
      </rPr>
      <t>소화기계실배관공사</t>
    </r>
  </si>
  <si>
    <t>배관용 탄소강관</t>
  </si>
  <si>
    <r>
      <rPr>
        <sz val="12"/>
        <color rgb="FF000000"/>
        <rFont val="Noto Sans CJK SC"/>
        <family val="2"/>
      </rPr>
      <t xml:space="preserve">백관 </t>
    </r>
    <r>
      <rPr>
        <sz val="12"/>
        <color rgb="FF000000"/>
        <rFont val="맑은 고딕"/>
        <family val="3"/>
        <charset val="129"/>
      </rPr>
      <t xml:space="preserve">(SPP), D20, </t>
    </r>
    <r>
      <rPr>
        <sz val="12"/>
        <color rgb="FF000000"/>
        <rFont val="Noto Sans CJK SC"/>
        <family val="2"/>
      </rPr>
      <t>반제품</t>
    </r>
  </si>
  <si>
    <r>
      <rPr>
        <sz val="12"/>
        <color rgb="FF000000"/>
        <rFont val="Noto Sans CJK SC"/>
        <family val="2"/>
      </rPr>
      <t xml:space="preserve">백관 </t>
    </r>
    <r>
      <rPr>
        <sz val="12"/>
        <color rgb="FF000000"/>
        <rFont val="맑은 고딕"/>
        <family val="3"/>
        <charset val="129"/>
      </rPr>
      <t xml:space="preserve">(SPP), D25, </t>
    </r>
    <r>
      <rPr>
        <sz val="12"/>
        <color rgb="FF000000"/>
        <rFont val="Noto Sans CJK SC"/>
        <family val="2"/>
      </rPr>
      <t>반제품</t>
    </r>
  </si>
  <si>
    <r>
      <rPr>
        <sz val="12"/>
        <color rgb="FF000000"/>
        <rFont val="Noto Sans CJK SC"/>
        <family val="2"/>
      </rPr>
      <t xml:space="preserve">백관 </t>
    </r>
    <r>
      <rPr>
        <sz val="12"/>
        <color rgb="FF000000"/>
        <rFont val="맑은 고딕"/>
        <family val="3"/>
        <charset val="129"/>
      </rPr>
      <t xml:space="preserve">(SPP), D50, </t>
    </r>
    <r>
      <rPr>
        <sz val="12"/>
        <color rgb="FF000000"/>
        <rFont val="Noto Sans CJK SC"/>
        <family val="2"/>
      </rPr>
      <t>반제품</t>
    </r>
  </si>
  <si>
    <r>
      <rPr>
        <sz val="12"/>
        <color rgb="FF000000"/>
        <rFont val="Noto Sans CJK SC"/>
        <family val="2"/>
      </rPr>
      <t xml:space="preserve">배관용 탄소강관 </t>
    </r>
    <r>
      <rPr>
        <sz val="12"/>
        <color rgb="FF000000"/>
        <rFont val="맑은 고딕"/>
        <family val="3"/>
        <charset val="129"/>
      </rPr>
      <t>(</t>
    </r>
    <r>
      <rPr>
        <sz val="12"/>
        <color rgb="FF000000"/>
        <rFont val="Noto Sans CJK SC"/>
        <family val="2"/>
      </rPr>
      <t>무용접</t>
    </r>
    <r>
      <rPr>
        <sz val="12"/>
        <color rgb="FF000000"/>
        <rFont val="맑은 고딕"/>
        <family val="3"/>
        <charset val="129"/>
      </rPr>
      <t>)</t>
    </r>
  </si>
  <si>
    <r>
      <rPr>
        <sz val="12"/>
        <color rgb="FF000000"/>
        <rFont val="Noto Sans CJK SC"/>
        <family val="2"/>
      </rPr>
      <t xml:space="preserve">백관 </t>
    </r>
    <r>
      <rPr>
        <sz val="12"/>
        <color rgb="FF000000"/>
        <rFont val="맑은 고딕"/>
        <family val="3"/>
        <charset val="129"/>
      </rPr>
      <t xml:space="preserve">(SPP), D100, </t>
    </r>
    <r>
      <rPr>
        <sz val="12"/>
        <color rgb="FF000000"/>
        <rFont val="Noto Sans CJK SC"/>
        <family val="2"/>
      </rPr>
      <t>반제품</t>
    </r>
  </si>
  <si>
    <t>잡재료비</t>
  </si>
  <si>
    <r>
      <rPr>
        <sz val="12"/>
        <color rgb="FF000000"/>
        <rFont val="Noto Sans CJK SC"/>
        <family val="2"/>
      </rPr>
      <t xml:space="preserve">주재료비의 </t>
    </r>
    <r>
      <rPr>
        <sz val="12"/>
        <color rgb="FF000000"/>
        <rFont val="맑은 고딕"/>
        <family val="3"/>
        <charset val="129"/>
      </rPr>
      <t>3%</t>
    </r>
  </si>
  <si>
    <r>
      <rPr>
        <sz val="12"/>
        <color rgb="FF000000"/>
        <rFont val="Noto Sans CJK SC"/>
        <family val="2"/>
      </rPr>
      <t>관보온</t>
    </r>
    <r>
      <rPr>
        <sz val="12"/>
        <color rgb="FF000000"/>
        <rFont val="맑은 고딕"/>
        <family val="3"/>
        <charset val="129"/>
      </rPr>
      <t>(</t>
    </r>
    <r>
      <rPr>
        <sz val="12"/>
        <color rgb="FF000000"/>
        <rFont val="Noto Sans CJK SC"/>
        <family val="2"/>
      </rPr>
      <t>발포</t>
    </r>
    <r>
      <rPr>
        <sz val="12"/>
        <color rgb="FF000000"/>
        <rFont val="맑은 고딕"/>
        <family val="3"/>
        <charset val="129"/>
      </rPr>
      <t>,</t>
    </r>
    <r>
      <rPr>
        <sz val="12"/>
        <color rgb="FF000000"/>
        <rFont val="Noto Sans CJK SC"/>
        <family val="2"/>
      </rPr>
      <t>강관용</t>
    </r>
    <r>
      <rPr>
        <sz val="12"/>
        <color rgb="FF000000"/>
        <rFont val="맑은 고딕"/>
        <family val="3"/>
        <charset val="129"/>
      </rPr>
      <t>)</t>
    </r>
  </si>
  <si>
    <t>25TxD25</t>
  </si>
  <si>
    <t>25TxD50</t>
  </si>
  <si>
    <t>40TxD100</t>
  </si>
  <si>
    <t>나사식 강관제 관이음쇠</t>
  </si>
  <si>
    <r>
      <rPr>
        <sz val="12"/>
        <color rgb="FF000000"/>
        <rFont val="Noto Sans CJK SC"/>
        <family val="2"/>
      </rPr>
      <t xml:space="preserve">백엘보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</si>
  <si>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백엘보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</si>
  <si>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r>
      <rPr>
        <sz val="12"/>
        <color rgb="FF000000"/>
        <rFont val="Noto Sans CJK SC"/>
        <family val="2"/>
      </rPr>
      <t xml:space="preserve">백티이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</si>
  <si>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r>
      <rPr>
        <sz val="12"/>
        <color rgb="FF000000"/>
        <rFont val="Noto Sans CJK SC"/>
        <family val="2"/>
      </rPr>
      <t xml:space="preserve">백리듀서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</si>
  <si>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r>
      <rPr>
        <sz val="12"/>
        <color rgb="FF000000"/>
        <rFont val="Noto Sans CJK SC"/>
        <family val="2"/>
      </rPr>
      <t xml:space="preserve">백니플 </t>
    </r>
    <r>
      <rPr>
        <sz val="12"/>
        <color rgb="FF000000"/>
        <rFont val="맑은 고딕"/>
        <family val="3"/>
        <charset val="129"/>
      </rPr>
      <t>(</t>
    </r>
    <r>
      <rPr>
        <sz val="12"/>
        <color rgb="FF000000"/>
        <rFont val="Noto Sans CJK SC"/>
        <family val="2"/>
      </rPr>
      <t>나사</t>
    </r>
    <r>
      <rPr>
        <sz val="12"/>
        <color rgb="FF000000"/>
        <rFont val="맑은 고딕"/>
        <family val="3"/>
        <charset val="129"/>
      </rPr>
      <t>) D20</t>
    </r>
  </si>
  <si>
    <r>
      <rPr>
        <sz val="12"/>
        <color rgb="FF000000"/>
        <rFont val="Noto Sans CJK SC"/>
        <family val="2"/>
      </rPr>
      <t xml:space="preserve">백니플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</si>
  <si>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백니플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</si>
  <si>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r>
      <rPr>
        <sz val="12"/>
        <color rgb="FF000000"/>
        <rFont val="Noto Sans CJK SC"/>
        <family val="2"/>
      </rPr>
      <t xml:space="preserve">백유니온 </t>
    </r>
    <r>
      <rPr>
        <sz val="12"/>
        <color rgb="FF000000"/>
        <rFont val="맑은 고딕"/>
        <family val="3"/>
        <charset val="129"/>
      </rPr>
      <t>(</t>
    </r>
    <r>
      <rPr>
        <sz val="12"/>
        <color rgb="FF000000"/>
        <rFont val="Noto Sans CJK SC"/>
        <family val="2"/>
      </rPr>
      <t>나사</t>
    </r>
    <r>
      <rPr>
        <sz val="12"/>
        <color rgb="FF000000"/>
        <rFont val="맑은 고딕"/>
        <family val="3"/>
        <charset val="129"/>
      </rPr>
      <t>) D20</t>
    </r>
  </si>
  <si>
    <r>
      <rPr>
        <sz val="12"/>
        <color rgb="FF000000"/>
        <rFont val="Noto Sans CJK SC"/>
        <family val="2"/>
      </rPr>
      <t xml:space="preserve">백유니온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</si>
  <si>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백유니온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</si>
  <si>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t>무용접후렌지아답타니플</t>
  </si>
  <si>
    <t>무용접엘보</t>
  </si>
  <si>
    <t>무용접티이</t>
  </si>
  <si>
    <t>무용접캡</t>
  </si>
  <si>
    <t>무용접고정식커플링</t>
  </si>
  <si>
    <t>용접합후렌지</t>
  </si>
  <si>
    <t>D40</t>
  </si>
  <si>
    <t>게이트 밸브</t>
  </si>
  <si>
    <r>
      <rPr>
        <sz val="12"/>
        <color rgb="FF000000"/>
        <rFont val="Noto Sans CJK SC"/>
        <family val="2"/>
      </rPr>
      <t>청동</t>
    </r>
    <r>
      <rPr>
        <sz val="12"/>
        <color rgb="FF000000"/>
        <rFont val="맑은 고딕"/>
        <family val="3"/>
        <charset val="129"/>
      </rPr>
      <t>,10kg,D20</t>
    </r>
  </si>
  <si>
    <r>
      <rPr>
        <sz val="12"/>
        <color rgb="FF000000"/>
        <rFont val="Noto Sans CJK SC"/>
        <family val="2"/>
      </rPr>
      <t>청동</t>
    </r>
    <r>
      <rPr>
        <sz val="12"/>
        <color rgb="FF000000"/>
        <rFont val="맑은 고딕"/>
        <family val="3"/>
        <charset val="129"/>
      </rPr>
      <t>,10kg,D25</t>
    </r>
  </si>
  <si>
    <t>글로브 밸브</t>
  </si>
  <si>
    <r>
      <rPr>
        <sz val="12"/>
        <color rgb="FF000000"/>
        <rFont val="Noto Sans CJK SC"/>
        <family val="2"/>
      </rPr>
      <t>주철</t>
    </r>
    <r>
      <rPr>
        <sz val="12"/>
        <color rgb="FF000000"/>
        <rFont val="맑은 고딕"/>
        <family val="3"/>
        <charset val="129"/>
      </rPr>
      <t>, 10kg, D65</t>
    </r>
  </si>
  <si>
    <t>체크 밸브</t>
  </si>
  <si>
    <r>
      <rPr>
        <sz val="12"/>
        <color rgb="FF000000"/>
        <rFont val="Noto Sans CJK SC"/>
        <family val="2"/>
      </rPr>
      <t>스모렌스키</t>
    </r>
    <r>
      <rPr>
        <sz val="12"/>
        <color rgb="FF000000"/>
        <rFont val="맑은 고딕"/>
        <family val="3"/>
        <charset val="129"/>
      </rPr>
      <t>,D50</t>
    </r>
  </si>
  <si>
    <r>
      <rPr>
        <sz val="12"/>
        <color rgb="FF000000"/>
        <rFont val="Noto Sans CJK SC"/>
        <family val="2"/>
      </rPr>
      <t>스모렌스키</t>
    </r>
    <r>
      <rPr>
        <sz val="12"/>
        <color rgb="FF000000"/>
        <rFont val="맑은 고딕"/>
        <family val="3"/>
        <charset val="129"/>
      </rPr>
      <t>,D100</t>
    </r>
  </si>
  <si>
    <t>스트레이너</t>
  </si>
  <si>
    <r>
      <rPr>
        <sz val="12"/>
        <color rgb="FF000000"/>
        <rFont val="Noto Sans CJK SC"/>
        <family val="2"/>
      </rPr>
      <t>나사</t>
    </r>
    <r>
      <rPr>
        <sz val="12"/>
        <color rgb="FF000000"/>
        <rFont val="맑은 고딕"/>
        <family val="3"/>
        <charset val="129"/>
      </rPr>
      <t>, 10kg, D50</t>
    </r>
  </si>
  <si>
    <r>
      <rPr>
        <sz val="12"/>
        <color rgb="FF000000"/>
        <rFont val="Noto Sans CJK SC"/>
        <family val="2"/>
      </rPr>
      <t>후랜지</t>
    </r>
    <r>
      <rPr>
        <sz val="12"/>
        <color rgb="FF000000"/>
        <rFont val="맑은 고딕"/>
        <family val="3"/>
        <charset val="129"/>
      </rPr>
      <t>, 10kg, D100</t>
    </r>
  </si>
  <si>
    <t>후드밸브</t>
  </si>
  <si>
    <r>
      <rPr>
        <sz val="12"/>
        <color rgb="FF000000"/>
        <rFont val="Noto Sans CJK SC"/>
        <family val="2"/>
      </rPr>
      <t>여과망</t>
    </r>
    <r>
      <rPr>
        <sz val="12"/>
        <color rgb="FF000000"/>
        <rFont val="맑은 고딕"/>
        <family val="3"/>
        <charset val="129"/>
      </rPr>
      <t>, D100</t>
    </r>
  </si>
  <si>
    <t>플랙시블 조인트</t>
  </si>
  <si>
    <r>
      <rPr>
        <sz val="12"/>
        <color rgb="FF000000"/>
        <rFont val="Noto Sans CJK SC"/>
        <family val="2"/>
      </rPr>
      <t>벨로즈형</t>
    </r>
    <r>
      <rPr>
        <sz val="12"/>
        <color rgb="FF000000"/>
        <rFont val="맑은 고딕"/>
        <family val="3"/>
        <charset val="129"/>
      </rPr>
      <t>, D50*10k</t>
    </r>
  </si>
  <si>
    <r>
      <rPr>
        <sz val="12"/>
        <color rgb="FF000000"/>
        <rFont val="Noto Sans CJK SC"/>
        <family val="2"/>
      </rPr>
      <t>벨로즈형</t>
    </r>
    <r>
      <rPr>
        <sz val="12"/>
        <color rgb="FF000000"/>
        <rFont val="맑은 고딕"/>
        <family val="3"/>
        <charset val="129"/>
      </rPr>
      <t>, D100*10k</t>
    </r>
  </si>
  <si>
    <t>수격방지기</t>
  </si>
  <si>
    <t>W.H.C D100</t>
  </si>
  <si>
    <r>
      <rPr>
        <sz val="12"/>
        <color rgb="FF000000"/>
        <rFont val="Noto Sans CJK SC"/>
        <family val="2"/>
      </rPr>
      <t xml:space="preserve">밸브보온 </t>
    </r>
    <r>
      <rPr>
        <sz val="12"/>
        <color rgb="FF000000"/>
        <rFont val="맑은 고딕"/>
        <family val="3"/>
        <charset val="129"/>
      </rPr>
      <t>(</t>
    </r>
    <r>
      <rPr>
        <sz val="12"/>
        <color rgb="FF000000"/>
        <rFont val="Noto Sans CJK SC"/>
        <family val="2"/>
      </rPr>
      <t>발포</t>
    </r>
    <r>
      <rPr>
        <sz val="12"/>
        <color rgb="FF000000"/>
        <rFont val="맑은 고딕"/>
        <family val="3"/>
        <charset val="129"/>
      </rPr>
      <t>)</t>
    </r>
  </si>
  <si>
    <t>25TxD100</t>
  </si>
  <si>
    <t>소방용 밸브</t>
  </si>
  <si>
    <r>
      <rPr>
        <sz val="12"/>
        <color rgb="FF000000"/>
        <rFont val="Noto Sans CJK SC"/>
        <family val="2"/>
      </rPr>
      <t>릴리프밸브</t>
    </r>
    <r>
      <rPr>
        <sz val="12"/>
        <color rgb="FF000000"/>
        <rFont val="맑은 고딕"/>
        <family val="3"/>
        <charset val="129"/>
      </rPr>
      <t>(</t>
    </r>
    <r>
      <rPr>
        <sz val="12"/>
        <color rgb="FF000000"/>
        <rFont val="Noto Sans CJK SC"/>
        <family val="2"/>
      </rPr>
      <t>소방</t>
    </r>
    <r>
      <rPr>
        <sz val="12"/>
        <color rgb="FF000000"/>
        <rFont val="맑은 고딕"/>
        <family val="3"/>
        <charset val="129"/>
      </rPr>
      <t>), D25</t>
    </r>
  </si>
  <si>
    <r>
      <rPr>
        <sz val="12"/>
        <color rgb="FF000000"/>
        <rFont val="맑은 고딕"/>
        <family val="3"/>
        <charset val="129"/>
      </rPr>
      <t>OS&amp;Y</t>
    </r>
    <r>
      <rPr>
        <sz val="12"/>
        <color rgb="FF000000"/>
        <rFont val="Noto Sans CJK SC"/>
        <family val="2"/>
      </rPr>
      <t>밸브</t>
    </r>
    <r>
      <rPr>
        <sz val="12"/>
        <color rgb="FF000000"/>
        <rFont val="맑은 고딕"/>
        <family val="3"/>
        <charset val="129"/>
      </rPr>
      <t>, D100</t>
    </r>
  </si>
  <si>
    <r>
      <rPr>
        <sz val="12"/>
        <color rgb="FF000000"/>
        <rFont val="맑은 고딕"/>
        <family val="3"/>
        <charset val="129"/>
      </rPr>
      <t>OS&amp;Y</t>
    </r>
    <r>
      <rPr>
        <sz val="12"/>
        <color rgb="FF000000"/>
        <rFont val="Noto Sans CJK SC"/>
        <family val="2"/>
      </rPr>
      <t>밸브</t>
    </r>
    <r>
      <rPr>
        <sz val="12"/>
        <color rgb="FF000000"/>
        <rFont val="맑은 고딕"/>
        <family val="3"/>
        <charset val="129"/>
      </rPr>
      <t>(W/</t>
    </r>
    <r>
      <rPr>
        <sz val="12"/>
        <color rgb="FF000000"/>
        <rFont val="Noto Sans CJK SC"/>
        <family val="2"/>
      </rPr>
      <t>템퍼스위치</t>
    </r>
    <r>
      <rPr>
        <sz val="12"/>
        <color rgb="FF000000"/>
        <rFont val="맑은 고딕"/>
        <family val="3"/>
        <charset val="129"/>
      </rPr>
      <t>) D50</t>
    </r>
  </si>
  <si>
    <t>소방유량계</t>
  </si>
  <si>
    <r>
      <rPr>
        <sz val="12"/>
        <color rgb="FF000000"/>
        <rFont val="Noto Sans CJK SC"/>
        <family val="2"/>
      </rPr>
      <t>순간유량계</t>
    </r>
    <r>
      <rPr>
        <sz val="12"/>
        <color rgb="FF000000"/>
        <rFont val="맑은 고딕"/>
        <family val="3"/>
        <charset val="129"/>
      </rPr>
      <t>(</t>
    </r>
    <r>
      <rPr>
        <sz val="12"/>
        <color rgb="FF000000"/>
        <rFont val="Noto Sans CJK SC"/>
        <family val="2"/>
      </rPr>
      <t>후로셀</t>
    </r>
    <r>
      <rPr>
        <sz val="12"/>
        <color rgb="FF000000"/>
        <rFont val="맑은 고딕"/>
        <family val="3"/>
        <charset val="129"/>
      </rPr>
      <t>) D50</t>
    </r>
  </si>
  <si>
    <t>압력탱크</t>
  </si>
  <si>
    <r>
      <rPr>
        <sz val="12"/>
        <color rgb="FF000000"/>
        <rFont val="Noto Sans CJK SC"/>
        <family val="2"/>
      </rPr>
      <t xml:space="preserve">압력 스위치 </t>
    </r>
    <r>
      <rPr>
        <sz val="12"/>
        <color rgb="FF000000"/>
        <rFont val="맑은 고딕"/>
        <family val="3"/>
        <charset val="129"/>
      </rPr>
      <t>3</t>
    </r>
    <r>
      <rPr>
        <sz val="12"/>
        <color rgb="FF000000"/>
        <rFont val="Noto Sans CJK SC"/>
        <family val="2"/>
      </rPr>
      <t>회로</t>
    </r>
  </si>
  <si>
    <t>SET</t>
  </si>
  <si>
    <r>
      <rPr>
        <sz val="12"/>
        <color rgb="FF000000"/>
        <rFont val="Noto Sans CJK SC"/>
        <family val="2"/>
      </rPr>
      <t>압력계설치</t>
    </r>
    <r>
      <rPr>
        <sz val="12"/>
        <color rgb="FF000000"/>
        <rFont val="맑은 고딕"/>
        <family val="3"/>
        <charset val="129"/>
      </rPr>
      <t>(</t>
    </r>
    <r>
      <rPr>
        <sz val="12"/>
        <color rgb="FF000000"/>
        <rFont val="Noto Sans CJK SC"/>
        <family val="2"/>
      </rPr>
      <t>백관</t>
    </r>
    <r>
      <rPr>
        <sz val="12"/>
        <color rgb="FF000000"/>
        <rFont val="맑은 고딕"/>
        <family val="3"/>
        <charset val="129"/>
      </rPr>
      <t>)</t>
    </r>
  </si>
  <si>
    <t>0-35KG/CM2</t>
  </si>
  <si>
    <r>
      <rPr>
        <sz val="12"/>
        <color rgb="FF000000"/>
        <rFont val="맑은 고딕"/>
        <family val="3"/>
        <charset val="129"/>
      </rPr>
      <t>U</t>
    </r>
    <r>
      <rPr>
        <sz val="12"/>
        <color rgb="FF000000"/>
        <rFont val="Noto Sans CJK SC"/>
        <family val="2"/>
      </rPr>
      <t>자형볼트</t>
    </r>
    <r>
      <rPr>
        <sz val="12"/>
        <color rgb="FF000000"/>
        <rFont val="맑은 고딕"/>
        <family val="3"/>
        <charset val="129"/>
      </rPr>
      <t>/</t>
    </r>
    <r>
      <rPr>
        <sz val="12"/>
        <color rgb="FF000000"/>
        <rFont val="Noto Sans CJK SC"/>
        <family val="2"/>
      </rPr>
      <t>너트</t>
    </r>
  </si>
  <si>
    <r>
      <rPr>
        <sz val="12"/>
        <color rgb="FF000000"/>
        <rFont val="Noto Sans CJK SC"/>
        <family val="2"/>
      </rPr>
      <t>비절연</t>
    </r>
    <r>
      <rPr>
        <sz val="12"/>
        <color rgb="FF000000"/>
        <rFont val="맑은 고딕"/>
        <family val="3"/>
        <charset val="129"/>
      </rPr>
      <t>, D25</t>
    </r>
  </si>
  <si>
    <r>
      <rPr>
        <sz val="12"/>
        <color rgb="FF000000"/>
        <rFont val="Noto Sans CJK SC"/>
        <family val="2"/>
      </rPr>
      <t>비절연</t>
    </r>
    <r>
      <rPr>
        <sz val="12"/>
        <color rgb="FF000000"/>
        <rFont val="맑은 고딕"/>
        <family val="3"/>
        <charset val="129"/>
      </rPr>
      <t>, D50</t>
    </r>
  </si>
  <si>
    <r>
      <rPr>
        <sz val="12"/>
        <color rgb="FF000000"/>
        <rFont val="Noto Sans CJK SC"/>
        <family val="2"/>
      </rPr>
      <t>비절연</t>
    </r>
    <r>
      <rPr>
        <sz val="12"/>
        <color rgb="FF000000"/>
        <rFont val="맑은 고딕"/>
        <family val="3"/>
        <charset val="129"/>
      </rPr>
      <t>, D100</t>
    </r>
  </si>
  <si>
    <r>
      <rPr>
        <sz val="12"/>
        <color rgb="FF000000"/>
        <rFont val="Noto Sans CJK SC"/>
        <family val="2"/>
      </rPr>
      <t>강관스리브</t>
    </r>
    <r>
      <rPr>
        <sz val="12"/>
        <color rgb="FF000000"/>
        <rFont val="맑은 고딕"/>
        <family val="3"/>
        <charset val="129"/>
      </rPr>
      <t>(</t>
    </r>
    <r>
      <rPr>
        <sz val="12"/>
        <color rgb="FF000000"/>
        <rFont val="Noto Sans CJK SC"/>
        <family val="2"/>
      </rPr>
      <t>지수판제외</t>
    </r>
    <r>
      <rPr>
        <sz val="12"/>
        <color rgb="FF000000"/>
        <rFont val="맑은 고딕"/>
        <family val="3"/>
        <charset val="129"/>
      </rPr>
      <t>,</t>
    </r>
    <r>
      <rPr>
        <sz val="12"/>
        <color rgb="FF000000"/>
        <rFont val="Noto Sans CJK SC"/>
        <family val="2"/>
      </rPr>
      <t>벽체</t>
    </r>
    <r>
      <rPr>
        <sz val="12"/>
        <color rgb="FF000000"/>
        <rFont val="맑은 고딕"/>
        <family val="3"/>
        <charset val="129"/>
      </rPr>
      <t>)</t>
    </r>
  </si>
  <si>
    <r>
      <rPr>
        <sz val="12"/>
        <color rgb="FF000000"/>
        <rFont val="Noto Sans CJK SC"/>
        <family val="2"/>
      </rPr>
      <t>내화충전재</t>
    </r>
    <r>
      <rPr>
        <sz val="12"/>
        <color rgb="FF000000"/>
        <rFont val="맑은 고딕"/>
        <family val="3"/>
        <charset val="129"/>
      </rPr>
      <t>(</t>
    </r>
    <r>
      <rPr>
        <sz val="12"/>
        <color rgb="FF000000"/>
        <rFont val="Noto Sans CJK SC"/>
        <family val="2"/>
      </rPr>
      <t>강관용</t>
    </r>
    <r>
      <rPr>
        <sz val="12"/>
        <color rgb="FF000000"/>
        <rFont val="맑은 고딕"/>
        <family val="3"/>
        <charset val="129"/>
      </rPr>
      <t xml:space="preserve">) </t>
    </r>
    <r>
      <rPr>
        <sz val="12"/>
        <color rgb="FF000000"/>
        <rFont val="Noto Sans CJK SC"/>
        <family val="2"/>
      </rPr>
      <t>벽체</t>
    </r>
  </si>
  <si>
    <t>ㄷ형강</t>
  </si>
  <si>
    <t>100×50×5×7.5mm</t>
  </si>
  <si>
    <t>인서트플레이트</t>
  </si>
  <si>
    <t>200x200x9T</t>
  </si>
  <si>
    <t>파이프서포트</t>
  </si>
  <si>
    <r>
      <rPr>
        <sz val="12"/>
        <color rgb="FF000000"/>
        <rFont val="맑은 고딕"/>
        <family val="3"/>
        <charset val="129"/>
      </rPr>
      <t>1</t>
    </r>
    <r>
      <rPr>
        <sz val="12"/>
        <color rgb="FF000000"/>
        <rFont val="Noto Sans CJK SC"/>
        <family val="2"/>
      </rPr>
      <t>열</t>
    </r>
    <r>
      <rPr>
        <sz val="12"/>
        <color rgb="FF000000"/>
        <rFont val="맑은 고딕"/>
        <family val="3"/>
        <charset val="129"/>
      </rPr>
      <t>x300H</t>
    </r>
  </si>
  <si>
    <t>유성페인트칠</t>
  </si>
  <si>
    <r>
      <rPr>
        <sz val="12"/>
        <color rgb="FF000000"/>
        <rFont val="Noto Sans CJK SC"/>
        <family val="2"/>
      </rPr>
      <t>철재면</t>
    </r>
    <r>
      <rPr>
        <sz val="12"/>
        <color rgb="FF000000"/>
        <rFont val="맑은 고딕"/>
        <family val="3"/>
        <charset val="129"/>
      </rPr>
      <t>2</t>
    </r>
    <r>
      <rPr>
        <sz val="12"/>
        <color rgb="FF000000"/>
        <rFont val="Noto Sans CJK SC"/>
        <family val="2"/>
      </rPr>
      <t>회</t>
    </r>
  </si>
  <si>
    <t>녹막이페인트칠</t>
  </si>
  <si>
    <r>
      <rPr>
        <sz val="12"/>
        <color rgb="FF000000"/>
        <rFont val="맑은 고딕"/>
        <family val="3"/>
        <charset val="129"/>
      </rPr>
      <t>2</t>
    </r>
    <r>
      <rPr>
        <sz val="12"/>
        <color rgb="FF000000"/>
        <rFont val="Noto Sans CJK SC"/>
        <family val="2"/>
      </rPr>
      <t>회</t>
    </r>
  </si>
  <si>
    <t>잡철물 현장제작 설치</t>
  </si>
  <si>
    <t>일반철재</t>
  </si>
  <si>
    <r>
      <rPr>
        <sz val="12"/>
        <color rgb="FF000000"/>
        <rFont val="Noto Sans CJK SC"/>
        <family val="2"/>
      </rPr>
      <t xml:space="preserve">인력품의 </t>
    </r>
    <r>
      <rPr>
        <sz val="12"/>
        <color rgb="FF000000"/>
        <rFont val="맑은 고딕"/>
        <family val="3"/>
        <charset val="129"/>
      </rPr>
      <t>3%</t>
    </r>
  </si>
  <si>
    <r>
      <rPr>
        <b/>
        <sz val="12"/>
        <rFont val="맑은 고딕"/>
        <family val="3"/>
        <charset val="129"/>
      </rPr>
      <t xml:space="preserve">0203 </t>
    </r>
    <r>
      <rPr>
        <b/>
        <sz val="12"/>
        <rFont val="Noto Sans CJK SC"/>
        <family val="2"/>
      </rPr>
      <t>옥내소화배관공사</t>
    </r>
  </si>
  <si>
    <r>
      <rPr>
        <sz val="12"/>
        <color rgb="FF000000"/>
        <rFont val="Noto Sans CJK SC"/>
        <family val="2"/>
      </rPr>
      <t xml:space="preserve">백관 </t>
    </r>
    <r>
      <rPr>
        <sz val="12"/>
        <color rgb="FF000000"/>
        <rFont val="맑은 고딕"/>
        <family val="3"/>
        <charset val="129"/>
      </rPr>
      <t xml:space="preserve">(SPP), D32, </t>
    </r>
    <r>
      <rPr>
        <sz val="12"/>
        <color rgb="FF000000"/>
        <rFont val="Noto Sans CJK SC"/>
        <family val="2"/>
      </rPr>
      <t>반제품</t>
    </r>
  </si>
  <si>
    <r>
      <rPr>
        <sz val="12"/>
        <color rgb="FF000000"/>
        <rFont val="Noto Sans CJK SC"/>
        <family val="2"/>
      </rPr>
      <t xml:space="preserve">백관 </t>
    </r>
    <r>
      <rPr>
        <sz val="12"/>
        <color rgb="FF000000"/>
        <rFont val="맑은 고딕"/>
        <family val="3"/>
        <charset val="129"/>
      </rPr>
      <t xml:space="preserve">(SPP), D40, </t>
    </r>
    <r>
      <rPr>
        <sz val="12"/>
        <color rgb="FF000000"/>
        <rFont val="Noto Sans CJK SC"/>
        <family val="2"/>
      </rPr>
      <t>반제품</t>
    </r>
  </si>
  <si>
    <r>
      <rPr>
        <sz val="12"/>
        <color rgb="FF000000"/>
        <rFont val="Noto Sans CJK SC"/>
        <family val="2"/>
      </rPr>
      <t xml:space="preserve">백관 </t>
    </r>
    <r>
      <rPr>
        <sz val="12"/>
        <color rgb="FF000000"/>
        <rFont val="맑은 고딕"/>
        <family val="3"/>
        <charset val="129"/>
      </rPr>
      <t xml:space="preserve">(SPP), D65, </t>
    </r>
    <r>
      <rPr>
        <sz val="12"/>
        <color rgb="FF000000"/>
        <rFont val="Noto Sans CJK SC"/>
        <family val="2"/>
      </rPr>
      <t>반제품</t>
    </r>
  </si>
  <si>
    <r>
      <rPr>
        <sz val="12"/>
        <color rgb="FF000000"/>
        <rFont val="Noto Sans CJK SC"/>
        <family val="2"/>
      </rPr>
      <t xml:space="preserve">백관 </t>
    </r>
    <r>
      <rPr>
        <sz val="12"/>
        <color rgb="FF000000"/>
        <rFont val="맑은 고딕"/>
        <family val="3"/>
        <charset val="129"/>
      </rPr>
      <t xml:space="preserve">(SPP), D80, </t>
    </r>
    <r>
      <rPr>
        <sz val="12"/>
        <color rgb="FF000000"/>
        <rFont val="Noto Sans CJK SC"/>
        <family val="2"/>
      </rPr>
      <t>반제품</t>
    </r>
  </si>
  <si>
    <r>
      <rPr>
        <sz val="12"/>
        <color theme="1"/>
        <rFont val="Noto Sans CJK SC"/>
        <family val="2"/>
      </rPr>
      <t>관보온</t>
    </r>
    <r>
      <rPr>
        <sz val="12"/>
        <color theme="1"/>
        <rFont val="맑은 고딕"/>
        <family val="3"/>
        <charset val="129"/>
      </rPr>
      <t>(</t>
    </r>
    <r>
      <rPr>
        <sz val="12"/>
        <color theme="1"/>
        <rFont val="Noto Sans CJK SC"/>
        <family val="2"/>
      </rPr>
      <t>가교발포</t>
    </r>
    <r>
      <rPr>
        <sz val="12"/>
        <color theme="1"/>
        <rFont val="맑은 고딕"/>
        <family val="3"/>
        <charset val="129"/>
      </rPr>
      <t>+</t>
    </r>
    <r>
      <rPr>
        <sz val="12"/>
        <color theme="1"/>
        <rFont val="Noto Sans CJK SC"/>
        <family val="2"/>
      </rPr>
      <t>매직</t>
    </r>
    <r>
      <rPr>
        <sz val="12"/>
        <color theme="1"/>
        <rFont val="맑은 고딕"/>
        <family val="3"/>
        <charset val="129"/>
      </rPr>
      <t>)</t>
    </r>
  </si>
  <si>
    <t>25TxD32</t>
  </si>
  <si>
    <t>25TxD40</t>
  </si>
  <si>
    <t>25TxD65</t>
  </si>
  <si>
    <t>25TxD80</t>
  </si>
  <si>
    <r>
      <rPr>
        <sz val="12"/>
        <color rgb="FF000000"/>
        <rFont val="Noto Sans CJK SC"/>
        <family val="2"/>
      </rPr>
      <t xml:space="preserve">백엘보 </t>
    </r>
    <r>
      <rPr>
        <sz val="12"/>
        <color rgb="FF000000"/>
        <rFont val="맑은 고딕"/>
        <family val="3"/>
        <charset val="129"/>
      </rPr>
      <t>(</t>
    </r>
    <r>
      <rPr>
        <sz val="12"/>
        <color rgb="FF000000"/>
        <rFont val="Noto Sans CJK SC"/>
        <family val="2"/>
      </rPr>
      <t>나사</t>
    </r>
    <r>
      <rPr>
        <sz val="12"/>
        <color rgb="FF000000"/>
        <rFont val="맑은 고딕"/>
        <family val="3"/>
        <charset val="129"/>
      </rPr>
      <t>) D32</t>
    </r>
  </si>
  <si>
    <r>
      <rPr>
        <sz val="12"/>
        <color rgb="FF000000"/>
        <rFont val="Noto Sans CJK SC"/>
        <family val="2"/>
      </rPr>
      <t xml:space="preserve">백엘보 </t>
    </r>
    <r>
      <rPr>
        <sz val="12"/>
        <color rgb="FF000000"/>
        <rFont val="맑은 고딕"/>
        <family val="3"/>
        <charset val="129"/>
      </rPr>
      <t>(</t>
    </r>
    <r>
      <rPr>
        <sz val="12"/>
        <color rgb="FF000000"/>
        <rFont val="Noto Sans CJK SC"/>
        <family val="2"/>
      </rPr>
      <t>나사</t>
    </r>
    <r>
      <rPr>
        <sz val="12"/>
        <color rgb="FF000000"/>
        <rFont val="맑은 고딕"/>
        <family val="3"/>
        <charset val="129"/>
      </rPr>
      <t>) D40</t>
    </r>
  </si>
  <si>
    <r>
      <rPr>
        <sz val="12"/>
        <color rgb="FF000000"/>
        <rFont val="Noto Sans CJK SC"/>
        <family val="2"/>
      </rPr>
      <t xml:space="preserve">백티이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</si>
  <si>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백티이 </t>
    </r>
    <r>
      <rPr>
        <sz val="12"/>
        <color rgb="FF000000"/>
        <rFont val="맑은 고딕"/>
        <family val="3"/>
        <charset val="129"/>
      </rPr>
      <t>(</t>
    </r>
    <r>
      <rPr>
        <sz val="12"/>
        <color rgb="FF000000"/>
        <rFont val="Noto Sans CJK SC"/>
        <family val="2"/>
      </rPr>
      <t>나사</t>
    </r>
    <r>
      <rPr>
        <sz val="12"/>
        <color rgb="FF000000"/>
        <rFont val="맑은 고딕"/>
        <family val="3"/>
        <charset val="129"/>
      </rPr>
      <t>) D32</t>
    </r>
  </si>
  <si>
    <r>
      <rPr>
        <sz val="12"/>
        <color rgb="FF000000"/>
        <rFont val="Noto Sans CJK SC"/>
        <family val="2"/>
      </rPr>
      <t xml:space="preserve">백티이 </t>
    </r>
    <r>
      <rPr>
        <sz val="12"/>
        <color rgb="FF000000"/>
        <rFont val="맑은 고딕"/>
        <family val="3"/>
        <charset val="129"/>
      </rPr>
      <t>(</t>
    </r>
    <r>
      <rPr>
        <sz val="12"/>
        <color rgb="FF000000"/>
        <rFont val="Noto Sans CJK SC"/>
        <family val="2"/>
      </rPr>
      <t>나사</t>
    </r>
    <r>
      <rPr>
        <sz val="12"/>
        <color rgb="FF000000"/>
        <rFont val="맑은 고딕"/>
        <family val="3"/>
        <charset val="129"/>
      </rPr>
      <t>) D40</t>
    </r>
  </si>
  <si>
    <r>
      <rPr>
        <sz val="12"/>
        <color rgb="FF000000"/>
        <rFont val="Noto Sans CJK SC"/>
        <family val="2"/>
      </rPr>
      <t xml:space="preserve">백리듀서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</si>
  <si>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백리듀서 </t>
    </r>
    <r>
      <rPr>
        <sz val="12"/>
        <color rgb="FF000000"/>
        <rFont val="맑은 고딕"/>
        <family val="3"/>
        <charset val="129"/>
      </rPr>
      <t>(</t>
    </r>
    <r>
      <rPr>
        <sz val="12"/>
        <color rgb="FF000000"/>
        <rFont val="Noto Sans CJK SC"/>
        <family val="2"/>
      </rPr>
      <t>나사</t>
    </r>
    <r>
      <rPr>
        <sz val="12"/>
        <color rgb="FF000000"/>
        <rFont val="맑은 고딕"/>
        <family val="3"/>
        <charset val="129"/>
      </rPr>
      <t>) D32</t>
    </r>
  </si>
  <si>
    <r>
      <rPr>
        <sz val="12"/>
        <color rgb="FF000000"/>
        <rFont val="Noto Sans CJK SC"/>
        <family val="2"/>
      </rPr>
      <t xml:space="preserve">백리듀서 </t>
    </r>
    <r>
      <rPr>
        <sz val="12"/>
        <color rgb="FF000000"/>
        <rFont val="맑은 고딕"/>
        <family val="3"/>
        <charset val="129"/>
      </rPr>
      <t>(</t>
    </r>
    <r>
      <rPr>
        <sz val="12"/>
        <color rgb="FF000000"/>
        <rFont val="Noto Sans CJK SC"/>
        <family val="2"/>
      </rPr>
      <t>나사</t>
    </r>
    <r>
      <rPr>
        <sz val="12"/>
        <color rgb="FF000000"/>
        <rFont val="맑은 고딕"/>
        <family val="3"/>
        <charset val="129"/>
      </rPr>
      <t>) D40</t>
    </r>
  </si>
  <si>
    <r>
      <rPr>
        <sz val="12"/>
        <color rgb="FF000000"/>
        <rFont val="Noto Sans CJK SC"/>
        <family val="2"/>
      </rPr>
      <t xml:space="preserve">백캡 </t>
    </r>
    <r>
      <rPr>
        <sz val="12"/>
        <color rgb="FF000000"/>
        <rFont val="맑은 고딕"/>
        <family val="3"/>
        <charset val="129"/>
      </rPr>
      <t>(</t>
    </r>
    <r>
      <rPr>
        <sz val="12"/>
        <color rgb="FF000000"/>
        <rFont val="Noto Sans CJK SC"/>
        <family val="2"/>
      </rPr>
      <t>나사</t>
    </r>
    <r>
      <rPr>
        <sz val="12"/>
        <color rgb="FF000000"/>
        <rFont val="맑은 고딕"/>
        <family val="3"/>
        <charset val="129"/>
      </rPr>
      <t>) D25</t>
    </r>
  </si>
  <si>
    <r>
      <rPr>
        <sz val="12"/>
        <color rgb="FF000000"/>
        <rFont val="Noto Sans CJK SC"/>
        <family val="2"/>
      </rPr>
      <t xml:space="preserve">백캡 </t>
    </r>
    <r>
      <rPr>
        <sz val="12"/>
        <color rgb="FF000000"/>
        <rFont val="맑은 고딕"/>
        <family val="3"/>
        <charset val="129"/>
      </rPr>
      <t>(</t>
    </r>
    <r>
      <rPr>
        <sz val="12"/>
        <color rgb="FF000000"/>
        <rFont val="Noto Sans CJK SC"/>
        <family val="2"/>
      </rPr>
      <t>나사</t>
    </r>
    <r>
      <rPr>
        <sz val="12"/>
        <color rgb="FF000000"/>
        <rFont val="맑은 고딕"/>
        <family val="3"/>
        <charset val="129"/>
      </rPr>
      <t>) D50</t>
    </r>
  </si>
  <si>
    <t>D65</t>
  </si>
  <si>
    <t>무용접레듀셔</t>
  </si>
  <si>
    <t>D150</t>
  </si>
  <si>
    <r>
      <rPr>
        <sz val="12"/>
        <rFont val="맑은 고딕"/>
        <family val="3"/>
        <charset val="129"/>
      </rPr>
      <t>ABC</t>
    </r>
    <r>
      <rPr>
        <sz val="12"/>
        <rFont val="Noto Sans CJK SC"/>
        <family val="2"/>
      </rPr>
      <t>소화기</t>
    </r>
  </si>
  <si>
    <t>3.3KG</t>
  </si>
  <si>
    <t>소화기받침대</t>
  </si>
  <si>
    <t>방수구</t>
  </si>
  <si>
    <r>
      <rPr>
        <sz val="12"/>
        <rFont val="맑은 고딕"/>
        <family val="3"/>
        <charset val="129"/>
      </rPr>
      <t xml:space="preserve">65A </t>
    </r>
    <r>
      <rPr>
        <sz val="12"/>
        <rFont val="Noto Sans CJK SC"/>
        <family val="2"/>
      </rPr>
      <t xml:space="preserve">단구형방수구 </t>
    </r>
  </si>
  <si>
    <t>방수기구함</t>
  </si>
  <si>
    <r>
      <rPr>
        <sz val="12"/>
        <rFont val="맑은 고딕"/>
        <family val="3"/>
        <charset val="129"/>
      </rPr>
      <t xml:space="preserve">65A </t>
    </r>
    <r>
      <rPr>
        <sz val="12"/>
        <rFont val="Noto Sans CJK SC"/>
        <family val="2"/>
      </rPr>
      <t xml:space="preserve">관창 호스 </t>
    </r>
    <r>
      <rPr>
        <sz val="12"/>
        <rFont val="맑은 고딕"/>
        <family val="3"/>
        <charset val="129"/>
      </rPr>
      <t>2</t>
    </r>
    <r>
      <rPr>
        <sz val="12"/>
        <rFont val="Noto Sans CJK SC"/>
        <family val="2"/>
      </rPr>
      <t>본</t>
    </r>
  </si>
  <si>
    <t>완강기</t>
  </si>
  <si>
    <r>
      <rPr>
        <sz val="12"/>
        <rFont val="맑은 고딕"/>
        <family val="3"/>
        <charset val="129"/>
      </rPr>
      <t xml:space="preserve"> 3</t>
    </r>
    <r>
      <rPr>
        <sz val="12"/>
        <rFont val="Noto Sans CJK SC"/>
        <family val="2"/>
      </rPr>
      <t>층용</t>
    </r>
  </si>
  <si>
    <r>
      <rPr>
        <sz val="12"/>
        <rFont val="맑은 고딕"/>
        <family val="3"/>
        <charset val="129"/>
      </rPr>
      <t xml:space="preserve"> 4</t>
    </r>
    <r>
      <rPr>
        <sz val="12"/>
        <rFont val="Noto Sans CJK SC"/>
        <family val="2"/>
      </rPr>
      <t>층용</t>
    </r>
  </si>
  <si>
    <r>
      <rPr>
        <sz val="12"/>
        <rFont val="맑은 고딕"/>
        <family val="3"/>
        <charset val="129"/>
      </rPr>
      <t xml:space="preserve"> 5</t>
    </r>
    <r>
      <rPr>
        <sz val="12"/>
        <rFont val="Noto Sans CJK SC"/>
        <family val="2"/>
      </rPr>
      <t>층용</t>
    </r>
  </si>
  <si>
    <r>
      <rPr>
        <sz val="12"/>
        <rFont val="맑은 고딕"/>
        <family val="3"/>
        <charset val="129"/>
      </rPr>
      <t xml:space="preserve"> 6</t>
    </r>
    <r>
      <rPr>
        <sz val="12"/>
        <rFont val="Noto Sans CJK SC"/>
        <family val="2"/>
      </rPr>
      <t>층용</t>
    </r>
  </si>
  <si>
    <r>
      <rPr>
        <sz val="12"/>
        <rFont val="Noto Sans CJK SC"/>
        <family val="2"/>
      </rPr>
      <t>송수구</t>
    </r>
    <r>
      <rPr>
        <sz val="12"/>
        <rFont val="맑은 고딕"/>
        <family val="3"/>
        <charset val="129"/>
      </rPr>
      <t>(</t>
    </r>
    <r>
      <rPr>
        <sz val="12"/>
        <rFont val="Noto Sans CJK SC"/>
        <family val="2"/>
      </rPr>
      <t>쌍구형</t>
    </r>
    <r>
      <rPr>
        <sz val="12"/>
        <rFont val="맑은 고딕"/>
        <family val="3"/>
        <charset val="129"/>
      </rPr>
      <t>)</t>
    </r>
  </si>
  <si>
    <t>100*65*65</t>
  </si>
  <si>
    <t>스프링쿨러용송수구</t>
  </si>
  <si>
    <t>알람밸브</t>
  </si>
  <si>
    <t>65A</t>
  </si>
  <si>
    <t>스프링클러헤드</t>
  </si>
  <si>
    <r>
      <rPr>
        <sz val="12"/>
        <rFont val="Noto Sans CJK SC"/>
        <family val="2"/>
      </rPr>
      <t>측벽형</t>
    </r>
    <r>
      <rPr>
        <sz val="12"/>
        <rFont val="맑은 고딕"/>
        <family val="3"/>
        <charset val="129"/>
      </rPr>
      <t>(72</t>
    </r>
    <r>
      <rPr>
        <sz val="12"/>
        <rFont val="Noto Sans CJK SC"/>
        <family val="2"/>
      </rPr>
      <t>도</t>
    </r>
    <r>
      <rPr>
        <sz val="12"/>
        <rFont val="맑은 고딕"/>
        <family val="3"/>
        <charset val="129"/>
      </rPr>
      <t>)</t>
    </r>
  </si>
  <si>
    <r>
      <rPr>
        <sz val="12"/>
        <rFont val="Noto Sans CJK SC"/>
        <family val="2"/>
      </rPr>
      <t>폐쇄형하향</t>
    </r>
    <r>
      <rPr>
        <sz val="12"/>
        <rFont val="맑은 고딕"/>
        <family val="3"/>
        <charset val="129"/>
      </rPr>
      <t>(72</t>
    </r>
    <r>
      <rPr>
        <sz val="12"/>
        <rFont val="Noto Sans CJK SC"/>
        <family val="2"/>
      </rPr>
      <t>도</t>
    </r>
    <r>
      <rPr>
        <sz val="12"/>
        <rFont val="맑은 고딕"/>
        <family val="3"/>
        <charset val="129"/>
      </rPr>
      <t>)</t>
    </r>
  </si>
  <si>
    <r>
      <rPr>
        <sz val="12"/>
        <color rgb="FF000000"/>
        <rFont val="맑은 고딕"/>
        <family val="3"/>
        <charset val="129"/>
      </rPr>
      <t>OS&amp;Y</t>
    </r>
    <r>
      <rPr>
        <sz val="12"/>
        <color rgb="FF000000"/>
        <rFont val="Noto Sans CJK SC"/>
        <family val="2"/>
      </rPr>
      <t>밸브</t>
    </r>
    <r>
      <rPr>
        <sz val="12"/>
        <color rgb="FF000000"/>
        <rFont val="맑은 고딕"/>
        <family val="3"/>
        <charset val="129"/>
      </rPr>
      <t>, D65</t>
    </r>
  </si>
  <si>
    <r>
      <rPr>
        <sz val="12"/>
        <color rgb="FF000000"/>
        <rFont val="Noto Sans CJK SC"/>
        <family val="2"/>
      </rPr>
      <t>일반행거</t>
    </r>
    <r>
      <rPr>
        <sz val="12"/>
        <color rgb="FF000000"/>
        <rFont val="맑은 고딕"/>
        <family val="3"/>
        <charset val="129"/>
      </rPr>
      <t>(</t>
    </r>
    <r>
      <rPr>
        <sz val="12"/>
        <color rgb="FF000000"/>
        <rFont val="Noto Sans CJK SC"/>
        <family val="2"/>
      </rPr>
      <t>달대볼트</t>
    </r>
    <r>
      <rPr>
        <sz val="12"/>
        <color rgb="FF000000"/>
        <rFont val="맑은 고딕"/>
        <family val="3"/>
        <charset val="129"/>
      </rPr>
      <t>)</t>
    </r>
  </si>
  <si>
    <r>
      <rPr>
        <sz val="12"/>
        <color rgb="FF000000"/>
        <rFont val="Noto Sans CJK SC"/>
        <family val="2"/>
      </rPr>
      <t>비절연</t>
    </r>
    <r>
      <rPr>
        <sz val="12"/>
        <color rgb="FF000000"/>
        <rFont val="맑은 고딕"/>
        <family val="3"/>
        <charset val="129"/>
      </rPr>
      <t>, D65</t>
    </r>
  </si>
  <si>
    <r>
      <rPr>
        <sz val="12"/>
        <color rgb="FF000000"/>
        <rFont val="Noto Sans CJK SC"/>
        <family val="2"/>
      </rPr>
      <t>비절연</t>
    </r>
    <r>
      <rPr>
        <sz val="12"/>
        <color rgb="FF000000"/>
        <rFont val="맑은 고딕"/>
        <family val="3"/>
        <charset val="129"/>
      </rPr>
      <t>, D80</t>
    </r>
  </si>
  <si>
    <r>
      <rPr>
        <sz val="12"/>
        <color rgb="FF000000"/>
        <rFont val="Noto Sans CJK SC"/>
        <family val="2"/>
      </rPr>
      <t>비절연</t>
    </r>
    <r>
      <rPr>
        <sz val="12"/>
        <color rgb="FF000000"/>
        <rFont val="맑은 고딕"/>
        <family val="3"/>
        <charset val="129"/>
      </rPr>
      <t>, D150</t>
    </r>
  </si>
  <si>
    <r>
      <rPr>
        <sz val="12"/>
        <color rgb="FF000000"/>
        <rFont val="Noto Sans CJK SC"/>
        <family val="2"/>
      </rPr>
      <t>내화충전재</t>
    </r>
    <r>
      <rPr>
        <sz val="12"/>
        <color rgb="FF000000"/>
        <rFont val="맑은 고딕"/>
        <family val="3"/>
        <charset val="129"/>
      </rPr>
      <t>(</t>
    </r>
    <r>
      <rPr>
        <sz val="12"/>
        <color rgb="FF000000"/>
        <rFont val="Noto Sans CJK SC"/>
        <family val="2"/>
      </rPr>
      <t>강관용</t>
    </r>
    <r>
      <rPr>
        <sz val="12"/>
        <color rgb="FF000000"/>
        <rFont val="맑은 고딕"/>
        <family val="3"/>
        <charset val="129"/>
      </rPr>
      <t xml:space="preserve">) </t>
    </r>
    <r>
      <rPr>
        <sz val="12"/>
        <color rgb="FF000000"/>
        <rFont val="Noto Sans CJK SC"/>
        <family val="2"/>
      </rPr>
      <t>바닥</t>
    </r>
  </si>
  <si>
    <t>ㄱ형강</t>
  </si>
  <si>
    <r>
      <rPr>
        <sz val="12"/>
        <color rgb="FF000000"/>
        <rFont val="Noto Sans CJK SC"/>
        <family val="2"/>
      </rPr>
      <t>등변</t>
    </r>
    <r>
      <rPr>
        <sz val="12"/>
        <color rgb="FF000000"/>
        <rFont val="맑은 고딕"/>
        <family val="3"/>
        <charset val="129"/>
      </rPr>
      <t>, 50×50×6mm</t>
    </r>
  </si>
  <si>
    <t xml:space="preserve">  합  계</t>
  </si>
  <si>
    <r>
      <rPr>
        <b/>
        <sz val="12"/>
        <rFont val="맑은 고딕"/>
        <family val="3"/>
        <charset val="129"/>
      </rPr>
      <t xml:space="preserve">0205 </t>
    </r>
    <r>
      <rPr>
        <b/>
        <sz val="12"/>
        <rFont val="Noto Sans CJK SC"/>
        <family val="2"/>
      </rPr>
      <t>내진설치공사</t>
    </r>
  </si>
  <si>
    <t>횡방향 흔들림방지버팀대</t>
  </si>
  <si>
    <t>종방향 흔들림방지버팀대</t>
  </si>
  <si>
    <r>
      <rPr>
        <sz val="12"/>
        <rFont val="Noto Sans CJK SC"/>
        <family val="2"/>
      </rPr>
      <t>종방향 흔들림방지버팀대</t>
    </r>
    <r>
      <rPr>
        <sz val="12"/>
        <rFont val="맑은 고딕"/>
        <family val="3"/>
        <charset val="129"/>
      </rPr>
      <t>(</t>
    </r>
    <r>
      <rPr>
        <sz val="12"/>
        <rFont val="Noto Sans CJK SC"/>
        <family val="2"/>
      </rPr>
      <t>측면</t>
    </r>
    <r>
      <rPr>
        <sz val="12"/>
        <rFont val="맑은 고딕"/>
        <family val="3"/>
        <charset val="129"/>
      </rPr>
      <t>)</t>
    </r>
  </si>
  <si>
    <r>
      <rPr>
        <sz val="12"/>
        <rFont val="맑은 고딕"/>
        <family val="3"/>
        <charset val="129"/>
      </rPr>
      <t>4</t>
    </r>
    <r>
      <rPr>
        <sz val="12"/>
        <rFont val="Noto Sans CJK SC"/>
        <family val="2"/>
      </rPr>
      <t>방향 흔들림방지버팀대</t>
    </r>
    <r>
      <rPr>
        <sz val="12"/>
        <rFont val="맑은 고딕"/>
        <family val="3"/>
        <charset val="129"/>
      </rPr>
      <t>(</t>
    </r>
    <r>
      <rPr>
        <sz val="12"/>
        <rFont val="Noto Sans CJK SC"/>
        <family val="2"/>
      </rPr>
      <t>횡</t>
    </r>
    <r>
      <rPr>
        <sz val="12"/>
        <rFont val="맑은 고딕"/>
        <family val="3"/>
        <charset val="129"/>
      </rPr>
      <t>+</t>
    </r>
    <r>
      <rPr>
        <sz val="12"/>
        <rFont val="Noto Sans CJK SC"/>
        <family val="2"/>
      </rPr>
      <t>횡</t>
    </r>
    <r>
      <rPr>
        <sz val="12"/>
        <rFont val="맑은 고딕"/>
        <family val="3"/>
        <charset val="129"/>
      </rPr>
      <t>)</t>
    </r>
  </si>
  <si>
    <r>
      <rPr>
        <sz val="12"/>
        <rFont val="Noto Sans CJK SC"/>
        <family val="2"/>
      </rPr>
      <t>웨지앵커볼트</t>
    </r>
    <r>
      <rPr>
        <sz val="12"/>
        <rFont val="맑은 고딕"/>
        <family val="3"/>
        <charset val="129"/>
      </rPr>
      <t>(</t>
    </r>
    <r>
      <rPr>
        <sz val="12"/>
        <rFont val="Noto Sans CJK SC"/>
        <family val="2"/>
      </rPr>
      <t>내진용</t>
    </r>
    <r>
      <rPr>
        <sz val="12"/>
        <rFont val="맑은 고딕"/>
        <family val="3"/>
        <charset val="129"/>
      </rPr>
      <t>)</t>
    </r>
  </si>
  <si>
    <r>
      <rPr>
        <sz val="12"/>
        <rFont val="Noto Sans CJK SC"/>
        <family val="2"/>
      </rPr>
      <t>지지대</t>
    </r>
    <r>
      <rPr>
        <sz val="12"/>
        <rFont val="맑은 고딕"/>
        <family val="3"/>
        <charset val="129"/>
      </rPr>
      <t>(KSD3507)</t>
    </r>
  </si>
  <si>
    <t>25A</t>
  </si>
  <si>
    <r>
      <rPr>
        <sz val="12"/>
        <rFont val="Noto Sans CJK SC"/>
        <family val="2"/>
      </rPr>
      <t>가지배관 고정행거</t>
    </r>
    <r>
      <rPr>
        <sz val="12"/>
        <rFont val="맑은 고딕"/>
        <family val="3"/>
        <charset val="129"/>
      </rPr>
      <t>+</t>
    </r>
    <r>
      <rPr>
        <sz val="12"/>
        <rFont val="Noto Sans CJK SC"/>
        <family val="2"/>
      </rPr>
      <t>회전고리너트</t>
    </r>
    <r>
      <rPr>
        <sz val="12"/>
        <rFont val="맑은 고딕"/>
        <family val="3"/>
        <charset val="129"/>
      </rPr>
      <t>(3/8")</t>
    </r>
  </si>
  <si>
    <t>M10</t>
  </si>
  <si>
    <t>전산볼트</t>
  </si>
  <si>
    <t>3/8"</t>
  </si>
  <si>
    <t>유동식 커플링</t>
  </si>
  <si>
    <r>
      <rPr>
        <sz val="10"/>
        <rFont val="맑은 고딕"/>
        <family val="3"/>
        <charset val="129"/>
      </rPr>
      <t xml:space="preserve">[ </t>
    </r>
    <r>
      <rPr>
        <sz val="10"/>
        <rFont val="Noto Sans CJK SC"/>
        <family val="2"/>
      </rPr>
      <t>은평구역촌동</t>
    </r>
    <r>
      <rPr>
        <sz val="10"/>
        <rFont val="맑은 고딕"/>
        <family val="3"/>
        <charset val="129"/>
      </rPr>
      <t>36-9,</t>
    </r>
    <r>
      <rPr>
        <sz val="10"/>
        <rFont val="Noto Sans CJK SC"/>
        <family val="2"/>
      </rPr>
      <t xml:space="preserve">증축및대수선공사 </t>
    </r>
    <r>
      <rPr>
        <sz val="10"/>
        <rFont val="맑은 고딕"/>
        <family val="3"/>
        <charset val="129"/>
      </rPr>
      <t>]</t>
    </r>
  </si>
  <si>
    <t>공   종   명</t>
  </si>
  <si>
    <t>재료비</t>
  </si>
  <si>
    <t>계</t>
  </si>
  <si>
    <r>
      <rPr>
        <sz val="11"/>
        <rFont val="맑은 고딕"/>
        <family val="3"/>
        <charset val="129"/>
      </rPr>
      <t xml:space="preserve">[ </t>
    </r>
    <r>
      <rPr>
        <sz val="11"/>
        <rFont val="Noto Sans CJK SC"/>
        <family val="2"/>
      </rPr>
      <t xml:space="preserve">집 계 표 </t>
    </r>
    <r>
      <rPr>
        <sz val="11"/>
        <rFont val="맑은 고딕"/>
        <family val="3"/>
        <charset val="129"/>
      </rPr>
      <t>]</t>
    </r>
  </si>
  <si>
    <r>
      <rPr>
        <sz val="11"/>
        <rFont val="맑은 고딕"/>
        <family val="3"/>
        <charset val="129"/>
      </rPr>
      <t>3.</t>
    </r>
    <r>
      <rPr>
        <sz val="11"/>
        <rFont val="Noto Sans CJK SC"/>
        <family val="2"/>
      </rPr>
      <t>전기공사</t>
    </r>
  </si>
  <si>
    <r>
      <rPr>
        <sz val="11"/>
        <rFont val="맑은 고딕"/>
        <family val="3"/>
        <charset val="129"/>
      </rPr>
      <t>1.</t>
    </r>
    <r>
      <rPr>
        <sz val="11"/>
        <rFont val="Noto Sans CJK SC"/>
        <family val="2"/>
      </rPr>
      <t>전력간선설비공사</t>
    </r>
  </si>
  <si>
    <r>
      <rPr>
        <sz val="11"/>
        <rFont val="맑은 고딕"/>
        <family val="3"/>
        <charset val="129"/>
      </rPr>
      <t>2.</t>
    </r>
    <r>
      <rPr>
        <sz val="11"/>
        <rFont val="Noto Sans CJK SC"/>
        <family val="2"/>
      </rPr>
      <t>전등설비공사</t>
    </r>
  </si>
  <si>
    <r>
      <rPr>
        <sz val="11"/>
        <rFont val="맑은 고딕"/>
        <family val="3"/>
        <charset val="129"/>
      </rPr>
      <t>3.</t>
    </r>
    <r>
      <rPr>
        <sz val="11"/>
        <rFont val="Noto Sans CJK SC"/>
        <family val="2"/>
      </rPr>
      <t>전열설비공사</t>
    </r>
  </si>
  <si>
    <r>
      <rPr>
        <sz val="11"/>
        <rFont val="맑은 고딕"/>
        <family val="3"/>
        <charset val="129"/>
      </rPr>
      <t>4.</t>
    </r>
    <r>
      <rPr>
        <sz val="11"/>
        <rFont val="Noto Sans CJK SC"/>
        <family val="2"/>
      </rPr>
      <t>냉난방설비공사</t>
    </r>
  </si>
  <si>
    <r>
      <rPr>
        <sz val="11"/>
        <rFont val="맑은 고딕"/>
        <family val="3"/>
        <charset val="129"/>
      </rPr>
      <t xml:space="preserve">( </t>
    </r>
    <r>
      <rPr>
        <sz val="11"/>
        <rFont val="Noto Sans CJK SC"/>
        <family val="2"/>
      </rPr>
      <t xml:space="preserve">소       계 </t>
    </r>
    <r>
      <rPr>
        <sz val="11"/>
        <rFont val="맑은 고딕"/>
        <family val="3"/>
        <charset val="129"/>
      </rPr>
      <t>)</t>
    </r>
  </si>
  <si>
    <r>
      <rPr>
        <sz val="11"/>
        <rFont val="맑은 고딕"/>
        <family val="3"/>
        <charset val="129"/>
      </rPr>
      <t>3-2.</t>
    </r>
    <r>
      <rPr>
        <sz val="11"/>
        <rFont val="Noto Sans CJK SC"/>
        <family val="2"/>
      </rPr>
      <t>통신공사</t>
    </r>
  </si>
  <si>
    <r>
      <rPr>
        <sz val="11"/>
        <rFont val="맑은 고딕"/>
        <family val="3"/>
        <charset val="129"/>
      </rPr>
      <t>1.</t>
    </r>
    <r>
      <rPr>
        <sz val="11"/>
        <rFont val="Noto Sans CJK SC"/>
        <family val="2"/>
      </rPr>
      <t>정보통신 간선설비공사</t>
    </r>
  </si>
  <si>
    <r>
      <rPr>
        <sz val="11"/>
        <rFont val="맑은 고딕"/>
        <family val="3"/>
        <charset val="129"/>
      </rPr>
      <t>2.</t>
    </r>
    <r>
      <rPr>
        <sz val="11"/>
        <rFont val="Noto Sans CJK SC"/>
        <family val="2"/>
      </rPr>
      <t>정보통신 설비공사</t>
    </r>
  </si>
  <si>
    <r>
      <rPr>
        <sz val="11"/>
        <rFont val="맑은 고딕"/>
        <family val="3"/>
        <charset val="129"/>
      </rPr>
      <t>3.-3</t>
    </r>
    <r>
      <rPr>
        <sz val="11"/>
        <rFont val="Noto Sans CJK SC"/>
        <family val="2"/>
      </rPr>
      <t>소방공사</t>
    </r>
  </si>
  <si>
    <r>
      <rPr>
        <sz val="11"/>
        <rFont val="맑은 고딕"/>
        <family val="3"/>
        <charset val="129"/>
      </rPr>
      <t>1.</t>
    </r>
    <r>
      <rPr>
        <sz val="11"/>
        <rFont val="Noto Sans CJK SC"/>
        <family val="2"/>
      </rPr>
      <t>자동화재탐지설비공사</t>
    </r>
  </si>
  <si>
    <r>
      <rPr>
        <sz val="11"/>
        <rFont val="맑은 고딕"/>
        <family val="3"/>
        <charset val="129"/>
      </rPr>
      <t>2.</t>
    </r>
    <r>
      <rPr>
        <sz val="11"/>
        <rFont val="Noto Sans CJK SC"/>
        <family val="2"/>
      </rPr>
      <t>유도등설비공사</t>
    </r>
  </si>
  <si>
    <t>합      계</t>
  </si>
  <si>
    <t>명   칭</t>
  </si>
  <si>
    <t>규   격</t>
  </si>
  <si>
    <r>
      <rPr>
        <sz val="11"/>
        <rFont val="맑은 고딕"/>
        <family val="3"/>
        <charset val="129"/>
      </rPr>
      <t>3.</t>
    </r>
    <r>
      <rPr>
        <sz val="11"/>
        <rFont val="Noto Sans CJK SC"/>
        <family val="2"/>
      </rPr>
      <t>전기공사</t>
    </r>
    <r>
      <rPr>
        <sz val="11"/>
        <rFont val="맑은 고딕"/>
        <family val="3"/>
        <charset val="129"/>
      </rPr>
      <t>::1-1,</t>
    </r>
    <r>
      <rPr>
        <sz val="11"/>
        <rFont val="Noto Sans CJK SC"/>
        <family val="2"/>
      </rPr>
      <t>전력간선설비공사</t>
    </r>
  </si>
  <si>
    <t>파상형 폴리에틸렌 전선관</t>
  </si>
  <si>
    <r>
      <rPr>
        <sz val="11"/>
        <rFont val="맑은 고딕"/>
        <family val="3"/>
        <charset val="129"/>
      </rPr>
      <t>50</t>
    </r>
    <r>
      <rPr>
        <sz val="11"/>
        <rFont val="Noto Sans CJK SC"/>
        <family val="2"/>
      </rPr>
      <t>㎜</t>
    </r>
  </si>
  <si>
    <t>경질비닐전선관</t>
  </si>
  <si>
    <t>HI 28 mm</t>
  </si>
  <si>
    <t>HI 36 mm</t>
  </si>
  <si>
    <t>HI 42 mm</t>
  </si>
  <si>
    <t>HI 54 mm</t>
  </si>
  <si>
    <t>후렉시블전선관</t>
  </si>
  <si>
    <t>GW 28mm</t>
  </si>
  <si>
    <t>GW 36mm</t>
  </si>
  <si>
    <t>GW 54mm</t>
  </si>
  <si>
    <t>경질비닐전선관용 부품</t>
  </si>
  <si>
    <r>
      <rPr>
        <sz val="11"/>
        <rFont val="Noto Sans CJK SC"/>
        <family val="2"/>
      </rPr>
      <t>노말밴드</t>
    </r>
    <r>
      <rPr>
        <sz val="11"/>
        <rFont val="맑은 고딕"/>
        <family val="3"/>
        <charset val="129"/>
      </rPr>
      <t>, 28 mm</t>
    </r>
  </si>
  <si>
    <r>
      <rPr>
        <sz val="11"/>
        <rFont val="Noto Sans CJK SC"/>
        <family val="2"/>
      </rPr>
      <t>노말밴드</t>
    </r>
    <r>
      <rPr>
        <sz val="11"/>
        <rFont val="맑은 고딕"/>
        <family val="3"/>
        <charset val="129"/>
      </rPr>
      <t>, 36 mm</t>
    </r>
  </si>
  <si>
    <r>
      <rPr>
        <sz val="11"/>
        <rFont val="Noto Sans CJK SC"/>
        <family val="2"/>
      </rPr>
      <t>노말밴드</t>
    </r>
    <r>
      <rPr>
        <sz val="11"/>
        <rFont val="맑은 고딕"/>
        <family val="3"/>
        <charset val="129"/>
      </rPr>
      <t>, 42 mm</t>
    </r>
  </si>
  <si>
    <r>
      <rPr>
        <sz val="11"/>
        <rFont val="Noto Sans CJK SC"/>
        <family val="2"/>
      </rPr>
      <t>노말밴드</t>
    </r>
    <r>
      <rPr>
        <sz val="11"/>
        <rFont val="맑은 고딕"/>
        <family val="3"/>
        <charset val="129"/>
      </rPr>
      <t>, 54 mm</t>
    </r>
  </si>
  <si>
    <t>후렉시블전선관부품</t>
  </si>
  <si>
    <r>
      <rPr>
        <sz val="11"/>
        <rFont val="맑은 고딕"/>
        <family val="3"/>
        <charset val="129"/>
      </rPr>
      <t>GW</t>
    </r>
    <r>
      <rPr>
        <sz val="11"/>
        <rFont val="Noto Sans CJK SC"/>
        <family val="2"/>
      </rPr>
      <t xml:space="preserve">콘넥타 </t>
    </r>
    <r>
      <rPr>
        <sz val="11"/>
        <rFont val="맑은 고딕"/>
        <family val="3"/>
        <charset val="129"/>
      </rPr>
      <t>28mm</t>
    </r>
  </si>
  <si>
    <r>
      <rPr>
        <sz val="11"/>
        <rFont val="맑은 고딕"/>
        <family val="3"/>
        <charset val="129"/>
      </rPr>
      <t>GW</t>
    </r>
    <r>
      <rPr>
        <sz val="11"/>
        <rFont val="Noto Sans CJK SC"/>
        <family val="2"/>
      </rPr>
      <t xml:space="preserve">콘넥타 </t>
    </r>
    <r>
      <rPr>
        <sz val="11"/>
        <rFont val="맑은 고딕"/>
        <family val="3"/>
        <charset val="129"/>
      </rPr>
      <t>36mm</t>
    </r>
  </si>
  <si>
    <r>
      <rPr>
        <sz val="11"/>
        <rFont val="맑은 고딕"/>
        <family val="3"/>
        <charset val="129"/>
      </rPr>
      <t>GW</t>
    </r>
    <r>
      <rPr>
        <sz val="11"/>
        <rFont val="Noto Sans CJK SC"/>
        <family val="2"/>
      </rPr>
      <t xml:space="preserve">콘넥타 </t>
    </r>
    <r>
      <rPr>
        <sz val="11"/>
        <rFont val="맑은 고딕"/>
        <family val="3"/>
        <charset val="129"/>
      </rPr>
      <t>54mm</t>
    </r>
  </si>
  <si>
    <r>
      <rPr>
        <sz val="11"/>
        <rFont val="Noto Sans CJK SC"/>
        <family val="2"/>
      </rPr>
      <t>접지용비닐절연전선</t>
    </r>
    <r>
      <rPr>
        <sz val="11"/>
        <rFont val="맑은 고딕"/>
        <family val="3"/>
        <charset val="129"/>
      </rPr>
      <t>(F-GV)</t>
    </r>
  </si>
  <si>
    <r>
      <rPr>
        <sz val="11"/>
        <rFont val="맑은 고딕"/>
        <family val="3"/>
        <charset val="129"/>
      </rPr>
      <t>4</t>
    </r>
    <r>
      <rPr>
        <sz val="11"/>
        <rFont val="Noto Sans CJK SC"/>
        <family val="2"/>
      </rPr>
      <t>㎟</t>
    </r>
  </si>
  <si>
    <r>
      <rPr>
        <sz val="11"/>
        <rFont val="맑은 고딕"/>
        <family val="3"/>
        <charset val="129"/>
      </rPr>
      <t>10</t>
    </r>
    <r>
      <rPr>
        <sz val="11"/>
        <rFont val="Noto Sans CJK SC"/>
        <family val="2"/>
      </rPr>
      <t>㎟</t>
    </r>
  </si>
  <si>
    <r>
      <rPr>
        <sz val="11"/>
        <rFont val="맑은 고딕"/>
        <family val="3"/>
        <charset val="129"/>
      </rPr>
      <t>16</t>
    </r>
    <r>
      <rPr>
        <sz val="11"/>
        <rFont val="Noto Sans CJK SC"/>
        <family val="2"/>
      </rPr>
      <t>㎟</t>
    </r>
  </si>
  <si>
    <r>
      <rPr>
        <sz val="11"/>
        <rFont val="맑은 고딕"/>
        <family val="3"/>
        <charset val="129"/>
      </rPr>
      <t>25</t>
    </r>
    <r>
      <rPr>
        <sz val="11"/>
        <rFont val="Noto Sans CJK SC"/>
        <family val="2"/>
      </rPr>
      <t>㎟</t>
    </r>
  </si>
  <si>
    <t>폴리에틸렌 난연케이블</t>
  </si>
  <si>
    <r>
      <rPr>
        <sz val="11"/>
        <rFont val="맑은 고딕"/>
        <family val="3"/>
        <charset val="129"/>
      </rPr>
      <t>0.6/1kv F-CV 2C×4</t>
    </r>
    <r>
      <rPr>
        <sz val="11"/>
        <rFont val="Noto Sans CJK SC"/>
        <family val="2"/>
      </rPr>
      <t>㎟</t>
    </r>
  </si>
  <si>
    <r>
      <rPr>
        <sz val="11"/>
        <rFont val="맑은 고딕"/>
        <family val="3"/>
        <charset val="129"/>
      </rPr>
      <t>0.6/1kv F-CV 2C×10</t>
    </r>
    <r>
      <rPr>
        <sz val="11"/>
        <rFont val="Noto Sans CJK SC"/>
        <family val="2"/>
      </rPr>
      <t>㎟</t>
    </r>
  </si>
  <si>
    <r>
      <rPr>
        <sz val="11"/>
        <rFont val="맑은 고딕"/>
        <family val="3"/>
        <charset val="129"/>
      </rPr>
      <t>0.6/1kv F-CV 4C×10</t>
    </r>
    <r>
      <rPr>
        <sz val="11"/>
        <rFont val="Noto Sans CJK SC"/>
        <family val="2"/>
      </rPr>
      <t>㎟</t>
    </r>
  </si>
  <si>
    <r>
      <rPr>
        <sz val="11"/>
        <rFont val="맑은 고딕"/>
        <family val="3"/>
        <charset val="129"/>
      </rPr>
      <t>0.6/1kv F-CV 2C×16</t>
    </r>
    <r>
      <rPr>
        <sz val="11"/>
        <rFont val="Noto Sans CJK SC"/>
        <family val="2"/>
      </rPr>
      <t>㎟</t>
    </r>
  </si>
  <si>
    <r>
      <rPr>
        <sz val="11"/>
        <rFont val="맑은 고딕"/>
        <family val="3"/>
        <charset val="129"/>
      </rPr>
      <t>0.6/1kv F-CV 1C×50</t>
    </r>
    <r>
      <rPr>
        <sz val="11"/>
        <rFont val="Noto Sans CJK SC"/>
        <family val="2"/>
      </rPr>
      <t>㎟</t>
    </r>
  </si>
  <si>
    <r>
      <rPr>
        <sz val="11"/>
        <rFont val="Noto Sans CJK SC"/>
        <family val="2"/>
      </rPr>
      <t>소방케이블</t>
    </r>
    <r>
      <rPr>
        <sz val="11"/>
        <rFont val="맑은 고딕"/>
        <family val="3"/>
        <charset val="129"/>
      </rPr>
      <t>(FR-8)</t>
    </r>
  </si>
  <si>
    <r>
      <rPr>
        <sz val="11"/>
        <rFont val="맑은 고딕"/>
        <family val="3"/>
        <charset val="129"/>
      </rPr>
      <t>4</t>
    </r>
    <r>
      <rPr>
        <sz val="11"/>
        <rFont val="Noto Sans CJK SC"/>
        <family val="2"/>
      </rPr>
      <t xml:space="preserve">㎟ </t>
    </r>
    <r>
      <rPr>
        <sz val="11"/>
        <rFont val="맑은 고딕"/>
        <family val="3"/>
        <charset val="129"/>
      </rPr>
      <t>X 2C</t>
    </r>
  </si>
  <si>
    <r>
      <rPr>
        <sz val="11"/>
        <rFont val="맑은 고딕"/>
        <family val="3"/>
        <charset val="129"/>
      </rPr>
      <t>4</t>
    </r>
    <r>
      <rPr>
        <sz val="11"/>
        <rFont val="Noto Sans CJK SC"/>
        <family val="2"/>
      </rPr>
      <t xml:space="preserve">㎟ </t>
    </r>
    <r>
      <rPr>
        <sz val="11"/>
        <rFont val="맑은 고딕"/>
        <family val="3"/>
        <charset val="129"/>
      </rPr>
      <t>X 3C</t>
    </r>
  </si>
  <si>
    <r>
      <rPr>
        <sz val="11"/>
        <rFont val="맑은 고딕"/>
        <family val="3"/>
        <charset val="129"/>
      </rPr>
      <t>35</t>
    </r>
    <r>
      <rPr>
        <sz val="11"/>
        <rFont val="Noto Sans CJK SC"/>
        <family val="2"/>
      </rPr>
      <t xml:space="preserve">㎟ </t>
    </r>
    <r>
      <rPr>
        <sz val="11"/>
        <rFont val="맑은 고딕"/>
        <family val="3"/>
        <charset val="129"/>
      </rPr>
      <t>X 4C</t>
    </r>
  </si>
  <si>
    <t>압착단자</t>
  </si>
  <si>
    <r>
      <rPr>
        <sz val="11"/>
        <rFont val="맑은 고딕"/>
        <family val="3"/>
        <charset val="129"/>
      </rPr>
      <t>R</t>
    </r>
    <r>
      <rPr>
        <sz val="11"/>
        <rFont val="Noto Sans CJK SC"/>
        <family val="2"/>
      </rPr>
      <t xml:space="preserve">형동선 나압착 </t>
    </r>
    <r>
      <rPr>
        <sz val="11"/>
        <rFont val="맑은 고딕"/>
        <family val="3"/>
        <charset val="129"/>
      </rPr>
      <t xml:space="preserve">10 </t>
    </r>
    <r>
      <rPr>
        <sz val="11"/>
        <rFont val="Noto Sans CJK SC"/>
        <family val="2"/>
      </rPr>
      <t>㎟</t>
    </r>
  </si>
  <si>
    <r>
      <rPr>
        <sz val="11"/>
        <rFont val="맑은 고딕"/>
        <family val="3"/>
        <charset val="129"/>
      </rPr>
      <t>R</t>
    </r>
    <r>
      <rPr>
        <sz val="11"/>
        <rFont val="Noto Sans CJK SC"/>
        <family val="2"/>
      </rPr>
      <t xml:space="preserve">형동선 나압착 </t>
    </r>
    <r>
      <rPr>
        <sz val="11"/>
        <rFont val="맑은 고딕"/>
        <family val="3"/>
        <charset val="129"/>
      </rPr>
      <t xml:space="preserve">16 </t>
    </r>
    <r>
      <rPr>
        <sz val="11"/>
        <rFont val="Noto Sans CJK SC"/>
        <family val="2"/>
      </rPr>
      <t>㎟</t>
    </r>
  </si>
  <si>
    <r>
      <rPr>
        <sz val="11"/>
        <rFont val="맑은 고딕"/>
        <family val="3"/>
        <charset val="129"/>
      </rPr>
      <t>R</t>
    </r>
    <r>
      <rPr>
        <sz val="11"/>
        <rFont val="Noto Sans CJK SC"/>
        <family val="2"/>
      </rPr>
      <t xml:space="preserve">형동선 나압착 </t>
    </r>
    <r>
      <rPr>
        <sz val="11"/>
        <rFont val="맑은 고딕"/>
        <family val="3"/>
        <charset val="129"/>
      </rPr>
      <t xml:space="preserve">25 </t>
    </r>
    <r>
      <rPr>
        <sz val="11"/>
        <rFont val="Noto Sans CJK SC"/>
        <family val="2"/>
      </rPr>
      <t>㎟</t>
    </r>
  </si>
  <si>
    <r>
      <rPr>
        <sz val="11"/>
        <rFont val="맑은 고딕"/>
        <family val="3"/>
        <charset val="129"/>
      </rPr>
      <t>R</t>
    </r>
    <r>
      <rPr>
        <sz val="11"/>
        <rFont val="Noto Sans CJK SC"/>
        <family val="2"/>
      </rPr>
      <t xml:space="preserve">형동선 나압착 </t>
    </r>
    <r>
      <rPr>
        <sz val="11"/>
        <rFont val="맑은 고딕"/>
        <family val="3"/>
        <charset val="129"/>
      </rPr>
      <t xml:space="preserve">35 </t>
    </r>
    <r>
      <rPr>
        <sz val="11"/>
        <rFont val="Noto Sans CJK SC"/>
        <family val="2"/>
      </rPr>
      <t>㎟</t>
    </r>
  </si>
  <si>
    <t>동관단자</t>
  </si>
  <si>
    <r>
      <rPr>
        <sz val="11"/>
        <rFont val="맑은 고딕"/>
        <family val="3"/>
        <charset val="129"/>
      </rPr>
      <t>1holl 50</t>
    </r>
    <r>
      <rPr>
        <sz val="11"/>
        <rFont val="Noto Sans CJK SC"/>
        <family val="2"/>
      </rPr>
      <t>㎟</t>
    </r>
  </si>
  <si>
    <t>동력제어반</t>
  </si>
  <si>
    <t>P-F</t>
  </si>
  <si>
    <t>면</t>
  </si>
  <si>
    <t>분전반</t>
  </si>
  <si>
    <t>LP-B1</t>
  </si>
  <si>
    <t>LP-M</t>
  </si>
  <si>
    <t>LP-1</t>
  </si>
  <si>
    <t>LP-2</t>
  </si>
  <si>
    <t>LP-3</t>
  </si>
  <si>
    <t>LP-4</t>
  </si>
  <si>
    <r>
      <rPr>
        <sz val="11"/>
        <rFont val="맑은 고딕"/>
        <family val="3"/>
        <charset val="129"/>
      </rPr>
      <t>LP-5 (</t>
    </r>
    <r>
      <rPr>
        <sz val="11"/>
        <rFont val="Noto Sans CJK SC"/>
        <family val="2"/>
      </rPr>
      <t>세대분전함</t>
    </r>
    <r>
      <rPr>
        <sz val="11"/>
        <rFont val="맑은 고딕"/>
        <family val="3"/>
        <charset val="129"/>
      </rPr>
      <t>)(12</t>
    </r>
    <r>
      <rPr>
        <sz val="11"/>
        <rFont val="Noto Sans CJK SC"/>
        <family val="2"/>
      </rPr>
      <t>회로</t>
    </r>
    <r>
      <rPr>
        <sz val="11"/>
        <rFont val="맑은 고딕"/>
        <family val="3"/>
        <charset val="129"/>
      </rPr>
      <t>)</t>
    </r>
  </si>
  <si>
    <t>P-E/V</t>
  </si>
  <si>
    <t>계량기함</t>
  </si>
  <si>
    <t>맨홀</t>
  </si>
  <si>
    <t>1000X1000X1000</t>
  </si>
  <si>
    <r>
      <rPr>
        <sz val="11"/>
        <rFont val="맑은 고딕"/>
        <family val="3"/>
        <charset val="129"/>
      </rPr>
      <t xml:space="preserve">[ </t>
    </r>
    <r>
      <rPr>
        <sz val="11"/>
        <rFont val="Noto Sans CJK SC"/>
        <family val="2"/>
      </rPr>
      <t xml:space="preserve">소모 잡자재 </t>
    </r>
    <r>
      <rPr>
        <sz val="11"/>
        <rFont val="맑은 고딕"/>
        <family val="3"/>
        <charset val="129"/>
      </rPr>
      <t>]</t>
    </r>
  </si>
  <si>
    <r>
      <rPr>
        <sz val="11"/>
        <rFont val="Noto Sans CJK SC"/>
        <family val="2"/>
      </rPr>
      <t>전선</t>
    </r>
    <r>
      <rPr>
        <sz val="11"/>
        <rFont val="맑은 고딕"/>
        <family val="3"/>
        <charset val="129"/>
      </rPr>
      <t xml:space="preserve">, </t>
    </r>
    <r>
      <rPr>
        <sz val="11"/>
        <rFont val="Noto Sans CJK SC"/>
        <family val="2"/>
      </rPr>
      <t xml:space="preserve">전선관의 </t>
    </r>
    <r>
      <rPr>
        <sz val="11"/>
        <rFont val="맑은 고딕"/>
        <family val="3"/>
        <charset val="129"/>
      </rPr>
      <t>2 %</t>
    </r>
  </si>
  <si>
    <t>내선전공</t>
  </si>
  <si>
    <t>저압케이블공</t>
  </si>
  <si>
    <r>
      <rPr>
        <sz val="11"/>
        <rFont val="맑은 고딕"/>
        <family val="3"/>
        <charset val="129"/>
      </rPr>
      <t xml:space="preserve">[ </t>
    </r>
    <r>
      <rPr>
        <sz val="11"/>
        <rFont val="Noto Sans CJK SC"/>
        <family val="2"/>
      </rPr>
      <t xml:space="preserve">공 구 손 료 </t>
    </r>
    <r>
      <rPr>
        <sz val="11"/>
        <rFont val="맑은 고딕"/>
        <family val="3"/>
        <charset val="129"/>
      </rPr>
      <t>]</t>
    </r>
  </si>
  <si>
    <r>
      <rPr>
        <sz val="11"/>
        <rFont val="Noto Sans CJK SC"/>
        <family val="2"/>
      </rPr>
      <t xml:space="preserve">노무비의 </t>
    </r>
    <r>
      <rPr>
        <sz val="11"/>
        <rFont val="맑은 고딕"/>
        <family val="3"/>
        <charset val="129"/>
      </rPr>
      <t>3 %</t>
    </r>
  </si>
  <si>
    <r>
      <rPr>
        <sz val="11"/>
        <rFont val="맑은 고딕"/>
        <family val="3"/>
        <charset val="129"/>
      </rPr>
      <t xml:space="preserve">( </t>
    </r>
    <r>
      <rPr>
        <sz val="11"/>
        <rFont val="Noto Sans CJK SC"/>
        <family val="2"/>
      </rPr>
      <t xml:space="preserve">합       계 </t>
    </r>
    <r>
      <rPr>
        <sz val="11"/>
        <rFont val="맑은 고딕"/>
        <family val="3"/>
        <charset val="129"/>
      </rPr>
      <t>)</t>
    </r>
  </si>
  <si>
    <r>
      <rPr>
        <sz val="11"/>
        <rFont val="맑은 고딕"/>
        <family val="3"/>
        <charset val="129"/>
      </rPr>
      <t>3.</t>
    </r>
    <r>
      <rPr>
        <sz val="11"/>
        <rFont val="Noto Sans CJK SC"/>
        <family val="2"/>
      </rPr>
      <t>전기공사</t>
    </r>
    <r>
      <rPr>
        <sz val="11"/>
        <rFont val="맑은 고딕"/>
        <family val="3"/>
        <charset val="129"/>
      </rPr>
      <t>::1-2,</t>
    </r>
    <r>
      <rPr>
        <sz val="11"/>
        <rFont val="Noto Sans CJK SC"/>
        <family val="2"/>
      </rPr>
      <t>전등설비공사</t>
    </r>
  </si>
  <si>
    <t>합성수지비닐전선관</t>
  </si>
  <si>
    <r>
      <rPr>
        <sz val="11"/>
        <rFont val="맑은 고딕"/>
        <family val="3"/>
        <charset val="129"/>
      </rPr>
      <t>CD 16 mm (</t>
    </r>
    <r>
      <rPr>
        <sz val="11"/>
        <rFont val="Noto Sans CJK SC"/>
        <family val="2"/>
      </rPr>
      <t>난연성</t>
    </r>
    <r>
      <rPr>
        <sz val="11"/>
        <rFont val="맑은 고딕"/>
        <family val="3"/>
        <charset val="129"/>
      </rPr>
      <t>)</t>
    </r>
  </si>
  <si>
    <t>합성수지제 가요전선관</t>
  </si>
  <si>
    <r>
      <rPr>
        <sz val="11"/>
        <rFont val="맑은 고딕"/>
        <family val="3"/>
        <charset val="129"/>
      </rPr>
      <t>CD-</t>
    </r>
    <r>
      <rPr>
        <sz val="11"/>
        <rFont val="Noto Sans CJK SC"/>
        <family val="2"/>
      </rPr>
      <t xml:space="preserve">난연성 </t>
    </r>
    <r>
      <rPr>
        <sz val="11"/>
        <rFont val="맑은 고딕"/>
        <family val="3"/>
        <charset val="129"/>
      </rPr>
      <t>22</t>
    </r>
    <r>
      <rPr>
        <sz val="11"/>
        <rFont val="Noto Sans CJK SC"/>
        <family val="2"/>
      </rPr>
      <t>㎜</t>
    </r>
  </si>
  <si>
    <r>
      <rPr>
        <sz val="11"/>
        <rFont val="맑은 고딕"/>
        <family val="3"/>
        <charset val="129"/>
      </rPr>
      <t>1</t>
    </r>
    <r>
      <rPr>
        <sz val="11"/>
        <rFont val="Noto Sans CJK SC"/>
        <family val="2"/>
      </rPr>
      <t>종금속제가요전선관</t>
    </r>
  </si>
  <si>
    <r>
      <rPr>
        <sz val="11"/>
        <rFont val="맑은 고딕"/>
        <family val="3"/>
        <charset val="129"/>
      </rPr>
      <t xml:space="preserve">16 mm </t>
    </r>
    <r>
      <rPr>
        <sz val="11"/>
        <rFont val="Noto Sans CJK SC"/>
        <family val="2"/>
      </rPr>
      <t>일반</t>
    </r>
    <r>
      <rPr>
        <sz val="11"/>
        <rFont val="맑은 고딕"/>
        <family val="3"/>
        <charset val="129"/>
      </rPr>
      <t>-</t>
    </r>
    <r>
      <rPr>
        <sz val="11"/>
        <rFont val="Noto Sans CJK SC"/>
        <family val="2"/>
      </rPr>
      <t>비방수</t>
    </r>
  </si>
  <si>
    <r>
      <rPr>
        <sz val="11"/>
        <rFont val="Noto Sans CJK SC"/>
        <family val="2"/>
      </rPr>
      <t>커넥터</t>
    </r>
    <r>
      <rPr>
        <sz val="11"/>
        <rFont val="맑은 고딕"/>
        <family val="3"/>
        <charset val="129"/>
      </rPr>
      <t xml:space="preserve">, 16 mm </t>
    </r>
    <r>
      <rPr>
        <sz val="11"/>
        <rFont val="Noto Sans CJK SC"/>
        <family val="2"/>
      </rPr>
      <t>일반</t>
    </r>
    <r>
      <rPr>
        <sz val="11"/>
        <rFont val="맑은 고딕"/>
        <family val="3"/>
        <charset val="129"/>
      </rPr>
      <t>-</t>
    </r>
    <r>
      <rPr>
        <sz val="11"/>
        <rFont val="Noto Sans CJK SC"/>
        <family val="2"/>
      </rPr>
      <t>비방수</t>
    </r>
  </si>
  <si>
    <t>아우트렛박스</t>
  </si>
  <si>
    <r>
      <rPr>
        <sz val="11"/>
        <rFont val="맑은 고딕"/>
        <family val="3"/>
        <charset val="129"/>
      </rPr>
      <t>8</t>
    </r>
    <r>
      <rPr>
        <sz val="11"/>
        <rFont val="Noto Sans CJK SC"/>
        <family val="2"/>
      </rPr>
      <t xml:space="preserve">각 </t>
    </r>
    <r>
      <rPr>
        <sz val="11"/>
        <rFont val="맑은 고딕"/>
        <family val="3"/>
        <charset val="129"/>
      </rPr>
      <t>54</t>
    </r>
    <r>
      <rPr>
        <sz val="11"/>
        <rFont val="Noto Sans CJK SC"/>
        <family val="2"/>
      </rPr>
      <t>㎜</t>
    </r>
  </si>
  <si>
    <r>
      <rPr>
        <sz val="11"/>
        <rFont val="Noto Sans CJK SC"/>
        <family val="2"/>
      </rPr>
      <t>중형</t>
    </r>
    <r>
      <rPr>
        <sz val="11"/>
        <rFont val="맑은 고딕"/>
        <family val="3"/>
        <charset val="129"/>
      </rPr>
      <t>4</t>
    </r>
    <r>
      <rPr>
        <sz val="11"/>
        <rFont val="Noto Sans CJK SC"/>
        <family val="2"/>
      </rPr>
      <t xml:space="preserve">각 </t>
    </r>
    <r>
      <rPr>
        <sz val="11"/>
        <rFont val="맑은 고딕"/>
        <family val="3"/>
        <charset val="129"/>
      </rPr>
      <t>54</t>
    </r>
    <r>
      <rPr>
        <sz val="11"/>
        <rFont val="Noto Sans CJK SC"/>
        <family val="2"/>
      </rPr>
      <t>㎜</t>
    </r>
  </si>
  <si>
    <t>스위치박스</t>
  </si>
  <si>
    <r>
      <rPr>
        <sz val="11"/>
        <rFont val="맑은 고딕"/>
        <family val="3"/>
        <charset val="129"/>
      </rPr>
      <t xml:space="preserve">1 </t>
    </r>
    <r>
      <rPr>
        <sz val="11"/>
        <rFont val="Noto Sans CJK SC"/>
        <family val="2"/>
      </rPr>
      <t xml:space="preserve">개용 </t>
    </r>
    <r>
      <rPr>
        <sz val="11"/>
        <rFont val="맑은 고딕"/>
        <family val="3"/>
        <charset val="129"/>
      </rPr>
      <t>54 mm</t>
    </r>
  </si>
  <si>
    <r>
      <rPr>
        <sz val="11"/>
        <rFont val="맑은 고딕"/>
        <family val="3"/>
        <charset val="129"/>
      </rPr>
      <t xml:space="preserve">2 </t>
    </r>
    <r>
      <rPr>
        <sz val="11"/>
        <rFont val="Noto Sans CJK SC"/>
        <family val="2"/>
      </rPr>
      <t xml:space="preserve">개용 </t>
    </r>
    <r>
      <rPr>
        <sz val="11"/>
        <rFont val="맑은 고딕"/>
        <family val="3"/>
        <charset val="129"/>
      </rPr>
      <t>54 mm</t>
    </r>
  </si>
  <si>
    <t>아우트렛박스 커버</t>
  </si>
  <si>
    <r>
      <rPr>
        <sz val="11"/>
        <rFont val="Noto Sans CJK SC"/>
        <family val="2"/>
      </rPr>
      <t>커버</t>
    </r>
    <r>
      <rPr>
        <sz val="11"/>
        <rFont val="맑은 고딕"/>
        <family val="3"/>
        <charset val="129"/>
      </rPr>
      <t>, 8</t>
    </r>
    <r>
      <rPr>
        <sz val="11"/>
        <rFont val="Noto Sans CJK SC"/>
        <family val="2"/>
      </rPr>
      <t>각</t>
    </r>
    <r>
      <rPr>
        <sz val="11"/>
        <rFont val="맑은 고딕"/>
        <family val="3"/>
        <charset val="129"/>
      </rPr>
      <t xml:space="preserve">, </t>
    </r>
    <r>
      <rPr>
        <sz val="11"/>
        <rFont val="Noto Sans CJK SC"/>
        <family val="2"/>
      </rPr>
      <t>평형</t>
    </r>
  </si>
  <si>
    <r>
      <rPr>
        <sz val="11"/>
        <rFont val="Noto Sans CJK SC"/>
        <family val="2"/>
      </rPr>
      <t>커버</t>
    </r>
    <r>
      <rPr>
        <sz val="11"/>
        <rFont val="맑은 고딕"/>
        <family val="3"/>
        <charset val="129"/>
      </rPr>
      <t>, 4</t>
    </r>
    <r>
      <rPr>
        <sz val="11"/>
        <rFont val="Noto Sans CJK SC"/>
        <family val="2"/>
      </rPr>
      <t>각</t>
    </r>
    <r>
      <rPr>
        <sz val="11"/>
        <rFont val="맑은 고딕"/>
        <family val="3"/>
        <charset val="129"/>
      </rPr>
      <t xml:space="preserve">, </t>
    </r>
    <r>
      <rPr>
        <sz val="11"/>
        <rFont val="Noto Sans CJK SC"/>
        <family val="2"/>
      </rPr>
      <t>평형</t>
    </r>
  </si>
  <si>
    <r>
      <rPr>
        <sz val="11"/>
        <rFont val="맑은 고딕"/>
        <family val="3"/>
        <charset val="129"/>
      </rPr>
      <t xml:space="preserve">450/750V </t>
    </r>
    <r>
      <rPr>
        <sz val="11"/>
        <rFont val="Noto Sans CJK SC"/>
        <family val="2"/>
      </rPr>
      <t>내열비닐절연전선</t>
    </r>
  </si>
  <si>
    <r>
      <rPr>
        <sz val="11"/>
        <rFont val="맑은 고딕"/>
        <family val="3"/>
        <charset val="129"/>
      </rPr>
      <t>HFIX 1.78mm(2.5</t>
    </r>
    <r>
      <rPr>
        <sz val="11"/>
        <rFont val="Noto Sans CJK SC"/>
        <family val="2"/>
      </rPr>
      <t>㎟</t>
    </r>
    <r>
      <rPr>
        <sz val="11"/>
        <rFont val="맑은 고딕"/>
        <family val="3"/>
        <charset val="129"/>
      </rPr>
      <t>)</t>
    </r>
  </si>
  <si>
    <t>스위치</t>
  </si>
  <si>
    <r>
      <rPr>
        <sz val="11"/>
        <rFont val="Noto Sans CJK SC"/>
        <family val="2"/>
      </rPr>
      <t xml:space="preserve">매입형 </t>
    </r>
    <r>
      <rPr>
        <sz val="11"/>
        <rFont val="맑은 고딕"/>
        <family val="3"/>
        <charset val="129"/>
      </rPr>
      <t>1</t>
    </r>
    <r>
      <rPr>
        <sz val="11"/>
        <rFont val="Noto Sans CJK SC"/>
        <family val="2"/>
      </rPr>
      <t>로</t>
    </r>
    <r>
      <rPr>
        <sz val="11"/>
        <rFont val="맑은 고딕"/>
        <family val="3"/>
        <charset val="129"/>
      </rPr>
      <t>1</t>
    </r>
    <r>
      <rPr>
        <sz val="11"/>
        <rFont val="Noto Sans CJK SC"/>
        <family val="2"/>
      </rPr>
      <t>구</t>
    </r>
  </si>
  <si>
    <r>
      <rPr>
        <sz val="11"/>
        <rFont val="Noto Sans CJK SC"/>
        <family val="2"/>
      </rPr>
      <t xml:space="preserve">매입형 </t>
    </r>
    <r>
      <rPr>
        <sz val="11"/>
        <rFont val="맑은 고딕"/>
        <family val="3"/>
        <charset val="129"/>
      </rPr>
      <t>1</t>
    </r>
    <r>
      <rPr>
        <sz val="11"/>
        <rFont val="Noto Sans CJK SC"/>
        <family val="2"/>
      </rPr>
      <t>로</t>
    </r>
    <r>
      <rPr>
        <sz val="11"/>
        <rFont val="맑은 고딕"/>
        <family val="3"/>
        <charset val="129"/>
      </rPr>
      <t>2</t>
    </r>
    <r>
      <rPr>
        <sz val="11"/>
        <rFont val="Noto Sans CJK SC"/>
        <family val="2"/>
      </rPr>
      <t>구</t>
    </r>
  </si>
  <si>
    <r>
      <rPr>
        <sz val="11"/>
        <rFont val="Noto Sans CJK SC"/>
        <family val="2"/>
      </rPr>
      <t xml:space="preserve">매입형 </t>
    </r>
    <r>
      <rPr>
        <sz val="11"/>
        <rFont val="맑은 고딕"/>
        <family val="3"/>
        <charset val="129"/>
      </rPr>
      <t>1</t>
    </r>
    <r>
      <rPr>
        <sz val="11"/>
        <rFont val="Noto Sans CJK SC"/>
        <family val="2"/>
      </rPr>
      <t>로</t>
    </r>
    <r>
      <rPr>
        <sz val="11"/>
        <rFont val="맑은 고딕"/>
        <family val="3"/>
        <charset val="129"/>
      </rPr>
      <t>3</t>
    </r>
    <r>
      <rPr>
        <sz val="11"/>
        <rFont val="Noto Sans CJK SC"/>
        <family val="2"/>
      </rPr>
      <t>구</t>
    </r>
  </si>
  <si>
    <r>
      <rPr>
        <sz val="11"/>
        <rFont val="Noto Sans CJK SC"/>
        <family val="2"/>
      </rPr>
      <t xml:space="preserve">매입형 </t>
    </r>
    <r>
      <rPr>
        <sz val="11"/>
        <rFont val="맑은 고딕"/>
        <family val="3"/>
        <charset val="129"/>
      </rPr>
      <t>1</t>
    </r>
    <r>
      <rPr>
        <sz val="11"/>
        <rFont val="Noto Sans CJK SC"/>
        <family val="2"/>
      </rPr>
      <t>로</t>
    </r>
    <r>
      <rPr>
        <sz val="11"/>
        <rFont val="맑은 고딕"/>
        <family val="3"/>
        <charset val="129"/>
      </rPr>
      <t>4</t>
    </r>
    <r>
      <rPr>
        <sz val="11"/>
        <rFont val="Noto Sans CJK SC"/>
        <family val="2"/>
      </rPr>
      <t>구</t>
    </r>
  </si>
  <si>
    <r>
      <rPr>
        <sz val="11"/>
        <rFont val="Noto Sans CJK SC"/>
        <family val="2"/>
      </rPr>
      <t xml:space="preserve">매입형 </t>
    </r>
    <r>
      <rPr>
        <sz val="11"/>
        <rFont val="맑은 고딕"/>
        <family val="3"/>
        <charset val="129"/>
      </rPr>
      <t>1</t>
    </r>
    <r>
      <rPr>
        <sz val="11"/>
        <rFont val="Noto Sans CJK SC"/>
        <family val="2"/>
      </rPr>
      <t>로</t>
    </r>
    <r>
      <rPr>
        <sz val="11"/>
        <rFont val="맑은 고딕"/>
        <family val="3"/>
        <charset val="129"/>
      </rPr>
      <t>5</t>
    </r>
    <r>
      <rPr>
        <sz val="11"/>
        <rFont val="Noto Sans CJK SC"/>
        <family val="2"/>
      </rPr>
      <t>구</t>
    </r>
  </si>
  <si>
    <r>
      <rPr>
        <sz val="11"/>
        <rFont val="Noto Sans CJK SC"/>
        <family val="2"/>
      </rPr>
      <t xml:space="preserve">매입형 </t>
    </r>
    <r>
      <rPr>
        <sz val="11"/>
        <rFont val="맑은 고딕"/>
        <family val="3"/>
        <charset val="129"/>
      </rPr>
      <t>3</t>
    </r>
    <r>
      <rPr>
        <sz val="11"/>
        <rFont val="Noto Sans CJK SC"/>
        <family val="2"/>
      </rPr>
      <t>로</t>
    </r>
    <r>
      <rPr>
        <sz val="11"/>
        <rFont val="맑은 고딕"/>
        <family val="3"/>
        <charset val="129"/>
      </rPr>
      <t>1</t>
    </r>
    <r>
      <rPr>
        <sz val="11"/>
        <rFont val="Noto Sans CJK SC"/>
        <family val="2"/>
      </rPr>
      <t>구</t>
    </r>
  </si>
  <si>
    <t>콘센트</t>
  </si>
  <si>
    <r>
      <rPr>
        <sz val="11"/>
        <rFont val="Noto Sans CJK SC"/>
        <family val="2"/>
      </rPr>
      <t xml:space="preserve">노출접지형 </t>
    </r>
    <r>
      <rPr>
        <sz val="11"/>
        <rFont val="맑은 고딕"/>
        <family val="3"/>
        <charset val="129"/>
      </rPr>
      <t>1</t>
    </r>
    <r>
      <rPr>
        <sz val="11"/>
        <rFont val="Noto Sans CJK SC"/>
        <family val="2"/>
      </rPr>
      <t>구</t>
    </r>
  </si>
  <si>
    <t>와이어콘넥타</t>
  </si>
  <si>
    <r>
      <rPr>
        <sz val="11"/>
        <rFont val="Noto Sans CJK SC"/>
        <family val="2"/>
      </rPr>
      <t>조명기구</t>
    </r>
    <r>
      <rPr>
        <sz val="11"/>
        <rFont val="맑은 고딕"/>
        <family val="3"/>
        <charset val="129"/>
      </rPr>
      <t>"A"TYPE</t>
    </r>
  </si>
  <si>
    <r>
      <rPr>
        <sz val="11"/>
        <rFont val="맑은 고딕"/>
        <family val="3"/>
        <charset val="129"/>
      </rPr>
      <t xml:space="preserve">LED50W </t>
    </r>
    <r>
      <rPr>
        <sz val="11"/>
        <rFont val="Noto Sans CJK SC"/>
        <family val="2"/>
      </rPr>
      <t>평판슬림매입등</t>
    </r>
  </si>
  <si>
    <r>
      <rPr>
        <sz val="11"/>
        <rFont val="Noto Sans CJK SC"/>
        <family val="2"/>
      </rPr>
      <t>조명기구</t>
    </r>
    <r>
      <rPr>
        <sz val="11"/>
        <rFont val="맑은 고딕"/>
        <family val="3"/>
        <charset val="129"/>
      </rPr>
      <t>"B"TYPE</t>
    </r>
  </si>
  <si>
    <r>
      <rPr>
        <sz val="11"/>
        <rFont val="맑은 고딕"/>
        <family val="3"/>
        <charset val="129"/>
      </rPr>
      <t xml:space="preserve">LED15W </t>
    </r>
    <r>
      <rPr>
        <sz val="11"/>
        <rFont val="Noto Sans CJK SC"/>
        <family val="2"/>
      </rPr>
      <t>원형직부등</t>
    </r>
  </si>
  <si>
    <r>
      <rPr>
        <sz val="11"/>
        <rFont val="Noto Sans CJK SC"/>
        <family val="2"/>
      </rPr>
      <t>조명기구</t>
    </r>
    <r>
      <rPr>
        <sz val="11"/>
        <rFont val="맑은 고딕"/>
        <family val="3"/>
        <charset val="129"/>
      </rPr>
      <t>"C"TYPE</t>
    </r>
  </si>
  <si>
    <r>
      <rPr>
        <sz val="11"/>
        <rFont val="맑은 고딕"/>
        <family val="3"/>
        <charset val="129"/>
      </rPr>
      <t xml:space="preserve">LED15W </t>
    </r>
    <r>
      <rPr>
        <sz val="11"/>
        <rFont val="Noto Sans CJK SC"/>
        <family val="2"/>
      </rPr>
      <t>원형센서직부등</t>
    </r>
  </si>
  <si>
    <r>
      <rPr>
        <sz val="11"/>
        <rFont val="Noto Sans CJK SC"/>
        <family val="2"/>
      </rPr>
      <t>조명기구</t>
    </r>
    <r>
      <rPr>
        <sz val="11"/>
        <rFont val="맑은 고딕"/>
        <family val="3"/>
        <charset val="129"/>
      </rPr>
      <t>"D"TYPE</t>
    </r>
  </si>
  <si>
    <r>
      <rPr>
        <sz val="11"/>
        <rFont val="맑은 고딕"/>
        <family val="3"/>
        <charset val="129"/>
      </rPr>
      <t xml:space="preserve">LED40W </t>
    </r>
    <r>
      <rPr>
        <sz val="11"/>
        <rFont val="Noto Sans CJK SC"/>
        <family val="2"/>
      </rPr>
      <t>주방직부등</t>
    </r>
  </si>
  <si>
    <r>
      <rPr>
        <sz val="11"/>
        <rFont val="Noto Sans CJK SC"/>
        <family val="2"/>
      </rPr>
      <t>조명기구</t>
    </r>
    <r>
      <rPr>
        <sz val="11"/>
        <rFont val="맑은 고딕"/>
        <family val="3"/>
        <charset val="129"/>
      </rPr>
      <t>"E"TYPE</t>
    </r>
  </si>
  <si>
    <r>
      <rPr>
        <sz val="11"/>
        <rFont val="맑은 고딕"/>
        <family val="3"/>
        <charset val="129"/>
      </rPr>
      <t xml:space="preserve">LED15W </t>
    </r>
    <r>
      <rPr>
        <sz val="11"/>
        <rFont val="Noto Sans CJK SC"/>
        <family val="2"/>
      </rPr>
      <t>다운라이트등</t>
    </r>
  </si>
  <si>
    <r>
      <rPr>
        <sz val="11"/>
        <rFont val="Noto Sans CJK SC"/>
        <family val="2"/>
      </rPr>
      <t>조명기구</t>
    </r>
    <r>
      <rPr>
        <sz val="11"/>
        <rFont val="맑은 고딕"/>
        <family val="3"/>
        <charset val="129"/>
      </rPr>
      <t>"F"TYPE</t>
    </r>
  </si>
  <si>
    <r>
      <rPr>
        <sz val="11"/>
        <rFont val="맑은 고딕"/>
        <family val="3"/>
        <charset val="129"/>
      </rPr>
      <t xml:space="preserve">LED50W </t>
    </r>
    <r>
      <rPr>
        <sz val="11"/>
        <rFont val="Noto Sans CJK SC"/>
        <family val="2"/>
      </rPr>
      <t>방등</t>
    </r>
  </si>
  <si>
    <r>
      <rPr>
        <sz val="11"/>
        <rFont val="Noto Sans CJK SC"/>
        <family val="2"/>
      </rPr>
      <t>조명기구</t>
    </r>
    <r>
      <rPr>
        <sz val="11"/>
        <rFont val="맑은 고딕"/>
        <family val="3"/>
        <charset val="129"/>
      </rPr>
      <t>"G"TYPE</t>
    </r>
  </si>
  <si>
    <r>
      <rPr>
        <sz val="11"/>
        <rFont val="Noto Sans CJK SC"/>
        <family val="2"/>
      </rPr>
      <t>실링펜조명</t>
    </r>
    <r>
      <rPr>
        <sz val="11"/>
        <rFont val="맑은 고딕"/>
        <family val="3"/>
        <charset val="129"/>
      </rPr>
      <t>(</t>
    </r>
    <r>
      <rPr>
        <sz val="11"/>
        <rFont val="Noto Sans CJK SC"/>
        <family val="2"/>
      </rPr>
      <t>스텔라무소음</t>
    </r>
    <r>
      <rPr>
        <sz val="11"/>
        <rFont val="맑은 고딕"/>
        <family val="3"/>
        <charset val="129"/>
      </rPr>
      <t>)</t>
    </r>
  </si>
  <si>
    <r>
      <rPr>
        <sz val="11"/>
        <rFont val="맑은 고딕"/>
        <family val="3"/>
        <charset val="129"/>
      </rPr>
      <t>3.</t>
    </r>
    <r>
      <rPr>
        <sz val="11"/>
        <rFont val="Noto Sans CJK SC"/>
        <family val="2"/>
      </rPr>
      <t>전기공사</t>
    </r>
    <r>
      <rPr>
        <sz val="11"/>
        <rFont val="맑은 고딕"/>
        <family val="3"/>
        <charset val="129"/>
      </rPr>
      <t>::1-3,</t>
    </r>
    <r>
      <rPr>
        <sz val="11"/>
        <rFont val="Noto Sans CJK SC"/>
        <family val="2"/>
      </rPr>
      <t>전열설비공사</t>
    </r>
  </si>
  <si>
    <t>CD 16 mm</t>
  </si>
  <si>
    <t>CD 28 mm</t>
  </si>
  <si>
    <r>
      <rPr>
        <sz val="11"/>
        <rFont val="Noto Sans CJK SC"/>
        <family val="2"/>
      </rPr>
      <t>스위치박스</t>
    </r>
    <r>
      <rPr>
        <sz val="11"/>
        <rFont val="맑은 고딕"/>
        <family val="3"/>
        <charset val="129"/>
      </rPr>
      <t>(</t>
    </r>
    <r>
      <rPr>
        <sz val="11"/>
        <rFont val="Noto Sans CJK SC"/>
        <family val="2"/>
      </rPr>
      <t>승압용</t>
    </r>
    <r>
      <rPr>
        <sz val="11"/>
        <rFont val="맑은 고딕"/>
        <family val="3"/>
        <charset val="129"/>
      </rPr>
      <t>)</t>
    </r>
  </si>
  <si>
    <t>풀박스</t>
  </si>
  <si>
    <t>200 ⅹ 200 ⅹ 100</t>
  </si>
  <si>
    <r>
      <rPr>
        <sz val="11"/>
        <rFont val="Noto Sans CJK SC"/>
        <family val="2"/>
      </rPr>
      <t>매입</t>
    </r>
    <r>
      <rPr>
        <sz val="11"/>
        <rFont val="맑은 고딕"/>
        <family val="3"/>
        <charset val="129"/>
      </rPr>
      <t>-</t>
    </r>
    <r>
      <rPr>
        <sz val="11"/>
        <rFont val="Noto Sans CJK SC"/>
        <family val="2"/>
      </rPr>
      <t>접지형</t>
    </r>
    <r>
      <rPr>
        <sz val="11"/>
        <rFont val="맑은 고딕"/>
        <family val="3"/>
        <charset val="129"/>
      </rPr>
      <t>, 250V 4</t>
    </r>
    <r>
      <rPr>
        <sz val="11"/>
        <rFont val="Noto Sans CJK SC"/>
        <family val="2"/>
      </rPr>
      <t>구</t>
    </r>
  </si>
  <si>
    <r>
      <rPr>
        <sz val="11"/>
        <rFont val="Noto Sans CJK SC"/>
        <family val="2"/>
      </rPr>
      <t>매입</t>
    </r>
    <r>
      <rPr>
        <sz val="11"/>
        <rFont val="맑은 고딕"/>
        <family val="3"/>
        <charset val="129"/>
      </rPr>
      <t>-</t>
    </r>
    <r>
      <rPr>
        <sz val="11"/>
        <rFont val="Noto Sans CJK SC"/>
        <family val="2"/>
      </rPr>
      <t>접지형</t>
    </r>
    <r>
      <rPr>
        <sz val="11"/>
        <rFont val="맑은 고딕"/>
        <family val="3"/>
        <charset val="129"/>
      </rPr>
      <t>, 250V 2</t>
    </r>
    <r>
      <rPr>
        <sz val="11"/>
        <rFont val="Noto Sans CJK SC"/>
        <family val="2"/>
      </rPr>
      <t>구</t>
    </r>
  </si>
  <si>
    <r>
      <rPr>
        <sz val="11"/>
        <rFont val="Noto Sans CJK SC"/>
        <family val="2"/>
      </rPr>
      <t>매입</t>
    </r>
    <r>
      <rPr>
        <sz val="11"/>
        <rFont val="맑은 고딕"/>
        <family val="3"/>
        <charset val="129"/>
      </rPr>
      <t>-</t>
    </r>
    <r>
      <rPr>
        <sz val="11"/>
        <rFont val="Noto Sans CJK SC"/>
        <family val="2"/>
      </rPr>
      <t>접지형</t>
    </r>
    <r>
      <rPr>
        <sz val="11"/>
        <rFont val="맑은 고딕"/>
        <family val="3"/>
        <charset val="129"/>
      </rPr>
      <t>, 250V 2</t>
    </r>
    <r>
      <rPr>
        <sz val="11"/>
        <rFont val="Noto Sans CJK SC"/>
        <family val="2"/>
      </rPr>
      <t>구</t>
    </r>
    <r>
      <rPr>
        <sz val="11"/>
        <rFont val="맑은 고딕"/>
        <family val="3"/>
        <charset val="129"/>
      </rPr>
      <t>(</t>
    </r>
    <r>
      <rPr>
        <sz val="11"/>
        <rFont val="Noto Sans CJK SC"/>
        <family val="2"/>
      </rPr>
      <t>방우형</t>
    </r>
    <r>
      <rPr>
        <sz val="11"/>
        <rFont val="맑은 고딕"/>
        <family val="3"/>
        <charset val="129"/>
      </rPr>
      <t>)</t>
    </r>
  </si>
  <si>
    <t>와이어콘넥터</t>
  </si>
  <si>
    <r>
      <rPr>
        <sz val="11"/>
        <rFont val="맑은 고딕"/>
        <family val="3"/>
        <charset val="129"/>
      </rPr>
      <t xml:space="preserve">6 </t>
    </r>
    <r>
      <rPr>
        <sz val="11"/>
        <rFont val="Noto Sans CJK SC"/>
        <family val="2"/>
      </rPr>
      <t xml:space="preserve">㎟ </t>
    </r>
    <r>
      <rPr>
        <sz val="11"/>
        <rFont val="맑은 고딕"/>
        <family val="3"/>
        <charset val="129"/>
      </rPr>
      <t>x 2</t>
    </r>
    <r>
      <rPr>
        <sz val="11"/>
        <rFont val="Noto Sans CJK SC"/>
        <family val="2"/>
      </rPr>
      <t>가닥</t>
    </r>
  </si>
  <si>
    <r>
      <rPr>
        <sz val="11"/>
        <rFont val="맑은 고딕"/>
        <family val="3"/>
        <charset val="129"/>
      </rPr>
      <t>3.</t>
    </r>
    <r>
      <rPr>
        <sz val="11"/>
        <rFont val="Noto Sans CJK SC"/>
        <family val="2"/>
      </rPr>
      <t>전기공사</t>
    </r>
    <r>
      <rPr>
        <sz val="11"/>
        <rFont val="맑은 고딕"/>
        <family val="3"/>
        <charset val="129"/>
      </rPr>
      <t>::1-4,</t>
    </r>
    <r>
      <rPr>
        <sz val="11"/>
        <rFont val="Noto Sans CJK SC"/>
        <family val="2"/>
      </rPr>
      <t>냉난방설비공사</t>
    </r>
  </si>
  <si>
    <t>CD 22 mm</t>
  </si>
  <si>
    <r>
      <rPr>
        <sz val="11"/>
        <rFont val="맑은 고딕"/>
        <family val="3"/>
        <charset val="129"/>
      </rPr>
      <t>HFIX 2.25mm(4</t>
    </r>
    <r>
      <rPr>
        <sz val="11"/>
        <rFont val="Noto Sans CJK SC"/>
        <family val="2"/>
      </rPr>
      <t>㎟</t>
    </r>
    <r>
      <rPr>
        <sz val="11"/>
        <rFont val="맑은 고딕"/>
        <family val="3"/>
        <charset val="129"/>
      </rPr>
      <t>)</t>
    </r>
  </si>
  <si>
    <r>
      <rPr>
        <sz val="11"/>
        <rFont val="맑은 고딕"/>
        <family val="3"/>
        <charset val="129"/>
      </rPr>
      <t>2.5</t>
    </r>
    <r>
      <rPr>
        <sz val="11"/>
        <rFont val="Noto Sans CJK SC"/>
        <family val="2"/>
      </rPr>
      <t>㎟</t>
    </r>
  </si>
  <si>
    <r>
      <rPr>
        <sz val="11"/>
        <rFont val="맑은 고딕"/>
        <family val="3"/>
        <charset val="129"/>
      </rPr>
      <t>0.6/1kv F-CV 2C×2.5</t>
    </r>
    <r>
      <rPr>
        <sz val="11"/>
        <rFont val="Noto Sans CJK SC"/>
        <family val="2"/>
      </rPr>
      <t>㎟</t>
    </r>
  </si>
  <si>
    <r>
      <rPr>
        <sz val="11"/>
        <rFont val="맑은 고딕"/>
        <family val="3"/>
        <charset val="129"/>
      </rPr>
      <t>0.6/1kv F-CV 4C×4</t>
    </r>
    <r>
      <rPr>
        <sz val="11"/>
        <rFont val="Noto Sans CJK SC"/>
        <family val="2"/>
      </rPr>
      <t>㎟</t>
    </r>
  </si>
  <si>
    <r>
      <rPr>
        <sz val="11"/>
        <rFont val="Noto Sans CJK SC"/>
        <family val="2"/>
      </rPr>
      <t>매입</t>
    </r>
    <r>
      <rPr>
        <sz val="11"/>
        <rFont val="맑은 고딕"/>
        <family val="3"/>
        <charset val="129"/>
      </rPr>
      <t>-</t>
    </r>
    <r>
      <rPr>
        <sz val="11"/>
        <rFont val="Noto Sans CJK SC"/>
        <family val="2"/>
      </rPr>
      <t>접지형</t>
    </r>
    <r>
      <rPr>
        <sz val="11"/>
        <rFont val="맑은 고딕"/>
        <family val="3"/>
        <charset val="129"/>
      </rPr>
      <t>, 250V 1</t>
    </r>
    <r>
      <rPr>
        <sz val="11"/>
        <rFont val="Noto Sans CJK SC"/>
        <family val="2"/>
      </rPr>
      <t>구</t>
    </r>
  </si>
  <si>
    <r>
      <rPr>
        <sz val="11"/>
        <rFont val="맑은 고딕"/>
        <family val="3"/>
        <charset val="129"/>
      </rPr>
      <t>3-2.</t>
    </r>
    <r>
      <rPr>
        <sz val="11"/>
        <rFont val="Noto Sans CJK SC"/>
        <family val="2"/>
      </rPr>
      <t>통신공사</t>
    </r>
    <r>
      <rPr>
        <sz val="11"/>
        <rFont val="맑은 고딕"/>
        <family val="3"/>
        <charset val="129"/>
      </rPr>
      <t>::2-1</t>
    </r>
    <r>
      <rPr>
        <sz val="11"/>
        <rFont val="Noto Sans CJK SC"/>
        <family val="2"/>
      </rPr>
      <t>정보통신간선설비공사</t>
    </r>
  </si>
  <si>
    <r>
      <rPr>
        <sz val="11"/>
        <rFont val="맑은 고딕"/>
        <family val="3"/>
        <charset val="129"/>
      </rPr>
      <t>CD 22 mm (</t>
    </r>
    <r>
      <rPr>
        <sz val="11"/>
        <rFont val="Noto Sans CJK SC"/>
        <family val="2"/>
      </rPr>
      <t>난연성</t>
    </r>
    <r>
      <rPr>
        <sz val="11"/>
        <rFont val="맑은 고딕"/>
        <family val="3"/>
        <charset val="129"/>
      </rPr>
      <t>)</t>
    </r>
  </si>
  <si>
    <r>
      <rPr>
        <sz val="11"/>
        <rFont val="맑은 고딕"/>
        <family val="3"/>
        <charset val="129"/>
      </rPr>
      <t>CD 28 mm (</t>
    </r>
    <r>
      <rPr>
        <sz val="11"/>
        <rFont val="Noto Sans CJK SC"/>
        <family val="2"/>
      </rPr>
      <t>난연성</t>
    </r>
    <r>
      <rPr>
        <sz val="11"/>
        <rFont val="맑은 고딕"/>
        <family val="3"/>
        <charset val="129"/>
      </rPr>
      <t>)</t>
    </r>
  </si>
  <si>
    <r>
      <rPr>
        <sz val="11"/>
        <rFont val="맑은 고딕"/>
        <family val="3"/>
        <charset val="129"/>
      </rPr>
      <t>CD 36 mm (</t>
    </r>
    <r>
      <rPr>
        <sz val="11"/>
        <rFont val="Noto Sans CJK SC"/>
        <family val="2"/>
      </rPr>
      <t>난연성</t>
    </r>
    <r>
      <rPr>
        <sz val="11"/>
        <rFont val="맑은 고딕"/>
        <family val="3"/>
        <charset val="129"/>
      </rPr>
      <t>)</t>
    </r>
  </si>
  <si>
    <r>
      <rPr>
        <sz val="11"/>
        <rFont val="맑은 고딕"/>
        <family val="3"/>
        <charset val="129"/>
      </rPr>
      <t xml:space="preserve">UTP </t>
    </r>
    <r>
      <rPr>
        <sz val="11"/>
        <rFont val="Noto Sans CJK SC"/>
        <family val="2"/>
      </rPr>
      <t>케이블</t>
    </r>
  </si>
  <si>
    <t>Cat.6E 0.5mm 25P</t>
  </si>
  <si>
    <t>고발포동축케이블</t>
  </si>
  <si>
    <r>
      <rPr>
        <sz val="11"/>
        <rFont val="Noto Sans CJK SC"/>
        <family val="2"/>
      </rPr>
      <t>삼중차폐</t>
    </r>
    <r>
      <rPr>
        <sz val="11"/>
        <rFont val="맑은 고딕"/>
        <family val="3"/>
        <charset val="129"/>
      </rPr>
      <t>, 7C-HFBT</t>
    </r>
  </si>
  <si>
    <t>광케이블</t>
  </si>
  <si>
    <t>F/O SMP 2CORE</t>
  </si>
  <si>
    <t>IDF</t>
  </si>
  <si>
    <t>50P(500X600X130)</t>
  </si>
  <si>
    <t>국선용단자함</t>
  </si>
  <si>
    <r>
      <rPr>
        <sz val="11"/>
        <rFont val="Noto Sans CJK SC"/>
        <family val="2"/>
      </rPr>
      <t>국선</t>
    </r>
    <r>
      <rPr>
        <sz val="11"/>
        <rFont val="맑은 고딕"/>
        <family val="3"/>
        <charset val="129"/>
      </rPr>
      <t>30P</t>
    </r>
    <r>
      <rPr>
        <sz val="11"/>
        <rFont val="Noto Sans CJK SC"/>
        <family val="2"/>
      </rPr>
      <t>사선</t>
    </r>
    <r>
      <rPr>
        <sz val="11"/>
        <rFont val="맑은 고딕"/>
        <family val="3"/>
        <charset val="129"/>
      </rPr>
      <t>150P(700ⅹ800ⅹ130)</t>
    </r>
  </si>
  <si>
    <r>
      <rPr>
        <sz val="11"/>
        <rFont val="Noto Sans CJK SC"/>
        <family val="2"/>
      </rPr>
      <t>노출형</t>
    </r>
    <r>
      <rPr>
        <sz val="11"/>
        <rFont val="맑은 고딕"/>
        <family val="3"/>
        <charset val="129"/>
      </rPr>
      <t>, 250V 2</t>
    </r>
    <r>
      <rPr>
        <sz val="11"/>
        <rFont val="Noto Sans CJK SC"/>
        <family val="2"/>
      </rPr>
      <t>구</t>
    </r>
  </si>
  <si>
    <t>증폭기</t>
  </si>
  <si>
    <t>CATV AMP</t>
  </si>
  <si>
    <t>보호기</t>
  </si>
  <si>
    <t>광대역분배기</t>
  </si>
  <si>
    <r>
      <rPr>
        <sz val="11"/>
        <rFont val="Noto Sans CJK SC"/>
        <family val="2"/>
      </rPr>
      <t>양방향</t>
    </r>
    <r>
      <rPr>
        <sz val="11"/>
        <rFont val="맑은 고딕"/>
        <family val="3"/>
        <charset val="129"/>
      </rPr>
      <t>2</t>
    </r>
    <r>
      <rPr>
        <sz val="11"/>
        <rFont val="Noto Sans CJK SC"/>
        <family val="2"/>
      </rPr>
      <t>분배기</t>
    </r>
    <r>
      <rPr>
        <sz val="11"/>
        <rFont val="맑은 고딕"/>
        <family val="3"/>
        <charset val="129"/>
      </rPr>
      <t>(54-2150MHZ)</t>
    </r>
  </si>
  <si>
    <r>
      <rPr>
        <sz val="11"/>
        <rFont val="Noto Sans CJK SC"/>
        <family val="2"/>
      </rPr>
      <t>양방향</t>
    </r>
    <r>
      <rPr>
        <sz val="11"/>
        <rFont val="맑은 고딕"/>
        <family val="3"/>
        <charset val="129"/>
      </rPr>
      <t>4</t>
    </r>
    <r>
      <rPr>
        <sz val="11"/>
        <rFont val="Noto Sans CJK SC"/>
        <family val="2"/>
      </rPr>
      <t>분배기</t>
    </r>
    <r>
      <rPr>
        <sz val="11"/>
        <rFont val="맑은 고딕"/>
        <family val="3"/>
        <charset val="129"/>
      </rPr>
      <t>(54-2151MHZ)</t>
    </r>
  </si>
  <si>
    <r>
      <rPr>
        <sz val="11"/>
        <rFont val="Noto Sans CJK SC"/>
        <family val="2"/>
      </rPr>
      <t>양방향</t>
    </r>
    <r>
      <rPr>
        <sz val="11"/>
        <rFont val="맑은 고딕"/>
        <family val="3"/>
        <charset val="129"/>
      </rPr>
      <t>6</t>
    </r>
    <r>
      <rPr>
        <sz val="11"/>
        <rFont val="Noto Sans CJK SC"/>
        <family val="2"/>
      </rPr>
      <t>분배기</t>
    </r>
    <r>
      <rPr>
        <sz val="11"/>
        <rFont val="맑은 고딕"/>
        <family val="3"/>
        <charset val="129"/>
      </rPr>
      <t>(54-2150MHZ)</t>
    </r>
  </si>
  <si>
    <r>
      <rPr>
        <sz val="11"/>
        <rFont val="Noto Sans CJK SC"/>
        <family val="2"/>
      </rPr>
      <t>양방향</t>
    </r>
    <r>
      <rPr>
        <sz val="11"/>
        <rFont val="맑은 고딕"/>
        <family val="3"/>
        <charset val="129"/>
      </rPr>
      <t>8</t>
    </r>
    <r>
      <rPr>
        <sz val="11"/>
        <rFont val="Noto Sans CJK SC"/>
        <family val="2"/>
      </rPr>
      <t>분배기</t>
    </r>
    <r>
      <rPr>
        <sz val="11"/>
        <rFont val="맑은 고딕"/>
        <family val="3"/>
        <charset val="129"/>
      </rPr>
      <t>(54-2151MHZ)</t>
    </r>
  </si>
  <si>
    <r>
      <rPr>
        <sz val="11"/>
        <rFont val="맑은 고딕"/>
        <family val="3"/>
        <charset val="129"/>
      </rPr>
      <t>TV</t>
    </r>
    <r>
      <rPr>
        <sz val="11"/>
        <rFont val="Noto Sans CJK SC"/>
        <family val="2"/>
      </rPr>
      <t>장치함</t>
    </r>
    <r>
      <rPr>
        <sz val="11"/>
        <rFont val="맑은 고딕"/>
        <family val="3"/>
        <charset val="129"/>
      </rPr>
      <t>(TV-M)</t>
    </r>
  </si>
  <si>
    <t xml:space="preserve"> 600x700x130</t>
  </si>
  <si>
    <r>
      <rPr>
        <sz val="11"/>
        <rFont val="맑은 고딕"/>
        <family val="3"/>
        <charset val="129"/>
      </rPr>
      <t>TV</t>
    </r>
    <r>
      <rPr>
        <sz val="11"/>
        <rFont val="Noto Sans CJK SC"/>
        <family val="2"/>
      </rPr>
      <t>장치함</t>
    </r>
    <r>
      <rPr>
        <sz val="11"/>
        <rFont val="맑은 고딕"/>
        <family val="3"/>
        <charset val="129"/>
      </rPr>
      <t>(TV-2)</t>
    </r>
  </si>
  <si>
    <r>
      <rPr>
        <sz val="11"/>
        <rFont val="맑은 고딕"/>
        <family val="3"/>
        <charset val="129"/>
      </rPr>
      <t>TV</t>
    </r>
    <r>
      <rPr>
        <sz val="11"/>
        <rFont val="Noto Sans CJK SC"/>
        <family val="2"/>
      </rPr>
      <t>장치함</t>
    </r>
    <r>
      <rPr>
        <sz val="11"/>
        <rFont val="맑은 고딕"/>
        <family val="3"/>
        <charset val="129"/>
      </rPr>
      <t>(TV-3)</t>
    </r>
  </si>
  <si>
    <r>
      <rPr>
        <sz val="11"/>
        <rFont val="맑은 고딕"/>
        <family val="3"/>
        <charset val="129"/>
      </rPr>
      <t>TV</t>
    </r>
    <r>
      <rPr>
        <sz val="11"/>
        <rFont val="Noto Sans CJK SC"/>
        <family val="2"/>
      </rPr>
      <t>장치함</t>
    </r>
    <r>
      <rPr>
        <sz val="11"/>
        <rFont val="맑은 고딕"/>
        <family val="3"/>
        <charset val="129"/>
      </rPr>
      <t>(TV-4)</t>
    </r>
  </si>
  <si>
    <t>세대통합단자함</t>
  </si>
  <si>
    <t xml:space="preserve"> 300x400x130</t>
  </si>
  <si>
    <r>
      <rPr>
        <sz val="11"/>
        <rFont val="Noto Sans CJK SC"/>
        <family val="2"/>
      </rPr>
      <t>핸드홀</t>
    </r>
    <r>
      <rPr>
        <sz val="11"/>
        <rFont val="맑은 고딕"/>
        <family val="3"/>
        <charset val="129"/>
      </rPr>
      <t>(</t>
    </r>
    <r>
      <rPr>
        <sz val="11"/>
        <rFont val="Noto Sans CJK SC"/>
        <family val="2"/>
      </rPr>
      <t>수공</t>
    </r>
    <r>
      <rPr>
        <sz val="11"/>
        <rFont val="맑은 고딕"/>
        <family val="3"/>
        <charset val="129"/>
      </rPr>
      <t>1</t>
    </r>
    <r>
      <rPr>
        <sz val="11"/>
        <rFont val="Noto Sans CJK SC"/>
        <family val="2"/>
      </rPr>
      <t>호</t>
    </r>
    <r>
      <rPr>
        <sz val="11"/>
        <rFont val="맑은 고딕"/>
        <family val="3"/>
        <charset val="129"/>
      </rPr>
      <t>)</t>
    </r>
  </si>
  <si>
    <t>950 x 450 x 700</t>
  </si>
  <si>
    <t>접지봉</t>
  </si>
  <si>
    <t>1M</t>
  </si>
  <si>
    <t>통신내선공</t>
  </si>
  <si>
    <t>통신케이블공</t>
  </si>
  <si>
    <r>
      <rPr>
        <sz val="11"/>
        <rFont val="맑은 고딕"/>
        <family val="3"/>
        <charset val="129"/>
      </rPr>
      <t>3-2.</t>
    </r>
    <r>
      <rPr>
        <sz val="11"/>
        <rFont val="Noto Sans CJK SC"/>
        <family val="2"/>
      </rPr>
      <t>통신공사</t>
    </r>
    <r>
      <rPr>
        <sz val="11"/>
        <rFont val="맑은 고딕"/>
        <family val="3"/>
        <charset val="129"/>
      </rPr>
      <t>::2-2</t>
    </r>
    <r>
      <rPr>
        <sz val="11"/>
        <rFont val="Noto Sans CJK SC"/>
        <family val="2"/>
      </rPr>
      <t>정보통신설비공사</t>
    </r>
  </si>
  <si>
    <r>
      <rPr>
        <sz val="11"/>
        <rFont val="맑은 고딕"/>
        <family val="3"/>
        <charset val="129"/>
      </rPr>
      <t xml:space="preserve">1 </t>
    </r>
    <r>
      <rPr>
        <sz val="11"/>
        <rFont val="Noto Sans CJK SC"/>
        <family val="2"/>
      </rPr>
      <t xml:space="preserve">개용 </t>
    </r>
    <r>
      <rPr>
        <sz val="11"/>
        <rFont val="맑은 고딕"/>
        <family val="3"/>
        <charset val="129"/>
      </rPr>
      <t>54 mm(</t>
    </r>
    <r>
      <rPr>
        <sz val="11"/>
        <rFont val="Noto Sans CJK SC"/>
        <family val="2"/>
      </rPr>
      <t>일반용</t>
    </r>
    <r>
      <rPr>
        <sz val="11"/>
        <rFont val="맑은 고딕"/>
        <family val="3"/>
        <charset val="129"/>
      </rPr>
      <t>)</t>
    </r>
  </si>
  <si>
    <r>
      <rPr>
        <sz val="11"/>
        <rFont val="Noto Sans CJK SC"/>
        <family val="2"/>
      </rPr>
      <t>삼중차폐</t>
    </r>
    <r>
      <rPr>
        <sz val="11"/>
        <rFont val="맑은 고딕"/>
        <family val="3"/>
        <charset val="129"/>
      </rPr>
      <t>, 5C-HFBT</t>
    </r>
  </si>
  <si>
    <t>Cat.6 0.5mm 4P</t>
  </si>
  <si>
    <t>TV UNIT</t>
  </si>
  <si>
    <r>
      <rPr>
        <sz val="11"/>
        <rFont val="Noto Sans CJK SC"/>
        <family val="2"/>
      </rPr>
      <t>쌍방향</t>
    </r>
    <r>
      <rPr>
        <sz val="11"/>
        <rFont val="맑은 고딕"/>
        <family val="3"/>
        <charset val="129"/>
      </rPr>
      <t xml:space="preserve">, </t>
    </r>
    <r>
      <rPr>
        <sz val="11"/>
        <rFont val="Noto Sans CJK SC"/>
        <family val="2"/>
      </rPr>
      <t>단말</t>
    </r>
  </si>
  <si>
    <t>모듈러잭</t>
  </si>
  <si>
    <r>
      <rPr>
        <sz val="11"/>
        <rFont val="맑은 고딕"/>
        <family val="3"/>
        <charset val="129"/>
      </rPr>
      <t>8PIN 2</t>
    </r>
    <r>
      <rPr>
        <sz val="11"/>
        <rFont val="Noto Sans CJK SC"/>
        <family val="2"/>
      </rPr>
      <t>구</t>
    </r>
  </si>
  <si>
    <t>광수구</t>
  </si>
  <si>
    <r>
      <rPr>
        <sz val="11"/>
        <rFont val="맑은 고딕"/>
        <family val="3"/>
        <charset val="129"/>
      </rPr>
      <t>3-3.</t>
    </r>
    <r>
      <rPr>
        <sz val="11"/>
        <rFont val="Noto Sans CJK SC"/>
        <family val="2"/>
      </rPr>
      <t>소방공사</t>
    </r>
    <r>
      <rPr>
        <sz val="11"/>
        <rFont val="맑은 고딕"/>
        <family val="3"/>
        <charset val="129"/>
      </rPr>
      <t>::3-1</t>
    </r>
    <r>
      <rPr>
        <sz val="11"/>
        <rFont val="Noto Sans CJK SC"/>
        <family val="2"/>
      </rPr>
      <t>자동화재탐지설비공사</t>
    </r>
  </si>
  <si>
    <r>
      <rPr>
        <sz val="11"/>
        <rFont val="맑은 고딕"/>
        <family val="3"/>
        <charset val="129"/>
      </rPr>
      <t>HFIX 1.38mm(1.5</t>
    </r>
    <r>
      <rPr>
        <sz val="11"/>
        <rFont val="Noto Sans CJK SC"/>
        <family val="2"/>
      </rPr>
      <t>㎟</t>
    </r>
    <r>
      <rPr>
        <sz val="11"/>
        <rFont val="맑은 고딕"/>
        <family val="3"/>
        <charset val="129"/>
      </rPr>
      <t>)</t>
    </r>
  </si>
  <si>
    <t>감지기</t>
  </si>
  <si>
    <t>차동식</t>
  </si>
  <si>
    <t>연기식</t>
  </si>
  <si>
    <t>정온식</t>
  </si>
  <si>
    <t>가스누설경보기</t>
  </si>
  <si>
    <t>LNG</t>
  </si>
  <si>
    <t>수동발신기함</t>
  </si>
  <si>
    <t>시각경보기</t>
  </si>
  <si>
    <t>발신기</t>
  </si>
  <si>
    <r>
      <rPr>
        <sz val="11"/>
        <rFont val="맑은 고딕"/>
        <family val="3"/>
        <charset val="129"/>
      </rPr>
      <t>P</t>
    </r>
    <r>
      <rPr>
        <sz val="11"/>
        <rFont val="Noto Sans CJK SC"/>
        <family val="2"/>
      </rPr>
      <t>형</t>
    </r>
    <r>
      <rPr>
        <sz val="11"/>
        <rFont val="맑은 고딕"/>
        <family val="3"/>
        <charset val="129"/>
      </rPr>
      <t>1</t>
    </r>
    <r>
      <rPr>
        <sz val="11"/>
        <rFont val="Noto Sans CJK SC"/>
        <family val="2"/>
      </rPr>
      <t>급</t>
    </r>
  </si>
  <si>
    <t>표시등</t>
  </si>
  <si>
    <t>DC24V</t>
  </si>
  <si>
    <t>경종</t>
  </si>
  <si>
    <t>시각경보기전원반</t>
  </si>
  <si>
    <t>화재수신기</t>
  </si>
  <si>
    <r>
      <rPr>
        <sz val="11"/>
        <rFont val="맑은 고딕"/>
        <family val="3"/>
        <charset val="129"/>
      </rPr>
      <t>P</t>
    </r>
    <r>
      <rPr>
        <sz val="11"/>
        <rFont val="Noto Sans CJK SC"/>
        <family val="2"/>
      </rPr>
      <t xml:space="preserve">형 복합형 </t>
    </r>
    <r>
      <rPr>
        <sz val="11"/>
        <rFont val="맑은 고딕"/>
        <family val="3"/>
        <charset val="129"/>
      </rPr>
      <t>35</t>
    </r>
    <r>
      <rPr>
        <sz val="11"/>
        <rFont val="Noto Sans CJK SC"/>
        <family val="2"/>
      </rPr>
      <t>회로</t>
    </r>
  </si>
  <si>
    <r>
      <rPr>
        <sz val="11"/>
        <rFont val="맑은 고딕"/>
        <family val="3"/>
        <charset val="129"/>
      </rPr>
      <t xml:space="preserve">[ </t>
    </r>
    <r>
      <rPr>
        <sz val="11"/>
        <rFont val="Noto Sans CJK SC"/>
        <family val="2"/>
      </rPr>
      <t xml:space="preserve">배관 부속재 </t>
    </r>
    <r>
      <rPr>
        <sz val="11"/>
        <rFont val="맑은 고딕"/>
        <family val="3"/>
        <charset val="129"/>
      </rPr>
      <t>]</t>
    </r>
  </si>
  <si>
    <r>
      <rPr>
        <sz val="11"/>
        <rFont val="Noto Sans CJK SC"/>
        <family val="2"/>
      </rPr>
      <t xml:space="preserve">전선관의 </t>
    </r>
    <r>
      <rPr>
        <sz val="11"/>
        <rFont val="맑은 고딕"/>
        <family val="3"/>
        <charset val="129"/>
      </rPr>
      <t>15 %</t>
    </r>
  </si>
  <si>
    <r>
      <rPr>
        <sz val="11"/>
        <rFont val="맑은 고딕"/>
        <family val="3"/>
        <charset val="129"/>
      </rPr>
      <t>3-3.</t>
    </r>
    <r>
      <rPr>
        <sz val="11"/>
        <rFont val="Noto Sans CJK SC"/>
        <family val="2"/>
      </rPr>
      <t>소방공사</t>
    </r>
    <r>
      <rPr>
        <sz val="11"/>
        <rFont val="맑은 고딕"/>
        <family val="3"/>
        <charset val="129"/>
      </rPr>
      <t>::3-2</t>
    </r>
    <r>
      <rPr>
        <sz val="11"/>
        <rFont val="Noto Sans CJK SC"/>
        <family val="2"/>
      </rPr>
      <t>유도등설비공사</t>
    </r>
  </si>
  <si>
    <r>
      <rPr>
        <sz val="11"/>
        <rFont val="맑은 고딕"/>
        <family val="3"/>
        <charset val="129"/>
      </rPr>
      <t>CD-</t>
    </r>
    <r>
      <rPr>
        <sz val="11"/>
        <rFont val="Noto Sans CJK SC"/>
        <family val="2"/>
      </rPr>
      <t xml:space="preserve">난연성 </t>
    </r>
    <r>
      <rPr>
        <sz val="11"/>
        <rFont val="맑은 고딕"/>
        <family val="3"/>
        <charset val="129"/>
      </rPr>
      <t>16</t>
    </r>
    <r>
      <rPr>
        <sz val="11"/>
        <rFont val="Noto Sans CJK SC"/>
        <family val="2"/>
      </rPr>
      <t>㎜</t>
    </r>
  </si>
  <si>
    <t>비상조명등</t>
  </si>
  <si>
    <r>
      <rPr>
        <sz val="11"/>
        <rFont val="Noto Sans CJK SC"/>
        <family val="2"/>
      </rPr>
      <t>피난구유도등</t>
    </r>
    <r>
      <rPr>
        <sz val="11"/>
        <rFont val="맑은 고딕"/>
        <family val="3"/>
        <charset val="129"/>
      </rPr>
      <t>(LED)</t>
    </r>
  </si>
  <si>
    <r>
      <rPr>
        <sz val="11"/>
        <rFont val="Noto Sans CJK SC"/>
        <family val="2"/>
      </rPr>
      <t>소형벽부</t>
    </r>
    <r>
      <rPr>
        <sz val="11"/>
        <rFont val="맑은 고딕"/>
        <family val="3"/>
        <charset val="129"/>
      </rPr>
      <t>-60</t>
    </r>
    <r>
      <rPr>
        <sz val="11"/>
        <rFont val="Noto Sans CJK SC"/>
        <family val="2"/>
      </rPr>
      <t>분용</t>
    </r>
  </si>
  <si>
    <r>
      <rPr>
        <sz val="11"/>
        <rFont val="맑은 고딕"/>
        <family val="3"/>
        <charset val="129"/>
      </rPr>
      <t>(</t>
    </r>
    <r>
      <rPr>
        <sz val="11"/>
        <rFont val="Noto Sans CJK SC"/>
        <family val="2"/>
      </rPr>
      <t>수직형</t>
    </r>
    <r>
      <rPr>
        <sz val="11"/>
        <rFont val="맑은 고딕"/>
        <family val="3"/>
        <charset val="129"/>
      </rPr>
      <t>)</t>
    </r>
    <r>
      <rPr>
        <sz val="11"/>
        <rFont val="Noto Sans CJK SC"/>
        <family val="2"/>
      </rPr>
      <t>양방향</t>
    </r>
    <r>
      <rPr>
        <sz val="11"/>
        <rFont val="맑은 고딕"/>
        <family val="3"/>
        <charset val="129"/>
      </rPr>
      <t>-60</t>
    </r>
    <r>
      <rPr>
        <sz val="11"/>
        <rFont val="Noto Sans CJK SC"/>
        <family val="2"/>
      </rPr>
      <t>분용</t>
    </r>
  </si>
  <si>
    <r>
      <rPr>
        <sz val="11"/>
        <rFont val="Noto Sans CJK SC"/>
        <family val="2"/>
      </rPr>
      <t>중형벽부</t>
    </r>
    <r>
      <rPr>
        <sz val="11"/>
        <rFont val="맑은 고딕"/>
        <family val="3"/>
        <charset val="129"/>
      </rPr>
      <t>-60</t>
    </r>
    <r>
      <rPr>
        <sz val="11"/>
        <rFont val="Noto Sans CJK SC"/>
        <family val="2"/>
      </rPr>
      <t>분용</t>
    </r>
  </si>
  <si>
    <t>계단유도등</t>
  </si>
  <si>
    <r>
      <rPr>
        <sz val="11"/>
        <rFont val="Noto Sans CJK SC"/>
        <family val="2"/>
      </rPr>
      <t>벽부</t>
    </r>
    <r>
      <rPr>
        <sz val="11"/>
        <rFont val="맑은 고딕"/>
        <family val="3"/>
        <charset val="129"/>
      </rPr>
      <t>60</t>
    </r>
    <r>
      <rPr>
        <sz val="11"/>
        <rFont val="Noto Sans CJK SC"/>
        <family val="2"/>
      </rPr>
      <t>분용</t>
    </r>
  </si>
  <si>
    <r>
      <rPr>
        <sz val="11"/>
        <rFont val="맑은 고딕"/>
        <family val="3"/>
        <charset val="129"/>
      </rPr>
      <t xml:space="preserve">CD </t>
    </r>
    <r>
      <rPr>
        <sz val="11"/>
        <rFont val="Noto Sans CJK SC"/>
        <family val="2"/>
      </rPr>
      <t xml:space="preserve">전선관의 </t>
    </r>
    <r>
      <rPr>
        <sz val="11"/>
        <rFont val="맑은 고딕"/>
        <family val="3"/>
        <charset val="129"/>
      </rPr>
      <t>40 %</t>
    </r>
  </si>
</sst>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176" formatCode="_ * #,##0_ ;_ * \-#,##0_ ;_ * \-_ ;_ @_ "/>
    <numFmt numFmtId="177" formatCode="_ \$* #,##0.00_ ;_ \$* \-#,##0.00_ ;_ \$* \-??_ ;_ @_ "/>
    <numFmt numFmtId="178" formatCode="_(* #,##0_);_(* \(#,##0\);_(* \-_);_(@_)"/>
    <numFmt numFmtId="179" formatCode="_ \₩* #,##0.00_ ;_ \₩* &quot;₩₩-&quot;#,##0.00_ ;_ \₩* \-??_ ;_ @_ "/>
    <numFmt numFmtId="180" formatCode="\₩#,##0;[Red]&quot;₩₩₩₩₩₩₩₩-&quot;#,##0"/>
    <numFmt numFmtId="181" formatCode="_(\$* #,##0_);_(\$* &quot;₩(&quot;#,##0&quot;₩)&quot;;_(\$* \-_);_(@_)"/>
    <numFmt numFmtId="182" formatCode="\₩#,##0.00;&quot;₩₩₩-&quot;#,##0.00"/>
    <numFmt numFmtId="183" formatCode="_ * #,##0.00_ ;_ * \-#,##0.00_ ;_ * \-??_ ;_ @_ "/>
    <numFmt numFmtId="184" formatCode="#."/>
    <numFmt numFmtId="185" formatCode="#,##0.0;[Red]#,##0.0"/>
    <numFmt numFmtId="186" formatCode="0.00000000%"/>
    <numFmt numFmtId="187" formatCode="_-* #,##0_-;\-* #,##0_-;_-* \-??_-;_-@_-"/>
    <numFmt numFmtId="188" formatCode="#,##0_ "/>
    <numFmt numFmtId="189" formatCode="0_ "/>
    <numFmt numFmtId="190" formatCode="0_);[Red]\(0\)"/>
    <numFmt numFmtId="191" formatCode="_-* #,##0.0_-;\-* #,##0.0_-;_-* \-_-;_-@_-"/>
    <numFmt numFmtId="192" formatCode="#,##0_ ;[Red]\-#,##0\ "/>
    <numFmt numFmtId="193" formatCode="_-* #,##0_-;\-* #,##0_-;_-* \-_-;_-@_-"/>
    <numFmt numFmtId="194" formatCode="_-* #,##0.00_-;\-* #,##0.00_-;_-* \-??_-;_-@_-"/>
    <numFmt numFmtId="195" formatCode="_-* #,##0.00_-;\-* #,##0.00_-;_-* \-_-;_-@_-"/>
    <numFmt numFmtId="196" formatCode="#,###;\-#,###"/>
  </numFmts>
  <fonts count="66">
    <font>
      <sz val="11"/>
      <name val="돋움"/>
      <family val="3"/>
      <charset val="129"/>
    </font>
    <font>
      <sz val="12"/>
      <name val="바탕체"/>
      <family val="1"/>
      <charset val="129"/>
    </font>
    <font>
      <sz val="12"/>
      <name val="돋움체"/>
      <family val="3"/>
      <charset val="129"/>
    </font>
    <font>
      <sz val="11"/>
      <color theme="1"/>
      <name val="맑은 고딕"/>
      <family val="3"/>
      <charset val="129"/>
    </font>
    <font>
      <sz val="10"/>
      <name val="Arial"/>
      <family val="2"/>
      <charset val="1"/>
    </font>
    <font>
      <sz val="11"/>
      <color rgb="FF000000"/>
      <name val="맑은 고딕"/>
      <family val="3"/>
      <charset val="129"/>
    </font>
    <font>
      <sz val="10"/>
      <name val="굴림체"/>
      <family val="3"/>
      <charset val="129"/>
    </font>
    <font>
      <sz val="11"/>
      <name val="돋움체"/>
      <family val="3"/>
      <charset val="129"/>
    </font>
    <font>
      <sz val="10"/>
      <name val="바탕체"/>
      <family val="1"/>
      <charset val="129"/>
    </font>
    <font>
      <sz val="10"/>
      <name val="Times New Roman"/>
      <family val="1"/>
      <charset val="1"/>
    </font>
    <font>
      <sz val="1"/>
      <color rgb="FF800000"/>
      <name val="Courier New"/>
      <family val="3"/>
      <charset val="1"/>
    </font>
    <font>
      <sz val="11"/>
      <color rgb="FF993300"/>
      <name val="맑은 고딕"/>
      <family val="3"/>
      <charset val="129"/>
    </font>
    <font>
      <sz val="11"/>
      <name val="굴림체"/>
      <family val="3"/>
      <charset val="129"/>
    </font>
    <font>
      <sz val="11"/>
      <color rgb="FF000000"/>
      <name val="돋움"/>
      <family val="3"/>
      <charset val="129"/>
    </font>
    <font>
      <sz val="8"/>
      <name val="돋움"/>
      <family val="3"/>
      <charset val="129"/>
    </font>
    <font>
      <sz val="11"/>
      <color rgb="FF000000"/>
      <name val="굴림"/>
      <family val="3"/>
      <charset val="129"/>
    </font>
    <font>
      <b/>
      <sz val="11"/>
      <color rgb="FF000000"/>
      <name val="맑은 고딕"/>
      <family val="3"/>
      <charset val="129"/>
    </font>
    <font>
      <sz val="11"/>
      <color theme="1"/>
      <name val="양재튼튼체B"/>
      <family val="1"/>
      <charset val="129"/>
    </font>
    <font>
      <sz val="11"/>
      <color theme="1"/>
      <name val="Noto Sans CJK SC"/>
      <family val="2"/>
    </font>
    <font>
      <sz val="11"/>
      <color theme="1"/>
      <name val="맑은 고딕"/>
      <family val="1"/>
      <charset val="129"/>
    </font>
    <font>
      <sz val="11"/>
      <name val="Noto Sans CJK SC"/>
      <family val="2"/>
    </font>
    <font>
      <sz val="11"/>
      <name val="양재튼튼체B"/>
      <family val="1"/>
      <charset val="129"/>
    </font>
    <font>
      <u/>
      <sz val="11"/>
      <color theme="10"/>
      <name val="돋움"/>
      <family val="3"/>
      <charset val="129"/>
    </font>
    <font>
      <b/>
      <sz val="11"/>
      <color rgb="FFFF0000"/>
      <name val="양재튼튼체B"/>
      <family val="1"/>
      <charset val="129"/>
    </font>
    <font>
      <b/>
      <sz val="11"/>
      <color theme="1"/>
      <name val="Noto Sans CJK SC"/>
      <family val="2"/>
    </font>
    <font>
      <b/>
      <sz val="11"/>
      <color theme="1"/>
      <name val="양재튼튼체B"/>
      <family val="1"/>
      <charset val="129"/>
    </font>
    <font>
      <sz val="11"/>
      <color theme="1"/>
      <name val="HY견고딕"/>
      <family val="1"/>
      <charset val="129"/>
    </font>
    <font>
      <b/>
      <u/>
      <sz val="16"/>
      <color theme="1"/>
      <name val="Noto Sans CJK SC"/>
      <family val="2"/>
    </font>
    <font>
      <b/>
      <sz val="13"/>
      <color theme="1"/>
      <name val="맑은 고딕"/>
      <family val="3"/>
      <charset val="129"/>
    </font>
    <font>
      <b/>
      <sz val="13"/>
      <color theme="1"/>
      <name val="Noto Sans CJK SC"/>
      <family val="2"/>
    </font>
    <font>
      <b/>
      <sz val="11"/>
      <color rgb="FF0000FF"/>
      <name val="HY견고딕"/>
      <family val="1"/>
      <charset val="129"/>
    </font>
    <font>
      <sz val="14"/>
      <color theme="1"/>
      <name val="맑은 고딕"/>
      <family val="3"/>
      <charset val="129"/>
    </font>
    <font>
      <sz val="14"/>
      <color theme="1"/>
      <name val="Noto Sans CJK SC"/>
      <family val="2"/>
    </font>
    <font>
      <b/>
      <sz val="14"/>
      <color theme="1"/>
      <name val="맑은 고딕"/>
      <family val="3"/>
      <charset val="129"/>
    </font>
    <font>
      <b/>
      <sz val="14"/>
      <color rgb="FFFF0000"/>
      <name val="HY견고딕"/>
      <family val="1"/>
      <charset val="129"/>
    </font>
    <font>
      <sz val="14"/>
      <color theme="1"/>
      <name val="HY견고딕"/>
      <family val="1"/>
      <charset val="129"/>
    </font>
    <font>
      <sz val="13"/>
      <color theme="1"/>
      <name val="맑은 고딕"/>
      <family val="3"/>
      <charset val="129"/>
    </font>
    <font>
      <b/>
      <sz val="12"/>
      <color theme="1"/>
      <name val="Noto Sans CJK SC"/>
      <family val="2"/>
    </font>
    <font>
      <b/>
      <sz val="11"/>
      <color theme="1"/>
      <name val="맑은 고딕"/>
      <family val="3"/>
      <charset val="129"/>
    </font>
    <font>
      <b/>
      <sz val="12"/>
      <color theme="1"/>
      <name val="맑은 고딕"/>
      <family val="3"/>
      <charset val="129"/>
    </font>
    <font>
      <sz val="11"/>
      <name val="맑은 고딕"/>
      <family val="3"/>
      <charset val="129"/>
    </font>
    <font>
      <b/>
      <sz val="11"/>
      <name val="맑은 고딕"/>
      <family val="3"/>
      <charset val="129"/>
    </font>
    <font>
      <sz val="9"/>
      <color theme="1"/>
      <name val="맑은 고딕"/>
      <family val="3"/>
      <charset val="129"/>
    </font>
    <font>
      <sz val="11"/>
      <color theme="1"/>
      <name val="맑은 고딕"/>
      <family val="3"/>
      <charset val="1"/>
    </font>
    <font>
      <sz val="10"/>
      <name val="맑은 고딕"/>
      <family val="3"/>
      <charset val="129"/>
    </font>
    <font>
      <sz val="10"/>
      <name val="Noto Sans CJK SC"/>
      <family val="2"/>
    </font>
    <font>
      <sz val="10"/>
      <color theme="1"/>
      <name val="Noto Sans CJK SC"/>
      <family val="2"/>
    </font>
    <font>
      <b/>
      <u/>
      <sz val="20"/>
      <color rgb="FF000000"/>
      <name val="Noto Sans CJK SC"/>
      <family val="2"/>
    </font>
    <font>
      <b/>
      <sz val="14"/>
      <color rgb="FF000000"/>
      <name val="맑은 고딕"/>
      <family val="3"/>
      <charset val="129"/>
    </font>
    <font>
      <b/>
      <u/>
      <sz val="8"/>
      <color rgb="FF000000"/>
      <name val="맑은 고딕"/>
      <family val="3"/>
      <charset val="129"/>
    </font>
    <font>
      <b/>
      <sz val="12"/>
      <color rgb="FF000000"/>
      <name val="Noto Sans CJK SC"/>
      <family val="2"/>
    </font>
    <font>
      <b/>
      <sz val="12"/>
      <color rgb="FF000000"/>
      <name val="맑은 고딕"/>
      <family val="3"/>
      <charset val="129"/>
    </font>
    <font>
      <sz val="12"/>
      <color rgb="FF000000"/>
      <name val="맑은 고딕"/>
      <family val="3"/>
      <charset val="129"/>
    </font>
    <font>
      <b/>
      <u/>
      <sz val="20"/>
      <name val="Noto Sans CJK SC"/>
      <family val="2"/>
    </font>
    <font>
      <b/>
      <sz val="14"/>
      <name val="맑은 고딕"/>
      <family val="3"/>
      <charset val="129"/>
    </font>
    <font>
      <b/>
      <sz val="14"/>
      <name val="Noto Sans CJK SC"/>
      <family val="2"/>
    </font>
    <font>
      <b/>
      <u/>
      <sz val="8"/>
      <name val="맑은 고딕"/>
      <family val="3"/>
      <charset val="129"/>
    </font>
    <font>
      <b/>
      <sz val="12"/>
      <name val="Noto Sans CJK SC"/>
      <family val="2"/>
    </font>
    <font>
      <b/>
      <sz val="12"/>
      <name val="맑은 고딕"/>
      <family val="3"/>
      <charset val="129"/>
    </font>
    <font>
      <sz val="12"/>
      <name val="맑은 고딕"/>
      <family val="3"/>
      <charset val="129"/>
    </font>
    <font>
      <sz val="12"/>
      <name val="Noto Sans CJK SC"/>
      <family val="2"/>
    </font>
    <font>
      <sz val="12"/>
      <color rgb="FF000000"/>
      <name val="Noto Sans CJK SC"/>
      <family val="2"/>
    </font>
    <font>
      <sz val="12"/>
      <color theme="1"/>
      <name val="맑은 고딕"/>
      <family val="3"/>
      <charset val="129"/>
    </font>
    <font>
      <sz val="12"/>
      <color theme="1"/>
      <name val="Noto Sans CJK SC"/>
      <family val="2"/>
    </font>
    <font>
      <sz val="11"/>
      <color theme="1"/>
      <name val="Arial Narrow"/>
      <family val="2"/>
      <charset val="1"/>
    </font>
    <font>
      <sz val="11"/>
      <name val="돋움"/>
      <family val="3"/>
      <charset val="129"/>
    </font>
  </fonts>
  <fills count="14">
    <fill>
      <patternFill patternType="none"/>
    </fill>
    <fill>
      <patternFill patternType="gray125"/>
    </fill>
    <fill>
      <patternFill patternType="solid">
        <fgColor rgb="FFFFFF99"/>
        <bgColor rgb="FFFFFFCC"/>
      </patternFill>
    </fill>
    <fill>
      <patternFill patternType="solid">
        <fgColor rgb="FFCCFF99"/>
        <bgColor rgb="FFCCFFCC"/>
      </patternFill>
    </fill>
    <fill>
      <patternFill patternType="solid">
        <fgColor theme="0"/>
        <bgColor rgb="FFF0F0F0"/>
      </patternFill>
    </fill>
    <fill>
      <patternFill patternType="solid">
        <fgColor theme="3" tint="0.79989013336588644"/>
        <bgColor rgb="FFC2D3E8"/>
      </patternFill>
    </fill>
    <fill>
      <patternFill patternType="solid">
        <fgColor rgb="FFC2D3E8"/>
        <bgColor rgb="FFC6D9F1"/>
      </patternFill>
    </fill>
    <fill>
      <patternFill patternType="solid">
        <fgColor rgb="FFCCFFCC"/>
        <bgColor rgb="FFCCFFFF"/>
      </patternFill>
    </fill>
    <fill>
      <patternFill patternType="solid">
        <fgColor theme="9" tint="0.79989013336588644"/>
        <bgColor rgb="FFF0F0F0"/>
      </patternFill>
    </fill>
    <fill>
      <patternFill patternType="solid">
        <fgColor theme="2" tint="-9.9978637043366805E-2"/>
        <bgColor rgb="FFE0E0E0"/>
      </patternFill>
    </fill>
    <fill>
      <patternFill patternType="solid">
        <fgColor theme="4" tint="0.79989013336588644"/>
        <bgColor rgb="FFE6E0EC"/>
      </patternFill>
    </fill>
    <fill>
      <patternFill patternType="solid">
        <fgColor rgb="FFFFFFCC"/>
        <bgColor rgb="FFFDEADA"/>
      </patternFill>
    </fill>
    <fill>
      <patternFill patternType="solid">
        <fgColor theme="5" tint="0.79989013336588644"/>
        <bgColor rgb="FFE6E0EC"/>
      </patternFill>
    </fill>
    <fill>
      <patternFill patternType="solid">
        <fgColor theme="7" tint="0.79989013336588644"/>
        <bgColor rgb="FFE0E0E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35628">
    <xf numFmtId="0" fontId="0" fillId="0" borderId="0"/>
    <xf numFmtId="0" fontId="22" fillId="0" borderId="0"/>
    <xf numFmtId="0" fontId="1" fillId="0" borderId="0"/>
    <xf numFmtId="176" fontId="2" fillId="0" borderId="0"/>
    <xf numFmtId="0" fontId="3" fillId="0" borderId="0">
      <alignment vertical="center"/>
    </xf>
    <xf numFmtId="176" fontId="2" fillId="0" borderId="0"/>
    <xf numFmtId="0" fontId="3" fillId="0" borderId="0">
      <alignment vertical="center"/>
    </xf>
    <xf numFmtId="177" fontId="65" fillId="0" borderId="0"/>
    <xf numFmtId="0" fontId="65" fillId="0" borderId="0"/>
    <xf numFmtId="0" fontId="3" fillId="0" borderId="0">
      <alignment vertical="center"/>
    </xf>
    <xf numFmtId="0" fontId="65" fillId="0" borderId="0"/>
    <xf numFmtId="0" fontId="3" fillId="0" borderId="0">
      <alignment vertical="center"/>
    </xf>
    <xf numFmtId="0" fontId="3" fillId="0" borderId="0">
      <alignment vertical="center"/>
    </xf>
    <xf numFmtId="0" fontId="4" fillId="0" borderId="0"/>
    <xf numFmtId="0" fontId="5" fillId="0" borderId="0">
      <alignment vertical="center"/>
    </xf>
    <xf numFmtId="0" fontId="1" fillId="0" borderId="0"/>
    <xf numFmtId="176" fontId="2" fillId="0" borderId="0"/>
    <xf numFmtId="0" fontId="5" fillId="0" borderId="0">
      <alignment vertical="center"/>
    </xf>
    <xf numFmtId="178" fontId="6" fillId="0" borderId="0"/>
    <xf numFmtId="0" fontId="5" fillId="0" borderId="0">
      <alignment vertical="center"/>
    </xf>
    <xf numFmtId="0" fontId="1" fillId="0" borderId="0"/>
    <xf numFmtId="0" fontId="3" fillId="0" borderId="0">
      <alignment vertical="center"/>
    </xf>
    <xf numFmtId="0" fontId="1" fillId="0" borderId="0"/>
    <xf numFmtId="0" fontId="5" fillId="0" borderId="0">
      <alignment vertical="center"/>
    </xf>
    <xf numFmtId="0" fontId="4" fillId="0" borderId="0"/>
    <xf numFmtId="0" fontId="5" fillId="0" borderId="0">
      <alignment vertical="center"/>
    </xf>
    <xf numFmtId="0" fontId="4" fillId="0" borderId="0"/>
    <xf numFmtId="0" fontId="5" fillId="0" borderId="0">
      <alignment vertical="center"/>
    </xf>
    <xf numFmtId="179" fontId="7" fillId="0" borderId="0"/>
    <xf numFmtId="0" fontId="3" fillId="0" borderId="0">
      <alignment vertical="center"/>
    </xf>
    <xf numFmtId="180" fontId="4" fillId="0" borderId="0"/>
    <xf numFmtId="181" fontId="65" fillId="0" borderId="0"/>
    <xf numFmtId="0" fontId="4" fillId="0" borderId="0"/>
    <xf numFmtId="0" fontId="4" fillId="0" borderId="0"/>
    <xf numFmtId="0" fontId="5" fillId="0" borderId="0">
      <alignment vertical="center"/>
    </xf>
    <xf numFmtId="0" fontId="1" fillId="0" borderId="0">
      <protection locked="0"/>
    </xf>
    <xf numFmtId="0" fontId="8" fillId="0" borderId="0"/>
    <xf numFmtId="0" fontId="8" fillId="0" borderId="0"/>
    <xf numFmtId="0" fontId="4" fillId="0" borderId="0"/>
    <xf numFmtId="182" fontId="2" fillId="0" borderId="0"/>
    <xf numFmtId="182" fontId="2" fillId="0" borderId="0"/>
    <xf numFmtId="182" fontId="2" fillId="0" borderId="0"/>
    <xf numFmtId="182" fontId="2" fillId="0" borderId="0"/>
    <xf numFmtId="182" fontId="2" fillId="0" borderId="0"/>
    <xf numFmtId="183" fontId="9" fillId="0" borderId="0"/>
    <xf numFmtId="183" fontId="9" fillId="0" borderId="0"/>
    <xf numFmtId="183" fontId="9" fillId="0" borderId="0"/>
    <xf numFmtId="183" fontId="9" fillId="0" borderId="0"/>
    <xf numFmtId="182" fontId="2" fillId="0" borderId="0"/>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0" fontId="10" fillId="0" borderId="0">
      <protection locked="0"/>
    </xf>
    <xf numFmtId="182" fontId="2" fillId="0" borderId="0"/>
    <xf numFmtId="182" fontId="2" fillId="0" borderId="0"/>
    <xf numFmtId="182" fontId="2" fillId="0" borderId="0"/>
    <xf numFmtId="182" fontId="2" fillId="0" borderId="0"/>
    <xf numFmtId="0" fontId="4" fillId="0" borderId="0"/>
    <xf numFmtId="0" fontId="5" fillId="0" borderId="0">
      <alignment vertical="center"/>
    </xf>
    <xf numFmtId="0" fontId="11" fillId="2" borderId="0">
      <alignment vertical="center"/>
    </xf>
    <xf numFmtId="0" fontId="5" fillId="0" borderId="0">
      <alignment vertical="center"/>
    </xf>
    <xf numFmtId="0" fontId="65" fillId="0" borderId="0">
      <protection locked="0"/>
    </xf>
    <xf numFmtId="0" fontId="65" fillId="0" borderId="0">
      <protection locked="0"/>
    </xf>
    <xf numFmtId="0" fontId="65" fillId="0" borderId="0">
      <protection locked="0"/>
    </xf>
    <xf numFmtId="0" fontId="10"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1" fillId="0" borderId="0">
      <protection locked="0"/>
    </xf>
    <xf numFmtId="0" fontId="10" fillId="0" borderId="0">
      <protection locked="0"/>
    </xf>
    <xf numFmtId="0" fontId="10" fillId="0" borderId="0">
      <protection locked="0"/>
    </xf>
    <xf numFmtId="184" fontId="10" fillId="0" borderId="0">
      <protection locked="0"/>
    </xf>
    <xf numFmtId="184" fontId="10"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0"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0" fontId="10" fillId="0" borderId="0">
      <protection locked="0"/>
    </xf>
    <xf numFmtId="0" fontId="5" fillId="0" borderId="0">
      <alignment vertical="center"/>
    </xf>
    <xf numFmtId="184" fontId="10"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5" fontId="65" fillId="0" borderId="0">
      <protection locked="0"/>
    </xf>
    <xf numFmtId="0" fontId="5" fillId="0" borderId="0">
      <alignment vertical="center"/>
    </xf>
    <xf numFmtId="184" fontId="10" fillId="0" borderId="0">
      <protection locked="0"/>
    </xf>
    <xf numFmtId="0" fontId="5" fillId="0" borderId="0">
      <alignment vertical="center"/>
    </xf>
    <xf numFmtId="0" fontId="10" fillId="0" borderId="0">
      <protection locked="0"/>
    </xf>
    <xf numFmtId="0" fontId="5" fillId="0" borderId="0">
      <alignment vertical="center"/>
    </xf>
    <xf numFmtId="0" fontId="10" fillId="0" borderId="0">
      <protection locked="0"/>
    </xf>
    <xf numFmtId="0" fontId="5" fillId="0" borderId="0">
      <alignment vertical="center"/>
    </xf>
    <xf numFmtId="0" fontId="10" fillId="0" borderId="0">
      <protection locked="0"/>
    </xf>
    <xf numFmtId="0" fontId="5" fillId="0" borderId="0">
      <alignment vertical="center"/>
    </xf>
    <xf numFmtId="0" fontId="1" fillId="0" borderId="0">
      <protection locked="0"/>
    </xf>
    <xf numFmtId="186" fontId="65" fillId="0" borderId="0">
      <protection locked="0"/>
    </xf>
    <xf numFmtId="0" fontId="5" fillId="0" borderId="0">
      <alignment vertical="center"/>
    </xf>
    <xf numFmtId="0" fontId="5" fillId="0" borderId="0">
      <alignment vertical="center"/>
    </xf>
    <xf numFmtId="0" fontId="1" fillId="0" borderId="0">
      <protection locked="0"/>
    </xf>
    <xf numFmtId="0" fontId="5" fillId="0" borderId="0">
      <alignment vertical="center"/>
    </xf>
    <xf numFmtId="0" fontId="1" fillId="0" borderId="0">
      <protection locked="0"/>
    </xf>
    <xf numFmtId="0" fontId="5" fillId="0" borderId="0">
      <alignment vertical="center"/>
    </xf>
    <xf numFmtId="0" fontId="1" fillId="0" borderId="0">
      <protection locked="0"/>
    </xf>
    <xf numFmtId="0" fontId="5" fillId="0" borderId="0">
      <alignment vertical="center"/>
    </xf>
    <xf numFmtId="0" fontId="1" fillId="0" borderId="0">
      <protection locked="0"/>
    </xf>
    <xf numFmtId="0" fontId="1" fillId="0" borderId="0">
      <protection locked="0"/>
    </xf>
    <xf numFmtId="0" fontId="5" fillId="0" borderId="0">
      <alignment vertical="center"/>
    </xf>
    <xf numFmtId="0" fontId="1" fillId="0" borderId="0">
      <protection locked="0"/>
    </xf>
    <xf numFmtId="0" fontId="1" fillId="0" borderId="0">
      <protection locked="0"/>
    </xf>
    <xf numFmtId="0" fontId="1" fillId="0" borderId="0">
      <protection locked="0"/>
    </xf>
    <xf numFmtId="0" fontId="5" fillId="0" borderId="0">
      <alignment vertical="center"/>
    </xf>
    <xf numFmtId="0" fontId="1" fillId="0" borderId="0">
      <protection locked="0"/>
    </xf>
    <xf numFmtId="0" fontId="5" fillId="0" borderId="0">
      <alignment vertical="center"/>
    </xf>
    <xf numFmtId="0" fontId="1" fillId="0" borderId="0">
      <protection locked="0"/>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186"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65" fillId="0" borderId="0">
      <protection locked="0"/>
    </xf>
    <xf numFmtId="0" fontId="5" fillId="0" borderId="0">
      <alignment vertical="center"/>
    </xf>
    <xf numFmtId="0" fontId="10" fillId="0" borderId="0">
      <protection locked="0"/>
    </xf>
    <xf numFmtId="0" fontId="5" fillId="0" borderId="0">
      <alignment vertical="center"/>
    </xf>
    <xf numFmtId="0"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10" fillId="0" borderId="0">
      <protection locked="0"/>
    </xf>
    <xf numFmtId="0" fontId="1" fillId="0" borderId="0">
      <protection locked="0"/>
    </xf>
    <xf numFmtId="0" fontId="1" fillId="0" borderId="0">
      <protection locked="0"/>
    </xf>
    <xf numFmtId="186" fontId="65" fillId="0" borderId="0">
      <protection locked="0"/>
    </xf>
    <xf numFmtId="0" fontId="10" fillId="0" borderId="0">
      <protection locked="0"/>
    </xf>
    <xf numFmtId="0" fontId="10"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4" fontId="10" fillId="0" borderId="0">
      <protection locked="0"/>
    </xf>
    <xf numFmtId="0" fontId="65" fillId="0" borderId="0">
      <protection locked="0"/>
    </xf>
    <xf numFmtId="0" fontId="1" fillId="0" borderId="0">
      <protection locked="0"/>
    </xf>
    <xf numFmtId="0" fontId="1" fillId="0" borderId="0">
      <protection locked="0"/>
    </xf>
    <xf numFmtId="0" fontId="10" fillId="0" borderId="0">
      <protection locked="0"/>
    </xf>
    <xf numFmtId="0" fontId="10"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1" fillId="0" borderId="0">
      <protection locked="0"/>
    </xf>
    <xf numFmtId="186"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185" fontId="65" fillId="0" borderId="0">
      <protection locked="0"/>
    </xf>
    <xf numFmtId="185" fontId="65" fillId="0" borderId="0">
      <protection locked="0"/>
    </xf>
    <xf numFmtId="0" fontId="65" fillId="0" borderId="0">
      <protection locked="0"/>
    </xf>
    <xf numFmtId="0" fontId="65" fillId="0" borderId="0">
      <protection locked="0"/>
    </xf>
    <xf numFmtId="0" fontId="65" fillId="0" borderId="0">
      <protection locked="0"/>
    </xf>
    <xf numFmtId="185" fontId="65" fillId="0" borderId="0">
      <protection locked="0"/>
    </xf>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cellStyleXfs>
  <cellXfs count="332">
    <xf numFmtId="0" fontId="0" fillId="0" borderId="0" xfId="0"/>
    <xf numFmtId="0" fontId="37" fillId="6" borderId="1" xfId="1538" applyFont="1" applyFill="1" applyBorder="1" applyAlignment="1">
      <alignment horizontal="center" vertical="center"/>
    </xf>
    <xf numFmtId="193" fontId="29" fillId="5" borderId="1" xfId="1538" applyNumberFormat="1" applyFont="1" applyFill="1" applyBorder="1" applyAlignment="1">
      <alignment horizontal="center" vertical="center"/>
    </xf>
    <xf numFmtId="0" fontId="20" fillId="0" borderId="1" xfId="1538" applyFont="1" applyBorder="1" applyAlignment="1">
      <alignment horizontal="distributed" vertical="center" indent="1"/>
    </xf>
    <xf numFmtId="0" fontId="18" fillId="3" borderId="1" xfId="1538" applyFont="1" applyFill="1" applyBorder="1" applyAlignment="1">
      <alignment horizontal="center" vertical="center"/>
    </xf>
    <xf numFmtId="0" fontId="17" fillId="0" borderId="0" xfId="1538" applyFont="1" applyAlignment="1">
      <alignment vertical="center"/>
    </xf>
    <xf numFmtId="10" fontId="17" fillId="0" borderId="0" xfId="1538" applyNumberFormat="1" applyFont="1" applyAlignment="1">
      <alignment vertical="center"/>
    </xf>
    <xf numFmtId="193" fontId="18" fillId="0" borderId="0" xfId="1538" applyNumberFormat="1" applyFont="1" applyAlignment="1">
      <alignment vertical="center"/>
    </xf>
    <xf numFmtId="10" fontId="18" fillId="0" borderId="0" xfId="1538" applyNumberFormat="1" applyFont="1" applyAlignment="1">
      <alignment horizontal="center" vertical="center"/>
    </xf>
    <xf numFmtId="0" fontId="17" fillId="0" borderId="0" xfId="1538" applyFont="1" applyAlignment="1">
      <alignment horizontal="center" vertical="center"/>
    </xf>
    <xf numFmtId="193" fontId="21" fillId="0" borderId="1" xfId="1538" applyNumberFormat="1" applyFont="1" applyBorder="1" applyAlignment="1">
      <alignment vertical="center"/>
    </xf>
    <xf numFmtId="0" fontId="21" fillId="0" borderId="1" xfId="1538" applyFont="1" applyBorder="1" applyAlignment="1">
      <alignment horizontal="left" vertical="center" indent="1"/>
    </xf>
    <xf numFmtId="10" fontId="21" fillId="0" borderId="1" xfId="1538" applyNumberFormat="1" applyFont="1" applyBorder="1" applyAlignment="1">
      <alignment vertical="center"/>
    </xf>
    <xf numFmtId="0" fontId="21" fillId="0" borderId="1" xfId="1538" applyFont="1" applyBorder="1" applyAlignment="1">
      <alignment vertical="center"/>
    </xf>
    <xf numFmtId="194" fontId="21" fillId="0" borderId="1" xfId="1538" applyNumberFormat="1" applyFont="1" applyBorder="1" applyAlignment="1">
      <alignment vertical="center"/>
    </xf>
    <xf numFmtId="0" fontId="21" fillId="0" borderId="1" xfId="1538" applyFont="1" applyBorder="1" applyAlignment="1">
      <alignment horizontal="center" vertical="center"/>
    </xf>
    <xf numFmtId="0" fontId="22" fillId="0" borderId="0" xfId="1" applyAlignment="1">
      <alignment vertical="center"/>
    </xf>
    <xf numFmtId="9" fontId="17" fillId="0" borderId="0" xfId="1538" applyNumberFormat="1" applyFont="1" applyAlignment="1">
      <alignment vertical="center"/>
    </xf>
    <xf numFmtId="193" fontId="21" fillId="4" borderId="1" xfId="1538" applyNumberFormat="1" applyFont="1" applyFill="1" applyBorder="1" applyAlignment="1">
      <alignment vertical="center"/>
    </xf>
    <xf numFmtId="0" fontId="20" fillId="4" borderId="1" xfId="1538" applyFont="1" applyFill="1" applyBorder="1" applyAlignment="1">
      <alignment horizontal="left" vertical="center" indent="1"/>
    </xf>
    <xf numFmtId="10" fontId="21" fillId="4" borderId="1" xfId="1538" applyNumberFormat="1" applyFont="1" applyFill="1" applyBorder="1" applyAlignment="1">
      <alignment vertical="center"/>
    </xf>
    <xf numFmtId="0" fontId="21" fillId="4" borderId="1" xfId="1538" applyFont="1" applyFill="1" applyBorder="1" applyAlignment="1">
      <alignment vertical="center"/>
    </xf>
    <xf numFmtId="0" fontId="21" fillId="4" borderId="1" xfId="1538" applyFont="1" applyFill="1" applyBorder="1" applyAlignment="1">
      <alignment horizontal="center" vertical="center"/>
    </xf>
    <xf numFmtId="193" fontId="17" fillId="0" borderId="0" xfId="1538" applyNumberFormat="1" applyFont="1" applyAlignment="1">
      <alignment vertical="center"/>
    </xf>
    <xf numFmtId="194" fontId="17" fillId="0" borderId="0" xfId="1538" applyNumberFormat="1" applyFont="1" applyAlignment="1">
      <alignment vertical="center"/>
    </xf>
    <xf numFmtId="193" fontId="17" fillId="3" borderId="1" xfId="1538" applyNumberFormat="1" applyFont="1" applyFill="1" applyBorder="1" applyAlignment="1">
      <alignment vertical="center"/>
    </xf>
    <xf numFmtId="188" fontId="17" fillId="3" borderId="1" xfId="1538" applyNumberFormat="1" applyFont="1" applyFill="1" applyBorder="1" applyAlignment="1">
      <alignment horizontal="left" vertical="center" indent="1"/>
    </xf>
    <xf numFmtId="10" fontId="17" fillId="3" borderId="1" xfId="1538" applyNumberFormat="1" applyFont="1" applyFill="1" applyBorder="1" applyAlignment="1">
      <alignment vertical="center"/>
    </xf>
    <xf numFmtId="0" fontId="17" fillId="3" borderId="1" xfId="1538" applyFont="1" applyFill="1" applyBorder="1" applyAlignment="1">
      <alignment vertical="center"/>
    </xf>
    <xf numFmtId="0" fontId="17" fillId="2" borderId="0" xfId="1538" applyFont="1" applyFill="1" applyAlignment="1">
      <alignment vertical="center"/>
    </xf>
    <xf numFmtId="0" fontId="17" fillId="3" borderId="1" xfId="1538" applyFont="1" applyFill="1" applyBorder="1" applyAlignment="1">
      <alignment horizontal="left" vertical="center" indent="1"/>
    </xf>
    <xf numFmtId="0" fontId="23" fillId="3" borderId="1" xfId="1538" applyFont="1" applyFill="1" applyBorder="1" applyAlignment="1">
      <alignment horizontal="center" vertical="center"/>
    </xf>
    <xf numFmtId="0" fontId="24" fillId="3" borderId="1" xfId="1538" applyFont="1" applyFill="1" applyBorder="1" applyAlignment="1">
      <alignment horizontal="left" vertical="center" indent="1"/>
    </xf>
    <xf numFmtId="10" fontId="25" fillId="3" borderId="1" xfId="1538" applyNumberFormat="1" applyFont="1" applyFill="1" applyBorder="1" applyAlignment="1">
      <alignment vertical="center"/>
    </xf>
    <xf numFmtId="0" fontId="25" fillId="3" borderId="1" xfId="1538" applyFont="1" applyFill="1" applyBorder="1" applyAlignment="1">
      <alignment vertical="center"/>
    </xf>
    <xf numFmtId="0" fontId="24" fillId="3" borderId="1" xfId="1538" applyFont="1" applyFill="1" applyBorder="1" applyAlignment="1">
      <alignment horizontal="center" vertical="center"/>
    </xf>
    <xf numFmtId="10" fontId="25" fillId="0" borderId="0" xfId="1538" applyNumberFormat="1" applyFont="1" applyAlignment="1">
      <alignment vertical="center"/>
    </xf>
    <xf numFmtId="0" fontId="25" fillId="2" borderId="0" xfId="1538" applyFont="1" applyFill="1" applyAlignment="1">
      <alignment vertical="center"/>
    </xf>
    <xf numFmtId="188" fontId="17" fillId="0" borderId="0" xfId="1538" applyNumberFormat="1" applyFont="1" applyAlignment="1">
      <alignment vertical="center"/>
    </xf>
    <xf numFmtId="0" fontId="26" fillId="0" borderId="0" xfId="1538" applyFont="1" applyAlignment="1">
      <alignment vertical="center"/>
    </xf>
    <xf numFmtId="0" fontId="26" fillId="0" borderId="0" xfId="1538" applyFont="1" applyAlignment="1">
      <alignment horizontal="center" vertical="center"/>
    </xf>
    <xf numFmtId="0" fontId="30" fillId="0" borderId="0" xfId="1538" applyFont="1" applyAlignment="1">
      <alignment horizontal="center" vertical="center"/>
    </xf>
    <xf numFmtId="193" fontId="31" fillId="0" borderId="1" xfId="1538" applyNumberFormat="1" applyFont="1" applyBorder="1" applyAlignment="1">
      <alignment vertical="center"/>
    </xf>
    <xf numFmtId="193" fontId="32" fillId="0" borderId="1" xfId="1538" applyNumberFormat="1" applyFont="1" applyBorder="1" applyAlignment="1">
      <alignment horizontal="center" vertical="center"/>
    </xf>
    <xf numFmtId="193" fontId="33" fillId="0" borderId="1" xfId="1538" applyNumberFormat="1" applyFont="1" applyBorder="1" applyAlignment="1">
      <alignment vertical="center"/>
    </xf>
    <xf numFmtId="193" fontId="34" fillId="0" borderId="0" xfId="1538" applyNumberFormat="1" applyFont="1" applyAlignment="1">
      <alignment vertical="center"/>
    </xf>
    <xf numFmtId="0" fontId="35" fillId="0" borderId="0" xfId="1538" applyFont="1" applyAlignment="1">
      <alignment vertical="center"/>
    </xf>
    <xf numFmtId="193" fontId="36" fillId="0" borderId="1" xfId="1538" applyNumberFormat="1" applyFont="1" applyBorder="1" applyAlignment="1">
      <alignment vertical="center"/>
    </xf>
    <xf numFmtId="193" fontId="36" fillId="0" borderId="1" xfId="1538" applyNumberFormat="1" applyFont="1" applyBorder="1" applyAlignment="1">
      <alignment horizontal="center" vertical="center"/>
    </xf>
    <xf numFmtId="193" fontId="31" fillId="0" borderId="1" xfId="1538" applyNumberFormat="1" applyFont="1" applyBorder="1" applyAlignment="1">
      <alignment horizontal="center" vertical="center"/>
    </xf>
    <xf numFmtId="193" fontId="35" fillId="0" borderId="0" xfId="1538" applyNumberFormat="1" applyFont="1" applyAlignment="1">
      <alignment vertical="center"/>
    </xf>
    <xf numFmtId="0" fontId="18" fillId="0" borderId="0" xfId="1538" applyFont="1" applyAlignment="1">
      <alignment vertical="center"/>
    </xf>
    <xf numFmtId="0" fontId="3" fillId="0" borderId="0" xfId="1538" applyFont="1" applyAlignment="1">
      <alignment vertical="center"/>
    </xf>
    <xf numFmtId="0" fontId="3" fillId="0" borderId="0" xfId="1538" applyFont="1" applyAlignment="1">
      <alignment horizontal="center" vertical="center"/>
    </xf>
    <xf numFmtId="193" fontId="3" fillId="0" borderId="0" xfId="1538" applyNumberFormat="1" applyFont="1" applyAlignment="1">
      <alignment vertical="center"/>
    </xf>
    <xf numFmtId="193" fontId="37" fillId="6" borderId="1" xfId="1538" applyNumberFormat="1" applyFont="1" applyFill="1" applyBorder="1" applyAlignment="1">
      <alignment horizontal="center" vertical="center"/>
    </xf>
    <xf numFmtId="188" fontId="38" fillId="0" borderId="1" xfId="1538" applyNumberFormat="1" applyFont="1" applyBorder="1" applyAlignment="1">
      <alignment vertical="center"/>
    </xf>
    <xf numFmtId="188" fontId="38" fillId="0" borderId="1" xfId="1538" applyNumberFormat="1" applyFont="1" applyBorder="1" applyAlignment="1">
      <alignment horizontal="center" vertical="center"/>
    </xf>
    <xf numFmtId="193" fontId="38" fillId="0" borderId="1" xfId="1538" applyNumberFormat="1" applyFont="1" applyBorder="1" applyAlignment="1">
      <alignment vertical="center"/>
    </xf>
    <xf numFmtId="188" fontId="38" fillId="0" borderId="4" xfId="1538" applyNumberFormat="1" applyFont="1" applyBorder="1" applyAlignment="1">
      <alignment vertical="center"/>
    </xf>
    <xf numFmtId="0" fontId="38" fillId="0" borderId="0" xfId="1538" applyFont="1" applyAlignment="1">
      <alignment vertical="center"/>
    </xf>
    <xf numFmtId="188" fontId="3" fillId="0" borderId="1" xfId="1538" applyNumberFormat="1" applyFont="1" applyBorder="1" applyAlignment="1">
      <alignment vertical="center"/>
    </xf>
    <xf numFmtId="188" fontId="18" fillId="0" borderId="1" xfId="1538" applyNumberFormat="1" applyFont="1" applyBorder="1" applyAlignment="1">
      <alignment horizontal="center" vertical="center"/>
    </xf>
    <xf numFmtId="193" fontId="3" fillId="0" borderId="1" xfId="1538" applyNumberFormat="1" applyFont="1" applyBorder="1" applyAlignment="1">
      <alignment vertical="center"/>
    </xf>
    <xf numFmtId="188" fontId="3" fillId="0" borderId="4" xfId="1538" applyNumberFormat="1" applyFont="1" applyBorder="1" applyAlignment="1">
      <alignment vertical="center"/>
    </xf>
    <xf numFmtId="188" fontId="3" fillId="0" borderId="0" xfId="1538" applyNumberFormat="1" applyFont="1" applyAlignment="1">
      <alignment vertical="center"/>
    </xf>
    <xf numFmtId="188" fontId="3" fillId="4" borderId="1" xfId="1538" applyNumberFormat="1" applyFont="1" applyFill="1" applyBorder="1" applyAlignment="1">
      <alignment vertical="center"/>
    </xf>
    <xf numFmtId="188" fontId="18" fillId="4" borderId="1" xfId="1538" applyNumberFormat="1" applyFont="1" applyFill="1" applyBorder="1" applyAlignment="1">
      <alignment horizontal="center" vertical="center"/>
    </xf>
    <xf numFmtId="193" fontId="3" fillId="4" borderId="1" xfId="1538" applyNumberFormat="1" applyFont="1" applyFill="1" applyBorder="1" applyAlignment="1">
      <alignment vertical="center"/>
    </xf>
    <xf numFmtId="188" fontId="3" fillId="4" borderId="4" xfId="1538" applyNumberFormat="1" applyFont="1" applyFill="1" applyBorder="1" applyAlignment="1">
      <alignment vertical="center"/>
    </xf>
    <xf numFmtId="0" fontId="3" fillId="4" borderId="0" xfId="1538" applyFont="1" applyFill="1" applyAlignment="1">
      <alignment vertical="center"/>
    </xf>
    <xf numFmtId="0" fontId="37" fillId="0" borderId="0" xfId="1538" applyFont="1" applyAlignment="1">
      <alignment vertical="center"/>
    </xf>
    <xf numFmtId="0" fontId="39" fillId="0" borderId="0" xfId="1538" applyFont="1" applyAlignment="1">
      <alignment horizontal="center" vertical="center"/>
    </xf>
    <xf numFmtId="193" fontId="39" fillId="0" borderId="0" xfId="1538" applyNumberFormat="1" applyFont="1" applyAlignment="1">
      <alignment vertical="center"/>
    </xf>
    <xf numFmtId="193" fontId="3" fillId="0" borderId="0" xfId="1538" applyNumberFormat="1" applyFont="1" applyAlignment="1">
      <alignment horizontal="center" vertical="center"/>
    </xf>
    <xf numFmtId="193" fontId="24" fillId="5" borderId="1" xfId="1538" applyNumberFormat="1" applyFont="1" applyFill="1" applyBorder="1" applyAlignment="1">
      <alignment horizontal="center" vertical="center"/>
    </xf>
    <xf numFmtId="193" fontId="3" fillId="5" borderId="0" xfId="1538" applyNumberFormat="1" applyFont="1" applyFill="1" applyAlignment="1">
      <alignment vertical="center"/>
    </xf>
    <xf numFmtId="193" fontId="38" fillId="7" borderId="1" xfId="1538" applyNumberFormat="1" applyFont="1" applyFill="1" applyBorder="1" applyAlignment="1">
      <alignment vertical="center"/>
    </xf>
    <xf numFmtId="193" fontId="38" fillId="7" borderId="1" xfId="1538" applyNumberFormat="1" applyFont="1" applyFill="1" applyBorder="1" applyAlignment="1">
      <alignment horizontal="center" vertical="center"/>
    </xf>
    <xf numFmtId="0" fontId="20" fillId="0" borderId="1" xfId="1538" applyFont="1" applyBorder="1" applyAlignment="1">
      <alignment vertical="center" wrapText="1"/>
    </xf>
    <xf numFmtId="0" fontId="40" fillId="0" borderId="1" xfId="1538" applyFont="1" applyBorder="1" applyAlignment="1">
      <alignment vertical="center" wrapText="1"/>
    </xf>
    <xf numFmtId="0" fontId="40" fillId="0" borderId="1" xfId="1538" applyFont="1" applyBorder="1" applyAlignment="1">
      <alignment horizontal="center" vertical="center" wrapText="1"/>
    </xf>
    <xf numFmtId="193" fontId="40" fillId="0" borderId="1" xfId="1538" applyNumberFormat="1" applyFont="1" applyBorder="1" applyAlignment="1">
      <alignment vertical="center" wrapText="1"/>
    </xf>
    <xf numFmtId="193" fontId="18" fillId="4" borderId="1" xfId="1538" applyNumberFormat="1" applyFont="1" applyFill="1" applyBorder="1" applyAlignment="1">
      <alignment horizontal="center" vertical="center"/>
    </xf>
    <xf numFmtId="0" fontId="20" fillId="0" borderId="1" xfId="1538" applyFont="1" applyBorder="1" applyAlignment="1">
      <alignment horizontal="center" vertical="center" wrapText="1"/>
    </xf>
    <xf numFmtId="0" fontId="20" fillId="4" borderId="1" xfId="1538" applyFont="1" applyFill="1" applyBorder="1" applyAlignment="1">
      <alignment vertical="center" wrapText="1"/>
    </xf>
    <xf numFmtId="0" fontId="40" fillId="4" borderId="1" xfId="1538" applyFont="1" applyFill="1" applyBorder="1" applyAlignment="1">
      <alignment vertical="center" wrapText="1"/>
    </xf>
    <xf numFmtId="0" fontId="40" fillId="4" borderId="1" xfId="1538" applyFont="1" applyFill="1" applyBorder="1" applyAlignment="1">
      <alignment horizontal="center" vertical="center" wrapText="1"/>
    </xf>
    <xf numFmtId="193" fontId="40" fillId="4" borderId="1" xfId="1538" applyNumberFormat="1" applyFont="1" applyFill="1" applyBorder="1" applyAlignment="1">
      <alignment vertical="center" wrapText="1"/>
    </xf>
    <xf numFmtId="193" fontId="18" fillId="0" borderId="1" xfId="1538" applyNumberFormat="1" applyFont="1" applyBorder="1" applyAlignment="1">
      <alignment horizontal="center" vertical="center"/>
    </xf>
    <xf numFmtId="193" fontId="40" fillId="0" borderId="1" xfId="1538" applyNumberFormat="1" applyFont="1" applyBorder="1" applyAlignment="1">
      <alignment vertical="center"/>
    </xf>
    <xf numFmtId="188" fontId="20" fillId="0" borderId="1" xfId="1538" applyNumberFormat="1" applyFont="1" applyBorder="1" applyAlignment="1">
      <alignment vertical="center"/>
    </xf>
    <xf numFmtId="188" fontId="40" fillId="0" borderId="1" xfId="1538" applyNumberFormat="1" applyFont="1" applyBorder="1" applyAlignment="1">
      <alignment horizontal="center" vertical="center"/>
    </xf>
    <xf numFmtId="193" fontId="3" fillId="4" borderId="0" xfId="1538" applyNumberFormat="1" applyFont="1" applyFill="1" applyAlignment="1">
      <alignment vertical="center"/>
    </xf>
    <xf numFmtId="188" fontId="20" fillId="4" borderId="1" xfId="1538" applyNumberFormat="1" applyFont="1" applyFill="1" applyBorder="1" applyAlignment="1">
      <alignment vertical="center"/>
    </xf>
    <xf numFmtId="188" fontId="40" fillId="4" borderId="1" xfId="1538" applyNumberFormat="1" applyFont="1" applyFill="1" applyBorder="1" applyAlignment="1">
      <alignment horizontal="center" vertical="center"/>
    </xf>
    <xf numFmtId="188" fontId="20" fillId="4" borderId="1" xfId="1538" applyNumberFormat="1" applyFont="1" applyFill="1" applyBorder="1" applyAlignment="1">
      <alignment horizontal="center" vertical="center"/>
    </xf>
    <xf numFmtId="193" fontId="40" fillId="4" borderId="1" xfId="1538" applyNumberFormat="1" applyFont="1" applyFill="1" applyBorder="1" applyAlignment="1">
      <alignment vertical="center"/>
    </xf>
    <xf numFmtId="188" fontId="40" fillId="0" borderId="1" xfId="1538" applyNumberFormat="1" applyFont="1" applyBorder="1" applyAlignment="1">
      <alignment vertical="center"/>
    </xf>
    <xf numFmtId="193" fontId="3" fillId="4" borderId="1" xfId="1538" applyNumberFormat="1" applyFont="1" applyFill="1" applyBorder="1" applyAlignment="1">
      <alignment horizontal="center" vertical="center"/>
    </xf>
    <xf numFmtId="193" fontId="38" fillId="0" borderId="1" xfId="1538" applyNumberFormat="1" applyFont="1" applyBorder="1" applyAlignment="1">
      <alignment horizontal="center" vertical="center"/>
    </xf>
    <xf numFmtId="188" fontId="20" fillId="0" borderId="1" xfId="1538" applyNumberFormat="1" applyFont="1" applyBorder="1" applyAlignment="1">
      <alignment horizontal="center" vertical="center"/>
    </xf>
    <xf numFmtId="193" fontId="20" fillId="0" borderId="1" xfId="1538" applyNumberFormat="1" applyFont="1" applyBorder="1" applyAlignment="1">
      <alignment vertical="center"/>
    </xf>
    <xf numFmtId="193" fontId="40" fillId="0" borderId="1" xfId="1538" applyNumberFormat="1" applyFont="1" applyBorder="1" applyAlignment="1">
      <alignment horizontal="center" vertical="center"/>
    </xf>
    <xf numFmtId="193" fontId="41" fillId="0" borderId="1" xfId="1538" applyNumberFormat="1" applyFont="1" applyBorder="1" applyAlignment="1">
      <alignment vertical="center"/>
    </xf>
    <xf numFmtId="193" fontId="20" fillId="0" borderId="1" xfId="1538" applyNumberFormat="1" applyFont="1" applyBorder="1" applyAlignment="1">
      <alignment horizontal="center" vertical="center"/>
    </xf>
    <xf numFmtId="193" fontId="40" fillId="4" borderId="1" xfId="1538" applyNumberFormat="1" applyFont="1" applyFill="1" applyBorder="1" applyAlignment="1">
      <alignment horizontal="center" vertical="center"/>
    </xf>
    <xf numFmtId="193" fontId="20" fillId="4" borderId="1" xfId="1538" applyNumberFormat="1" applyFont="1" applyFill="1" applyBorder="1" applyAlignment="1">
      <alignment vertical="center"/>
    </xf>
    <xf numFmtId="193" fontId="20" fillId="4" borderId="1" xfId="1538" applyNumberFormat="1" applyFont="1" applyFill="1" applyBorder="1" applyAlignment="1">
      <alignment horizontal="center" vertical="center"/>
    </xf>
    <xf numFmtId="193" fontId="40" fillId="0" borderId="1" xfId="1538" applyNumberFormat="1" applyFont="1" applyBorder="1" applyAlignment="1">
      <alignment horizontal="right" vertical="center"/>
    </xf>
    <xf numFmtId="193" fontId="40" fillId="0" borderId="0" xfId="1538" applyNumberFormat="1" applyFont="1" applyAlignment="1">
      <alignment vertical="center"/>
    </xf>
    <xf numFmtId="193" fontId="20" fillId="8" borderId="1" xfId="1538" applyNumberFormat="1" applyFont="1" applyFill="1" applyBorder="1" applyAlignment="1">
      <alignment vertical="center"/>
    </xf>
    <xf numFmtId="193" fontId="3" fillId="0" borderId="1" xfId="1538" applyNumberFormat="1" applyFont="1" applyBorder="1" applyAlignment="1">
      <alignment horizontal="center" vertical="center"/>
    </xf>
    <xf numFmtId="0" fontId="18" fillId="0" borderId="1" xfId="1538" applyFont="1" applyBorder="1" applyAlignment="1">
      <alignment horizontal="left" vertical="center" wrapText="1"/>
    </xf>
    <xf numFmtId="0" fontId="18" fillId="0" borderId="1" xfId="1538" applyFont="1" applyBorder="1" applyAlignment="1">
      <alignment horizontal="left" vertical="center" indent="1"/>
    </xf>
    <xf numFmtId="0" fontId="20" fillId="0" borderId="1" xfId="1538" applyFont="1" applyBorder="1" applyAlignment="1">
      <alignment horizontal="left" vertical="center" indent="1"/>
    </xf>
    <xf numFmtId="193" fontId="42" fillId="4" borderId="1" xfId="1538" applyNumberFormat="1" applyFont="1" applyFill="1" applyBorder="1" applyAlignment="1">
      <alignment horizontal="center" vertical="center"/>
    </xf>
    <xf numFmtId="193" fontId="18" fillId="0" borderId="1" xfId="1538" applyNumberFormat="1" applyFont="1" applyBorder="1" applyAlignment="1">
      <alignment vertical="center"/>
    </xf>
    <xf numFmtId="193" fontId="18" fillId="0" borderId="1" xfId="1538" applyNumberFormat="1" applyFont="1" applyBorder="1" applyAlignment="1">
      <alignment horizontal="left" vertical="center" shrinkToFit="1"/>
    </xf>
    <xf numFmtId="193" fontId="18" fillId="0" borderId="1" xfId="1538" applyNumberFormat="1" applyFont="1" applyBorder="1" applyAlignment="1">
      <alignment horizontal="center" vertical="center" shrinkToFit="1"/>
    </xf>
    <xf numFmtId="193" fontId="43" fillId="0" borderId="1" xfId="1538" applyNumberFormat="1" applyFont="1" applyBorder="1" applyAlignment="1">
      <alignment horizontal="right" vertical="center" shrinkToFit="1"/>
    </xf>
    <xf numFmtId="193" fontId="20" fillId="4" borderId="1" xfId="1538" applyNumberFormat="1" applyFont="1" applyFill="1" applyBorder="1" applyAlignment="1">
      <alignment vertical="center" wrapText="1"/>
    </xf>
    <xf numFmtId="193" fontId="40" fillId="0" borderId="1" xfId="1538" applyNumberFormat="1" applyFont="1" applyBorder="1" applyAlignment="1">
      <alignment vertical="center" shrinkToFit="1"/>
    </xf>
    <xf numFmtId="193" fontId="44" fillId="0" borderId="1" xfId="1538" applyNumberFormat="1" applyFont="1" applyBorder="1" applyAlignment="1">
      <alignment vertical="center"/>
    </xf>
    <xf numFmtId="193" fontId="40" fillId="4" borderId="1" xfId="1538" applyNumberFormat="1" applyFont="1" applyFill="1" applyBorder="1" applyAlignment="1">
      <alignment vertical="center" shrinkToFit="1"/>
    </xf>
    <xf numFmtId="193" fontId="45" fillId="0" borderId="1" xfId="1538" applyNumberFormat="1" applyFont="1" applyBorder="1" applyAlignment="1">
      <alignment vertical="center"/>
    </xf>
    <xf numFmtId="193" fontId="46" fillId="0" borderId="1" xfId="1538" applyNumberFormat="1" applyFont="1" applyBorder="1" applyAlignment="1">
      <alignment vertical="center"/>
    </xf>
    <xf numFmtId="188" fontId="40" fillId="0" borderId="6" xfId="1538" applyNumberFormat="1" applyFont="1" applyBorder="1" applyAlignment="1">
      <alignment vertical="center"/>
    </xf>
    <xf numFmtId="193" fontId="44" fillId="0" borderId="6" xfId="1538" applyNumberFormat="1" applyFont="1" applyBorder="1" applyAlignment="1">
      <alignment vertical="center"/>
    </xf>
    <xf numFmtId="193" fontId="3" fillId="4" borderId="6" xfId="1538" applyNumberFormat="1" applyFont="1" applyFill="1" applyBorder="1" applyAlignment="1">
      <alignment horizontal="center" vertical="center"/>
    </xf>
    <xf numFmtId="193" fontId="40" fillId="0" borderId="6" xfId="1538" applyNumberFormat="1" applyFont="1" applyBorder="1" applyAlignment="1">
      <alignment vertical="center"/>
    </xf>
    <xf numFmtId="193" fontId="3" fillId="0" borderId="6" xfId="1538" applyNumberFormat="1" applyFont="1" applyBorder="1" applyAlignment="1">
      <alignment vertical="center"/>
    </xf>
    <xf numFmtId="193" fontId="38" fillId="0" borderId="6" xfId="1538" applyNumberFormat="1" applyFont="1" applyBorder="1" applyAlignment="1">
      <alignment vertical="center"/>
    </xf>
    <xf numFmtId="193" fontId="3" fillId="0" borderId="6" xfId="1538" applyNumberFormat="1" applyFont="1" applyBorder="1" applyAlignment="1">
      <alignment horizontal="center" vertical="center"/>
    </xf>
    <xf numFmtId="193" fontId="38" fillId="7" borderId="1" xfId="1538" applyNumberFormat="1" applyFont="1" applyFill="1" applyBorder="1" applyAlignment="1">
      <alignment vertical="center" wrapText="1"/>
    </xf>
    <xf numFmtId="193" fontId="3" fillId="7" borderId="1" xfId="1538" applyNumberFormat="1" applyFont="1" applyFill="1" applyBorder="1" applyAlignment="1">
      <alignment vertical="center" wrapText="1"/>
    </xf>
    <xf numFmtId="193" fontId="3" fillId="7" borderId="1" xfId="1538" applyNumberFormat="1" applyFont="1" applyFill="1" applyBorder="1" applyAlignment="1">
      <alignment horizontal="center" vertical="center" wrapText="1"/>
    </xf>
    <xf numFmtId="188" fontId="18" fillId="0" borderId="1" xfId="1538" applyNumberFormat="1" applyFont="1" applyBorder="1" applyAlignment="1">
      <alignment vertical="center"/>
    </xf>
    <xf numFmtId="188" fontId="3" fillId="0" borderId="1" xfId="1538" applyNumberFormat="1" applyFont="1" applyBorder="1" applyAlignment="1">
      <alignment horizontal="center" vertical="center"/>
    </xf>
    <xf numFmtId="189" fontId="3" fillId="0" borderId="1" xfId="1538" applyNumberFormat="1" applyFont="1" applyBorder="1" applyAlignment="1">
      <alignment vertical="center"/>
    </xf>
    <xf numFmtId="176" fontId="40" fillId="0" borderId="1" xfId="1538" applyNumberFormat="1" applyFont="1" applyBorder="1" applyAlignment="1">
      <alignment vertical="center" shrinkToFit="1"/>
    </xf>
    <xf numFmtId="176" fontId="3" fillId="0" borderId="1" xfId="1538" applyNumberFormat="1" applyFont="1" applyBorder="1" applyAlignment="1">
      <alignment vertical="center"/>
    </xf>
    <xf numFmtId="176" fontId="40" fillId="0" borderId="1" xfId="1538" applyNumberFormat="1" applyFont="1" applyBorder="1" applyAlignment="1">
      <alignment vertical="center"/>
    </xf>
    <xf numFmtId="176" fontId="38" fillId="0" borderId="1" xfId="1538" applyNumberFormat="1" applyFont="1" applyBorder="1" applyAlignment="1">
      <alignment vertical="center"/>
    </xf>
    <xf numFmtId="188" fontId="18" fillId="4" borderId="1" xfId="1538" applyNumberFormat="1" applyFont="1" applyFill="1" applyBorder="1" applyAlignment="1">
      <alignment vertical="center"/>
    </xf>
    <xf numFmtId="188" fontId="3" fillId="4" borderId="1" xfId="1538" applyNumberFormat="1" applyFont="1" applyFill="1" applyBorder="1" applyAlignment="1">
      <alignment horizontal="center" vertical="center"/>
    </xf>
    <xf numFmtId="189" fontId="3" fillId="4" borderId="1" xfId="1538" applyNumberFormat="1" applyFont="1" applyFill="1" applyBorder="1" applyAlignment="1">
      <alignment vertical="center"/>
    </xf>
    <xf numFmtId="176" fontId="40" fillId="4" borderId="1" xfId="1538" applyNumberFormat="1" applyFont="1" applyFill="1" applyBorder="1" applyAlignment="1">
      <alignment vertical="center" shrinkToFit="1"/>
    </xf>
    <xf numFmtId="176" fontId="3" fillId="4" borderId="1" xfId="1538" applyNumberFormat="1" applyFont="1" applyFill="1" applyBorder="1" applyAlignment="1">
      <alignment vertical="center"/>
    </xf>
    <xf numFmtId="176" fontId="40" fillId="4" borderId="1" xfId="1538" applyNumberFormat="1" applyFont="1" applyFill="1" applyBorder="1" applyAlignment="1">
      <alignment vertical="center"/>
    </xf>
    <xf numFmtId="176" fontId="38" fillId="4" borderId="1" xfId="1538" applyNumberFormat="1" applyFont="1" applyFill="1" applyBorder="1" applyAlignment="1">
      <alignment vertical="center"/>
    </xf>
    <xf numFmtId="189" fontId="40" fillId="0" borderId="1" xfId="1538" applyNumberFormat="1" applyFont="1" applyBorder="1" applyAlignment="1">
      <alignment vertical="center"/>
    </xf>
    <xf numFmtId="188" fontId="40" fillId="0" borderId="1" xfId="1538" applyNumberFormat="1" applyFont="1" applyBorder="1" applyAlignment="1">
      <alignment vertical="center" wrapText="1"/>
    </xf>
    <xf numFmtId="176" fontId="40" fillId="0" borderId="1" xfId="1538" applyNumberFormat="1" applyFont="1" applyBorder="1" applyAlignment="1">
      <alignment horizontal="right" vertical="center"/>
    </xf>
    <xf numFmtId="188" fontId="40" fillId="4" borderId="1" xfId="1538" applyNumberFormat="1" applyFont="1" applyFill="1" applyBorder="1" applyAlignment="1">
      <alignment vertical="center"/>
    </xf>
    <xf numFmtId="189" fontId="40" fillId="4" borderId="1" xfId="1538" applyNumberFormat="1" applyFont="1" applyFill="1" applyBorder="1" applyAlignment="1">
      <alignment vertical="center"/>
    </xf>
    <xf numFmtId="193" fontId="38" fillId="4" borderId="1" xfId="1538" applyNumberFormat="1" applyFont="1" applyFill="1" applyBorder="1" applyAlignment="1">
      <alignment vertical="center"/>
    </xf>
    <xf numFmtId="188" fontId="20" fillId="4" borderId="1" xfId="1538" applyNumberFormat="1" applyFont="1" applyFill="1" applyBorder="1" applyAlignment="1">
      <alignment vertical="center" wrapText="1"/>
    </xf>
    <xf numFmtId="193" fontId="40" fillId="4" borderId="6" xfId="1538" applyNumberFormat="1" applyFont="1" applyFill="1" applyBorder="1" applyAlignment="1">
      <alignment vertical="center"/>
    </xf>
    <xf numFmtId="193" fontId="40" fillId="4" borderId="1" xfId="1538" applyNumberFormat="1" applyFont="1" applyFill="1" applyBorder="1" applyAlignment="1">
      <alignment horizontal="right" vertical="center"/>
    </xf>
    <xf numFmtId="193" fontId="18" fillId="4" borderId="1" xfId="1538" applyNumberFormat="1" applyFont="1" applyFill="1" applyBorder="1" applyAlignment="1">
      <alignment horizontal="center" vertical="center" wrapText="1"/>
    </xf>
    <xf numFmtId="193" fontId="18" fillId="4" borderId="0" xfId="1538" applyNumberFormat="1" applyFont="1" applyFill="1" applyAlignment="1">
      <alignment horizontal="center" vertical="center"/>
    </xf>
    <xf numFmtId="0" fontId="5" fillId="0" borderId="0" xfId="1538" applyFont="1" applyAlignment="1">
      <alignment vertical="center"/>
    </xf>
    <xf numFmtId="0" fontId="48" fillId="0" borderId="5" xfId="1538" applyFont="1" applyBorder="1" applyAlignment="1">
      <alignment vertical="center"/>
    </xf>
    <xf numFmtId="0" fontId="16" fillId="0" borderId="5" xfId="1538" applyFont="1" applyBorder="1" applyAlignment="1">
      <alignment vertical="center"/>
    </xf>
    <xf numFmtId="0" fontId="49" fillId="0" borderId="0" xfId="1538" applyFont="1" applyAlignment="1">
      <alignment horizontal="center" vertical="center"/>
    </xf>
    <xf numFmtId="193" fontId="49" fillId="0" borderId="0" xfId="1538" applyNumberFormat="1" applyFont="1" applyAlignment="1">
      <alignment horizontal="center" vertical="center"/>
    </xf>
    <xf numFmtId="193" fontId="16" fillId="0" borderId="0" xfId="1538" applyNumberFormat="1" applyFont="1" applyAlignment="1">
      <alignment horizontal="right" vertical="center"/>
    </xf>
    <xf numFmtId="0" fontId="50" fillId="9" borderId="1" xfId="1538" applyFont="1" applyFill="1" applyBorder="1" applyAlignment="1">
      <alignment horizontal="center" vertical="center"/>
    </xf>
    <xf numFmtId="0" fontId="51" fillId="10" borderId="1" xfId="1538" applyFont="1" applyFill="1" applyBorder="1" applyAlignment="1">
      <alignment vertical="center"/>
    </xf>
    <xf numFmtId="0" fontId="52" fillId="10" borderId="1" xfId="1538" applyFont="1" applyFill="1" applyBorder="1" applyAlignment="1">
      <alignment horizontal="left" vertical="center" indent="1"/>
    </xf>
    <xf numFmtId="0" fontId="52" fillId="10" borderId="1" xfId="1538" applyFont="1" applyFill="1" applyBorder="1" applyAlignment="1">
      <alignment horizontal="center" vertical="center"/>
    </xf>
    <xf numFmtId="193" fontId="52" fillId="10" borderId="1" xfId="1538" applyNumberFormat="1" applyFont="1" applyFill="1" applyBorder="1" applyAlignment="1">
      <alignment vertical="center"/>
    </xf>
    <xf numFmtId="0" fontId="52" fillId="10" borderId="1" xfId="1538" applyFont="1" applyFill="1" applyBorder="1" applyAlignment="1">
      <alignment vertical="center"/>
    </xf>
    <xf numFmtId="0" fontId="5" fillId="11" borderId="0" xfId="1538" applyFont="1" applyFill="1" applyAlignment="1">
      <alignment vertical="center"/>
    </xf>
    <xf numFmtId="193" fontId="52" fillId="0" borderId="1" xfId="1538" applyNumberFormat="1" applyFont="1" applyBorder="1" applyAlignment="1">
      <alignment vertical="center"/>
    </xf>
    <xf numFmtId="193" fontId="52" fillId="4" borderId="1" xfId="1538" applyNumberFormat="1" applyFont="1" applyFill="1" applyBorder="1" applyAlignment="1">
      <alignment vertical="center"/>
    </xf>
    <xf numFmtId="0" fontId="51" fillId="12" borderId="1" xfId="1538" applyFont="1" applyFill="1" applyBorder="1" applyAlignment="1">
      <alignment vertical="center"/>
    </xf>
    <xf numFmtId="193" fontId="52" fillId="12" borderId="1" xfId="1538" applyNumberFormat="1" applyFont="1" applyFill="1" applyBorder="1" applyAlignment="1">
      <alignment vertical="center"/>
    </xf>
    <xf numFmtId="0" fontId="51" fillId="9" borderId="1" xfId="1538" applyFont="1" applyFill="1" applyBorder="1" applyAlignment="1">
      <alignment horizontal="center" vertical="center"/>
    </xf>
    <xf numFmtId="193" fontId="51" fillId="9" borderId="1" xfId="1538" applyNumberFormat="1" applyFont="1" applyFill="1" applyBorder="1" applyAlignment="1">
      <alignment horizontal="center" vertical="center"/>
    </xf>
    <xf numFmtId="0" fontId="5" fillId="4" borderId="0" xfId="1538" applyFont="1" applyFill="1" applyAlignment="1">
      <alignment vertical="center"/>
    </xf>
    <xf numFmtId="0" fontId="40" fillId="0" borderId="0" xfId="1538" applyFont="1" applyAlignment="1">
      <alignment vertical="center"/>
    </xf>
    <xf numFmtId="0" fontId="40" fillId="0" borderId="0" xfId="1538" applyFont="1" applyAlignment="1">
      <alignment horizontal="center" vertical="center" wrapText="1"/>
    </xf>
    <xf numFmtId="0" fontId="40" fillId="0" borderId="0" xfId="1538" applyFont="1" applyAlignment="1">
      <alignment horizontal="center" vertical="center"/>
    </xf>
    <xf numFmtId="3" fontId="40" fillId="0" borderId="0" xfId="1538" applyNumberFormat="1" applyFont="1" applyAlignment="1">
      <alignment horizontal="right" vertical="center"/>
    </xf>
    <xf numFmtId="0" fontId="44" fillId="0" borderId="0" xfId="1538" applyFont="1" applyAlignment="1">
      <alignment horizontal="center" vertical="center" wrapText="1"/>
    </xf>
    <xf numFmtId="0" fontId="54" fillId="0" borderId="5" xfId="1538" applyFont="1" applyBorder="1" applyAlignment="1">
      <alignment vertical="center"/>
    </xf>
    <xf numFmtId="0" fontId="56" fillId="0" borderId="0" xfId="1538" applyFont="1" applyAlignment="1">
      <alignment horizontal="center" vertical="center"/>
    </xf>
    <xf numFmtId="3" fontId="56" fillId="0" borderId="0" xfId="1538" applyNumberFormat="1" applyFont="1" applyAlignment="1">
      <alignment horizontal="right" vertical="center"/>
    </xf>
    <xf numFmtId="193" fontId="41" fillId="0" borderId="0" xfId="1538" applyNumberFormat="1" applyFont="1" applyAlignment="1">
      <alignment horizontal="center" vertical="center" wrapText="1"/>
    </xf>
    <xf numFmtId="3" fontId="57" fillId="0" borderId="1" xfId="1538" applyNumberFormat="1" applyFont="1" applyBorder="1" applyAlignment="1">
      <alignment horizontal="center" vertical="center"/>
    </xf>
    <xf numFmtId="0" fontId="41" fillId="0" borderId="0" xfId="1538" applyFont="1" applyAlignment="1">
      <alignment vertical="center"/>
    </xf>
    <xf numFmtId="0" fontId="58" fillId="7" borderId="1" xfId="1538" applyFont="1" applyFill="1" applyBorder="1" applyAlignment="1">
      <alignment vertical="center"/>
    </xf>
    <xf numFmtId="0" fontId="58" fillId="7" borderId="1" xfId="1538" applyFont="1" applyFill="1" applyBorder="1" applyAlignment="1">
      <alignment horizontal="center" vertical="center" wrapText="1"/>
    </xf>
    <xf numFmtId="0" fontId="58" fillId="7" borderId="1" xfId="1538" applyFont="1" applyFill="1" applyBorder="1" applyAlignment="1">
      <alignment horizontal="center" vertical="center" shrinkToFit="1"/>
    </xf>
    <xf numFmtId="193" fontId="59" fillId="7" borderId="1" xfId="1538" applyNumberFormat="1" applyFont="1" applyFill="1" applyBorder="1" applyAlignment="1">
      <alignment vertical="center"/>
    </xf>
    <xf numFmtId="0" fontId="59" fillId="7" borderId="1" xfId="1538" applyFont="1" applyFill="1" applyBorder="1" applyAlignment="1">
      <alignment horizontal="left" vertical="center" wrapText="1"/>
    </xf>
    <xf numFmtId="0" fontId="41" fillId="11" borderId="0" xfId="1538" applyFont="1" applyFill="1" applyAlignment="1">
      <alignment vertical="center"/>
    </xf>
    <xf numFmtId="0" fontId="60" fillId="0" borderId="1" xfId="1538" applyFont="1" applyBorder="1" applyAlignment="1">
      <alignment horizontal="left" vertical="center" wrapText="1"/>
    </xf>
    <xf numFmtId="0" fontId="59" fillId="0" borderId="1" xfId="1538" applyFont="1" applyBorder="1" applyAlignment="1">
      <alignment horizontal="left" vertical="center" wrapText="1"/>
    </xf>
    <xf numFmtId="0" fontId="59" fillId="0" borderId="1" xfId="1538" applyFont="1" applyBorder="1" applyAlignment="1">
      <alignment horizontal="center" vertical="center" shrinkToFit="1"/>
    </xf>
    <xf numFmtId="191" fontId="59" fillId="0" borderId="1" xfId="1538" applyNumberFormat="1" applyFont="1" applyBorder="1" applyAlignment="1">
      <alignment horizontal="center" vertical="center"/>
    </xf>
    <xf numFmtId="193" fontId="59" fillId="0" borderId="1" xfId="1538" applyNumberFormat="1" applyFont="1" applyBorder="1" applyAlignment="1">
      <alignment vertical="center"/>
    </xf>
    <xf numFmtId="0" fontId="60" fillId="0" borderId="1" xfId="1538" applyFont="1" applyBorder="1" applyAlignment="1">
      <alignment horizontal="center" vertical="center" shrinkToFit="1"/>
    </xf>
    <xf numFmtId="0" fontId="59" fillId="4" borderId="1" xfId="1538" applyFont="1" applyFill="1" applyBorder="1" applyAlignment="1">
      <alignment horizontal="left" vertical="center" wrapText="1"/>
    </xf>
    <xf numFmtId="195" fontId="59" fillId="0" borderId="1" xfId="1538" applyNumberFormat="1" applyFont="1" applyBorder="1" applyAlignment="1">
      <alignment horizontal="center" vertical="center"/>
    </xf>
    <xf numFmtId="0" fontId="60" fillId="0" borderId="1" xfId="1538" applyFont="1" applyBorder="1" applyAlignment="1">
      <alignment horizontal="center" vertical="center" wrapText="1"/>
    </xf>
    <xf numFmtId="0" fontId="60" fillId="4" borderId="1" xfId="1538" applyFont="1" applyFill="1" applyBorder="1" applyAlignment="1">
      <alignment horizontal="left" vertical="center" wrapText="1"/>
    </xf>
    <xf numFmtId="193" fontId="59" fillId="0" borderId="1" xfId="1538" applyNumberFormat="1" applyFont="1" applyBorder="1" applyAlignment="1">
      <alignment horizontal="center" vertical="center"/>
    </xf>
    <xf numFmtId="0" fontId="59" fillId="4" borderId="1" xfId="1538" applyFont="1" applyFill="1" applyBorder="1" applyAlignment="1">
      <alignment horizontal="center" vertical="center" shrinkToFit="1"/>
    </xf>
    <xf numFmtId="193" fontId="59" fillId="4" borderId="1" xfId="1538" applyNumberFormat="1" applyFont="1" applyFill="1" applyBorder="1" applyAlignment="1">
      <alignment horizontal="center" vertical="center"/>
    </xf>
    <xf numFmtId="193" fontId="59" fillId="4" borderId="1" xfId="1538" applyNumberFormat="1" applyFont="1" applyFill="1" applyBorder="1" applyAlignment="1">
      <alignment vertical="center"/>
    </xf>
    <xf numFmtId="0" fontId="52" fillId="0" borderId="1" xfId="1538" applyFont="1" applyBorder="1" applyAlignment="1">
      <alignment horizontal="left" vertical="center" wrapText="1"/>
    </xf>
    <xf numFmtId="0" fontId="52" fillId="0" borderId="1" xfId="1538" applyFont="1" applyBorder="1" applyAlignment="1">
      <alignment horizontal="center" vertical="center" shrinkToFit="1"/>
    </xf>
    <xf numFmtId="193" fontId="52" fillId="0" borderId="1" xfId="1538" applyNumberFormat="1" applyFont="1" applyBorder="1" applyAlignment="1">
      <alignment horizontal="center" vertical="center"/>
    </xf>
    <xf numFmtId="0" fontId="61" fillId="0" borderId="1" xfId="1538" applyFont="1" applyBorder="1" applyAlignment="1">
      <alignment horizontal="left" vertical="center" wrapText="1"/>
    </xf>
    <xf numFmtId="0" fontId="61" fillId="0" borderId="1" xfId="1538" applyFont="1" applyBorder="1" applyAlignment="1">
      <alignment horizontal="center" vertical="center" shrinkToFit="1"/>
    </xf>
    <xf numFmtId="195" fontId="52" fillId="0" borderId="1" xfId="1538" applyNumberFormat="1" applyFont="1" applyBorder="1" applyAlignment="1">
      <alignment horizontal="center" vertical="center"/>
    </xf>
    <xf numFmtId="0" fontId="52" fillId="0" borderId="1" xfId="1538" applyFont="1" applyBorder="1" applyAlignment="1">
      <alignment vertical="center" wrapText="1"/>
    </xf>
    <xf numFmtId="0" fontId="52" fillId="0" borderId="1" xfId="1538" applyFont="1" applyBorder="1" applyAlignment="1">
      <alignment horizontal="center" vertical="center" wrapText="1"/>
    </xf>
    <xf numFmtId="0" fontId="62" fillId="0" borderId="1" xfId="1538" applyFont="1" applyBorder="1" applyAlignment="1">
      <alignment horizontal="center" vertical="center" wrapText="1"/>
    </xf>
    <xf numFmtId="192" fontId="62" fillId="0" borderId="1" xfId="1538" applyNumberFormat="1" applyFont="1" applyBorder="1" applyAlignment="1">
      <alignment vertical="center" wrapText="1"/>
    </xf>
    <xf numFmtId="0" fontId="13" fillId="0" borderId="0" xfId="1538" applyFont="1" applyAlignment="1">
      <alignment vertical="center"/>
    </xf>
    <xf numFmtId="192" fontId="13" fillId="0" borderId="1" xfId="1538" applyNumberFormat="1" applyFont="1" applyBorder="1" applyAlignment="1">
      <alignment vertical="center"/>
    </xf>
    <xf numFmtId="192" fontId="13" fillId="0" borderId="0" xfId="1538" applyNumberFormat="1" applyFont="1" applyAlignment="1">
      <alignment vertical="center"/>
    </xf>
    <xf numFmtId="0" fontId="59" fillId="7" borderId="1" xfId="1538" applyFont="1" applyFill="1" applyBorder="1" applyAlignment="1">
      <alignment horizontal="center" vertical="center" shrinkToFit="1"/>
    </xf>
    <xf numFmtId="191" fontId="59" fillId="7" borderId="1" xfId="1538" applyNumberFormat="1" applyFont="1" applyFill="1" applyBorder="1" applyAlignment="1">
      <alignment horizontal="center" vertical="center"/>
    </xf>
    <xf numFmtId="191" fontId="59" fillId="4" borderId="1" xfId="1538" applyNumberFormat="1" applyFont="1" applyFill="1" applyBorder="1" applyAlignment="1">
      <alignment horizontal="center" vertical="center"/>
    </xf>
    <xf numFmtId="0" fontId="58" fillId="7" borderId="1" xfId="1538" applyFont="1" applyFill="1" applyBorder="1" applyAlignment="1">
      <alignment horizontal="left" vertical="center" wrapText="1"/>
    </xf>
    <xf numFmtId="188" fontId="61" fillId="0" borderId="1" xfId="1538" applyNumberFormat="1" applyFont="1" applyBorder="1" applyAlignment="1">
      <alignment vertical="center"/>
    </xf>
    <xf numFmtId="188" fontId="52" fillId="0" borderId="1" xfId="1538" applyNumberFormat="1" applyFont="1" applyBorder="1" applyAlignment="1">
      <alignment horizontal="center" vertical="center"/>
    </xf>
    <xf numFmtId="193" fontId="62" fillId="0" borderId="1" xfId="1538" applyNumberFormat="1" applyFont="1" applyBorder="1" applyAlignment="1">
      <alignment horizontal="center" vertical="center"/>
    </xf>
    <xf numFmtId="193" fontId="62" fillId="0" borderId="1" xfId="1538" applyNumberFormat="1" applyFont="1" applyBorder="1" applyAlignment="1">
      <alignment vertical="center"/>
    </xf>
    <xf numFmtId="0" fontId="15" fillId="0" borderId="0" xfId="1538" applyFont="1" applyAlignment="1">
      <alignment vertical="center"/>
    </xf>
    <xf numFmtId="188" fontId="61" fillId="0" borderId="1" xfId="1538" applyNumberFormat="1" applyFont="1" applyBorder="1" applyAlignment="1">
      <alignment horizontal="center" vertical="center"/>
    </xf>
    <xf numFmtId="188" fontId="52" fillId="0" borderId="1" xfId="1538" applyNumberFormat="1" applyFont="1" applyBorder="1" applyAlignment="1">
      <alignment vertical="center"/>
    </xf>
    <xf numFmtId="193" fontId="63" fillId="0" borderId="1" xfId="1538" applyNumberFormat="1" applyFont="1" applyBorder="1" applyAlignment="1">
      <alignment vertical="center"/>
    </xf>
    <xf numFmtId="195" fontId="62" fillId="0" borderId="1" xfId="1538" applyNumberFormat="1" applyFont="1" applyBorder="1" applyAlignment="1">
      <alignment horizontal="center" vertical="center"/>
    </xf>
    <xf numFmtId="0" fontId="59" fillId="4" borderId="1" xfId="1538" applyFont="1" applyFill="1" applyBorder="1" applyAlignment="1">
      <alignment vertical="center"/>
    </xf>
    <xf numFmtId="190" fontId="59" fillId="4" borderId="1" xfId="1538" applyNumberFormat="1" applyFont="1" applyFill="1" applyBorder="1" applyAlignment="1">
      <alignment horizontal="center" vertical="center"/>
    </xf>
    <xf numFmtId="188" fontId="52" fillId="4" borderId="1" xfId="1538" applyNumberFormat="1" applyFont="1" applyFill="1" applyBorder="1" applyAlignment="1">
      <alignment vertical="center"/>
    </xf>
    <xf numFmtId="193" fontId="63" fillId="0" borderId="1" xfId="1538" applyNumberFormat="1" applyFont="1" applyBorder="1" applyAlignment="1">
      <alignment vertical="center" wrapText="1"/>
    </xf>
    <xf numFmtId="193" fontId="62" fillId="0" borderId="1" xfId="1538" applyNumberFormat="1" applyFont="1" applyBorder="1" applyAlignment="1">
      <alignment vertical="center" wrapText="1"/>
    </xf>
    <xf numFmtId="10" fontId="62" fillId="0" borderId="1" xfId="1538" applyNumberFormat="1" applyFont="1" applyBorder="1" applyAlignment="1">
      <alignment horizontal="center" vertical="center" wrapText="1"/>
    </xf>
    <xf numFmtId="193" fontId="64" fillId="0" borderId="0" xfId="1538" applyNumberFormat="1" applyFont="1" applyAlignment="1">
      <alignment vertical="center"/>
    </xf>
    <xf numFmtId="188" fontId="60" fillId="0" borderId="1" xfId="1538" applyNumberFormat="1" applyFont="1" applyBorder="1" applyAlignment="1">
      <alignment vertical="center"/>
    </xf>
    <xf numFmtId="188" fontId="59" fillId="0" borderId="1" xfId="1538" applyNumberFormat="1" applyFont="1" applyBorder="1" applyAlignment="1">
      <alignment vertical="center"/>
    </xf>
    <xf numFmtId="188" fontId="59" fillId="0" borderId="1" xfId="1538" applyNumberFormat="1" applyFont="1" applyBorder="1" applyAlignment="1">
      <alignment horizontal="center" vertical="center"/>
    </xf>
    <xf numFmtId="49" fontId="12" fillId="0" borderId="0" xfId="1538" applyNumberFormat="1" applyFont="1"/>
    <xf numFmtId="0" fontId="12" fillId="0" borderId="0" xfId="1538" applyFont="1" applyAlignment="1">
      <alignment horizontal="center"/>
    </xf>
    <xf numFmtId="196" fontId="12" fillId="0" borderId="0" xfId="1538" applyNumberFormat="1" applyFont="1" applyAlignment="1">
      <alignment horizontal="center"/>
    </xf>
    <xf numFmtId="196" fontId="12" fillId="0" borderId="0" xfId="1538" applyNumberFormat="1" applyFont="1"/>
    <xf numFmtId="0" fontId="12" fillId="0" borderId="0" xfId="1538" applyFont="1"/>
    <xf numFmtId="196" fontId="20" fillId="10" borderId="1" xfId="1538" applyNumberFormat="1" applyFont="1" applyFill="1" applyBorder="1" applyAlignment="1">
      <alignment horizontal="center" vertical="center"/>
    </xf>
    <xf numFmtId="0" fontId="12" fillId="0" borderId="0" xfId="1538" applyFont="1" applyAlignment="1">
      <alignment horizontal="center" vertical="center"/>
    </xf>
    <xf numFmtId="49" fontId="40" fillId="4" borderId="1" xfId="1538" applyNumberFormat="1" applyFont="1" applyFill="1" applyBorder="1" applyAlignment="1">
      <alignment vertical="center"/>
    </xf>
    <xf numFmtId="0" fontId="20" fillId="4" borderId="1" xfId="1538" applyFont="1" applyFill="1" applyBorder="1" applyAlignment="1">
      <alignment horizontal="center" vertical="center"/>
    </xf>
    <xf numFmtId="196" fontId="40" fillId="4" borderId="1" xfId="1538" applyNumberFormat="1" applyFont="1" applyFill="1" applyBorder="1" applyAlignment="1">
      <alignment horizontal="center" vertical="center"/>
    </xf>
    <xf numFmtId="196" fontId="40" fillId="4" borderId="1" xfId="1538" applyNumberFormat="1" applyFont="1" applyFill="1" applyBorder="1" applyAlignment="1">
      <alignment vertical="center"/>
    </xf>
    <xf numFmtId="0" fontId="40" fillId="13" borderId="1" xfId="1538" applyFont="1" applyFill="1" applyBorder="1" applyAlignment="1">
      <alignment horizontal="center" vertical="center"/>
    </xf>
    <xf numFmtId="196" fontId="40" fillId="13" borderId="1" xfId="1538" applyNumberFormat="1" applyFont="1" applyFill="1" applyBorder="1" applyAlignment="1">
      <alignment horizontal="center" vertical="center"/>
    </xf>
    <xf numFmtId="196" fontId="40" fillId="13" borderId="1" xfId="1538" applyNumberFormat="1" applyFont="1" applyFill="1" applyBorder="1" applyAlignment="1">
      <alignment vertical="center"/>
    </xf>
    <xf numFmtId="49" fontId="40" fillId="13" borderId="1" xfId="1538" applyNumberFormat="1" applyFont="1" applyFill="1" applyBorder="1" applyAlignment="1">
      <alignment vertical="center"/>
    </xf>
    <xf numFmtId="196" fontId="20" fillId="4" borderId="1" xfId="1538" applyNumberFormat="1" applyFont="1" applyFill="1" applyBorder="1" applyAlignment="1">
      <alignment horizontal="center" vertical="center"/>
    </xf>
    <xf numFmtId="0" fontId="40" fillId="8" borderId="1" xfId="1538" applyFont="1" applyFill="1" applyBorder="1" applyAlignment="1">
      <alignment horizontal="center" vertical="center"/>
    </xf>
    <xf numFmtId="196" fontId="40" fillId="8" borderId="1" xfId="1538" applyNumberFormat="1" applyFont="1" applyFill="1" applyBorder="1" applyAlignment="1">
      <alignment horizontal="center" vertical="center"/>
    </xf>
    <xf numFmtId="196" fontId="40" fillId="8" borderId="1" xfId="1538" applyNumberFormat="1" applyFont="1" applyFill="1" applyBorder="1" applyAlignment="1">
      <alignment vertical="center"/>
    </xf>
    <xf numFmtId="49" fontId="40" fillId="8" borderId="1" xfId="1538" applyNumberFormat="1" applyFont="1" applyFill="1" applyBorder="1" applyAlignment="1">
      <alignment vertical="center"/>
    </xf>
    <xf numFmtId="49" fontId="40" fillId="0" borderId="0" xfId="1538" applyNumberFormat="1" applyFont="1"/>
    <xf numFmtId="0" fontId="40" fillId="0" borderId="0" xfId="1538" applyFont="1" applyAlignment="1">
      <alignment horizontal="center"/>
    </xf>
    <xf numFmtId="193" fontId="40" fillId="0" borderId="0" xfId="1538" applyNumberFormat="1" applyFont="1"/>
    <xf numFmtId="196" fontId="40" fillId="0" borderId="0" xfId="1538" applyNumberFormat="1" applyFont="1"/>
    <xf numFmtId="49" fontId="40" fillId="0" borderId="0" xfId="1538" applyNumberFormat="1" applyFont="1" applyAlignment="1">
      <alignment horizontal="center"/>
    </xf>
    <xf numFmtId="0" fontId="40" fillId="0" borderId="0" xfId="1538" applyFont="1"/>
    <xf numFmtId="193" fontId="60" fillId="10" borderId="1" xfId="1538" applyNumberFormat="1" applyFont="1" applyFill="1" applyBorder="1" applyAlignment="1">
      <alignment horizontal="center" vertical="center"/>
    </xf>
    <xf numFmtId="196" fontId="60" fillId="10" borderId="1" xfId="1538" applyNumberFormat="1" applyFont="1" applyFill="1" applyBorder="1" applyAlignment="1">
      <alignment horizontal="center" vertical="center"/>
    </xf>
    <xf numFmtId="49" fontId="20" fillId="0" borderId="1" xfId="1538" applyNumberFormat="1" applyFont="1" applyBorder="1" applyAlignment="1">
      <alignment vertical="center"/>
    </xf>
    <xf numFmtId="49" fontId="40" fillId="0" borderId="1" xfId="1538" applyNumberFormat="1" applyFont="1" applyBorder="1" applyAlignment="1">
      <alignment vertical="center"/>
    </xf>
    <xf numFmtId="0" fontId="40" fillId="0" borderId="1" xfId="1538" applyFont="1" applyBorder="1" applyAlignment="1">
      <alignment horizontal="center" vertical="center"/>
    </xf>
    <xf numFmtId="0" fontId="40" fillId="4" borderId="1" xfId="1538" applyFont="1" applyFill="1" applyBorder="1" applyAlignment="1">
      <alignment vertical="center"/>
    </xf>
    <xf numFmtId="0" fontId="20" fillId="4" borderId="1" xfId="1538" applyFont="1" applyFill="1" applyBorder="1" applyAlignment="1">
      <alignment vertical="center"/>
    </xf>
    <xf numFmtId="49" fontId="20" fillId="0" borderId="1" xfId="1538" applyNumberFormat="1" applyFont="1" applyBorder="1" applyAlignment="1">
      <alignment vertical="center" shrinkToFit="1"/>
    </xf>
    <xf numFmtId="49" fontId="40" fillId="0" borderId="1" xfId="1538" applyNumberFormat="1" applyFont="1" applyBorder="1" applyAlignment="1">
      <alignment vertical="center" shrinkToFit="1"/>
    </xf>
    <xf numFmtId="49" fontId="20" fillId="4" borderId="1" xfId="1538" applyNumberFormat="1" applyFont="1" applyFill="1" applyBorder="1" applyAlignment="1">
      <alignment vertical="center"/>
    </xf>
    <xf numFmtId="0" fontId="20" fillId="0" borderId="1" xfId="1538" applyFont="1" applyBorder="1" applyAlignment="1">
      <alignment horizontal="center" vertical="center" shrinkToFit="1"/>
    </xf>
    <xf numFmtId="0" fontId="20" fillId="0" borderId="1" xfId="1538" applyFont="1" applyBorder="1" applyAlignment="1">
      <alignment horizontal="center" vertical="center"/>
    </xf>
    <xf numFmtId="193" fontId="40" fillId="13" borderId="1" xfId="1538" applyNumberFormat="1" applyFont="1" applyFill="1" applyBorder="1" applyAlignment="1">
      <alignment vertical="center"/>
    </xf>
    <xf numFmtId="0" fontId="40" fillId="0" borderId="1" xfId="1538" applyFont="1" applyBorder="1" applyAlignment="1">
      <alignment horizontal="center" vertical="center" shrinkToFit="1"/>
    </xf>
    <xf numFmtId="0" fontId="40" fillId="4" borderId="0" xfId="1538" applyFont="1" applyFill="1"/>
    <xf numFmtId="187" fontId="40" fillId="4" borderId="1" xfId="1538" applyNumberFormat="1" applyFont="1" applyFill="1" applyBorder="1" applyAlignment="1">
      <alignment vertical="center"/>
    </xf>
    <xf numFmtId="49" fontId="40" fillId="0" borderId="1" xfId="1538" applyNumberFormat="1" applyFont="1" applyBorder="1" applyAlignment="1">
      <alignment shrinkToFit="1"/>
    </xf>
    <xf numFmtId="187" fontId="40" fillId="0" borderId="1" xfId="1538" applyNumberFormat="1" applyFont="1" applyBorder="1" applyAlignment="1">
      <alignment vertical="center" shrinkToFit="1"/>
    </xf>
    <xf numFmtId="187" fontId="40" fillId="0" borderId="1" xfId="1538" applyNumberFormat="1" applyFont="1" applyBorder="1" applyAlignment="1">
      <alignment vertical="center"/>
    </xf>
    <xf numFmtId="0" fontId="40" fillId="4" borderId="6" xfId="1538" applyFont="1" applyFill="1" applyBorder="1" applyAlignment="1">
      <alignment vertical="center"/>
    </xf>
    <xf numFmtId="0" fontId="40" fillId="4" borderId="4" xfId="1538" applyFont="1" applyFill="1" applyBorder="1" applyAlignment="1">
      <alignment horizontal="center" vertical="center"/>
    </xf>
    <xf numFmtId="0" fontId="18" fillId="3" borderId="1" xfId="1538" applyFont="1" applyFill="1" applyBorder="1" applyAlignment="1">
      <alignment horizontal="center" vertical="center"/>
    </xf>
    <xf numFmtId="0" fontId="18" fillId="0" borderId="1" xfId="1538" applyFont="1" applyBorder="1" applyAlignment="1">
      <alignment horizontal="right" vertical="center" textRotation="255"/>
    </xf>
    <xf numFmtId="0" fontId="20" fillId="0" borderId="1" xfId="1538" applyFont="1" applyBorder="1" applyAlignment="1">
      <alignment horizontal="right" vertical="center" textRotation="255"/>
    </xf>
    <xf numFmtId="0" fontId="20" fillId="0" borderId="1" xfId="1538" applyFont="1" applyBorder="1" applyAlignment="1">
      <alignment horizontal="distributed" vertical="center" indent="1"/>
    </xf>
    <xf numFmtId="0" fontId="18" fillId="3" borderId="1" xfId="1538" applyFont="1" applyFill="1" applyBorder="1" applyAlignment="1">
      <alignment horizontal="distributed" vertical="center" indent="1"/>
    </xf>
    <xf numFmtId="0" fontId="24" fillId="3" borderId="1" xfId="1538" applyFont="1" applyFill="1" applyBorder="1" applyAlignment="1">
      <alignment horizontal="distributed" vertical="center" indent="1"/>
    </xf>
    <xf numFmtId="0" fontId="18" fillId="0" borderId="1" xfId="1538" applyFont="1" applyBorder="1" applyAlignment="1">
      <alignment horizontal="right" vertical="center" textRotation="255" shrinkToFit="1"/>
    </xf>
    <xf numFmtId="0" fontId="27" fillId="0" borderId="0" xfId="1538" applyFont="1" applyAlignment="1">
      <alignment horizontal="center" vertical="center"/>
    </xf>
    <xf numFmtId="193" fontId="28" fillId="0" borderId="0" xfId="1538" applyNumberFormat="1" applyFont="1" applyAlignment="1">
      <alignment vertical="center"/>
    </xf>
    <xf numFmtId="193" fontId="29" fillId="5" borderId="1" xfId="1538" applyNumberFormat="1" applyFont="1" applyFill="1" applyBorder="1" applyAlignment="1">
      <alignment horizontal="center" vertical="center"/>
    </xf>
    <xf numFmtId="0" fontId="27" fillId="0" borderId="2" xfId="1538" applyFont="1" applyBorder="1" applyAlignment="1">
      <alignment horizontal="center" vertical="center"/>
    </xf>
    <xf numFmtId="193" fontId="28" fillId="0" borderId="3" xfId="1538" applyNumberFormat="1" applyFont="1" applyBorder="1" applyAlignment="1">
      <alignment vertical="center"/>
    </xf>
    <xf numFmtId="0" fontId="37" fillId="6" borderId="1" xfId="1538" applyFont="1" applyFill="1" applyBorder="1" applyAlignment="1">
      <alignment horizontal="center" vertical="center"/>
    </xf>
    <xf numFmtId="193" fontId="37" fillId="6" borderId="1" xfId="1538" applyNumberFormat="1" applyFont="1" applyFill="1" applyBorder="1" applyAlignment="1">
      <alignment horizontal="center" vertical="center"/>
    </xf>
    <xf numFmtId="193" fontId="36" fillId="0" borderId="5" xfId="1538" applyNumberFormat="1" applyFont="1" applyBorder="1" applyAlignment="1">
      <alignment horizontal="left" vertical="center"/>
    </xf>
    <xf numFmtId="193" fontId="37" fillId="5" borderId="1" xfId="1538" applyNumberFormat="1" applyFont="1" applyFill="1" applyBorder="1" applyAlignment="1">
      <alignment horizontal="center" vertical="center"/>
    </xf>
    <xf numFmtId="193" fontId="24" fillId="5" borderId="1" xfId="1538" applyNumberFormat="1" applyFont="1" applyFill="1" applyBorder="1" applyAlignment="1">
      <alignment horizontal="center" vertical="center"/>
    </xf>
    <xf numFmtId="0" fontId="47" fillId="0" borderId="0" xfId="1538" applyFont="1" applyAlignment="1">
      <alignment horizontal="center" vertical="center"/>
    </xf>
    <xf numFmtId="0" fontId="50" fillId="9" borderId="1" xfId="1538" applyFont="1" applyFill="1" applyBorder="1" applyAlignment="1">
      <alignment horizontal="center" vertical="center"/>
    </xf>
    <xf numFmtId="0" fontId="53" fillId="0" borderId="0" xfId="1538" applyFont="1" applyAlignment="1">
      <alignment horizontal="center" vertical="center"/>
    </xf>
    <xf numFmtId="0" fontId="57" fillId="0" borderId="1" xfId="1538" applyFont="1" applyBorder="1" applyAlignment="1">
      <alignment horizontal="center" vertical="center"/>
    </xf>
    <xf numFmtId="3" fontId="57" fillId="0" borderId="1" xfId="1538" applyNumberFormat="1" applyFont="1" applyBorder="1" applyAlignment="1">
      <alignment horizontal="center" vertical="center"/>
    </xf>
    <xf numFmtId="0" fontId="57" fillId="0" borderId="1" xfId="1538" applyFont="1" applyBorder="1" applyAlignment="1">
      <alignment horizontal="center" vertical="center" wrapText="1"/>
    </xf>
    <xf numFmtId="49" fontId="44" fillId="4" borderId="5" xfId="1538" applyNumberFormat="1" applyFont="1" applyFill="1" applyBorder="1"/>
    <xf numFmtId="49" fontId="20" fillId="10" borderId="1" xfId="1538" applyNumberFormat="1" applyFont="1" applyFill="1" applyBorder="1" applyAlignment="1">
      <alignment horizontal="center" vertical="center"/>
    </xf>
    <xf numFmtId="0" fontId="20" fillId="10" borderId="1" xfId="1538" applyFont="1" applyFill="1" applyBorder="1" applyAlignment="1">
      <alignment horizontal="center" vertical="center"/>
    </xf>
    <xf numFmtId="196" fontId="20" fillId="10" borderId="1" xfId="1538" applyNumberFormat="1" applyFont="1" applyFill="1" applyBorder="1" applyAlignment="1">
      <alignment horizontal="center" vertical="center"/>
    </xf>
    <xf numFmtId="49" fontId="40" fillId="4" borderId="1" xfId="1538" applyNumberFormat="1" applyFont="1" applyFill="1" applyBorder="1" applyAlignment="1">
      <alignment vertical="center"/>
    </xf>
    <xf numFmtId="49" fontId="40" fillId="4" borderId="1" xfId="1538" applyNumberFormat="1" applyFont="1" applyFill="1" applyBorder="1" applyAlignment="1">
      <alignment horizontal="left" vertical="center"/>
    </xf>
    <xf numFmtId="49" fontId="40" fillId="13" borderId="1" xfId="1538" applyNumberFormat="1" applyFont="1" applyFill="1" applyBorder="1" applyAlignment="1">
      <alignment horizontal="left" vertical="center"/>
    </xf>
    <xf numFmtId="49" fontId="20" fillId="8" borderId="1" xfId="1538" applyNumberFormat="1" applyFont="1" applyFill="1" applyBorder="1" applyAlignment="1">
      <alignment horizontal="center" vertical="center"/>
    </xf>
    <xf numFmtId="49" fontId="60" fillId="10" borderId="1" xfId="1538" applyNumberFormat="1" applyFont="1" applyFill="1" applyBorder="1" applyAlignment="1">
      <alignment horizontal="center" vertical="center"/>
    </xf>
    <xf numFmtId="0" fontId="60" fillId="10" borderId="1" xfId="1538" applyFont="1" applyFill="1" applyBorder="1" applyAlignment="1">
      <alignment horizontal="center" vertical="center"/>
    </xf>
    <xf numFmtId="193" fontId="60" fillId="10" borderId="1" xfId="1538" applyNumberFormat="1" applyFont="1" applyFill="1" applyBorder="1" applyAlignment="1">
      <alignment horizontal="center" vertical="center"/>
    </xf>
    <xf numFmtId="196" fontId="60" fillId="10" borderId="1" xfId="1538" applyNumberFormat="1" applyFont="1" applyFill="1" applyBorder="1" applyAlignment="1">
      <alignment horizontal="center" vertical="center"/>
    </xf>
    <xf numFmtId="49" fontId="40" fillId="8" borderId="1" xfId="1538" applyNumberFormat="1" applyFont="1" applyFill="1" applyBorder="1" applyAlignment="1">
      <alignment vertical="center"/>
    </xf>
  </cellXfs>
  <cellStyles count="35628">
    <cellStyle name="_x0001_" xfId="2"/>
    <cellStyle name="_x0004_" xfId="15"/>
    <cellStyle name="_x0012_" xfId="31"/>
    <cellStyle name="_x0014_" xfId="32"/>
    <cellStyle name=" " xfId="35"/>
    <cellStyle name="' '" xfId="4913"/>
    <cellStyle name="          _x000d__x000a_386grabber=vga.3gr_x000d__x000a_" xfId="36"/>
    <cellStyle name="          _x000d__x000a_386grabber=vga.3gr_x000d__x000a_ 2" xfId="37"/>
    <cellStyle name="          _x000d__x000a_mouse.drv=lmouse.drv" xfId="38"/>
    <cellStyle name="  10" xfId="39"/>
    <cellStyle name="  11" xfId="40"/>
    <cellStyle name="  12" xfId="41"/>
    <cellStyle name="  13" xfId="42"/>
    <cellStyle name="  14" xfId="43"/>
    <cellStyle name="  15" xfId="44"/>
    <cellStyle name="  2" xfId="45"/>
    <cellStyle name="' ' 2" xfId="4914"/>
    <cellStyle name="  3" xfId="46"/>
    <cellStyle name="  4" xfId="47"/>
    <cellStyle name="  5" xfId="48"/>
    <cellStyle name="  5 2" xfId="49"/>
    <cellStyle name="  5 3" xfId="50"/>
    <cellStyle name="  5 4" xfId="51"/>
    <cellStyle name="  5 5" xfId="52"/>
    <cellStyle name="  5 6" xfId="53"/>
    <cellStyle name="  5 7" xfId="54"/>
    <cellStyle name="  6" xfId="55"/>
    <cellStyle name="  7" xfId="56"/>
    <cellStyle name="  8" xfId="57"/>
    <cellStyle name="  9" xfId="58"/>
    <cellStyle name=" _0 영흥34-연돌-수량산출서2006.06.04" xfId="63"/>
    <cellStyle name=" _1 당진78-연돌-공사설계서(REV.0 12.14-kopec)" xfId="64"/>
    <cellStyle name=" _1.0t 당진78-연돌-수량산출서(REV.0 12.27-kopec)" xfId="65"/>
    <cellStyle name=" _20030218144011020-E1C865BF" xfId="66"/>
    <cellStyle name=" _20030221140423820-A5C865BF" xfId="67"/>
    <cellStyle name=" _20030221140423820-A5C865BF_AC-01 보일러 설계서 수정" xfId="68"/>
    <cellStyle name=" _20030221140423820-A5C865BF_AC-01 보일러 설계서 수정_AC-14(최종수정)" xfId="69"/>
    <cellStyle name=" _20030221140423820-A5C865BF_AC-01 보일러 설계서 수정_AC-14(최종수정)_Book1" xfId="70"/>
    <cellStyle name=" _20030221140423820-A5C865BF_AC-01 보일러 설계서 수정_AC-14(최종수정)_고압전동기정비건물설계서(남동안)-1" xfId="71"/>
    <cellStyle name=" _20030221140423820-A5C865BF_AC-01 보일러 설계서 수정_AC-14(최종수정)_발전설비 보수공사" xfId="72"/>
    <cellStyle name=" _20030221140423820-A5C865BF_AC-01 보일러 설계서 수정_AC-14(최종수정)_발전설비 보수공사_Book1" xfId="73"/>
    <cellStyle name=" _20030221140423820-A5C865BF_AC-01 보일러 설계서 수정_AC-14(최종수정)_발전설비 보수공사_고압전동기정비건물설계서(남동안)-1" xfId="74"/>
    <cellStyle name=" _20030221140423820-A5C865BF_AC-01 보일러 설계서 수정_Book1" xfId="75"/>
    <cellStyle name=" _20030221140423820-A5C865BF_AC-01 보일러 설계서 수정_고압전동기정비건물설계서(남동안)-1" xfId="76"/>
    <cellStyle name=" _20030221140423820-A5C865BF_AC-01 본관기초(가설계서 9월단가)" xfId="77"/>
    <cellStyle name=" _20030221140423820-A5C865BF_AC-01 본관기초(가설계서 9월단가)_AC-14(최종수정)" xfId="87"/>
    <cellStyle name=" _20030221140423820-A5C865BF_AC-01 본관기초(가설계서 9월단가)_AC-14(최종수정)_Book1" xfId="88"/>
    <cellStyle name=" _20030221140423820-A5C865BF_AC-01 본관기초(가설계서 9월단가)_AC-14(최종수정)_고압전동기정비건물설계서(남동안)-1" xfId="89"/>
    <cellStyle name=" _20030221140423820-A5C865BF_AC-01 본관기초(가설계서 9월단가)_AC-14(최종수정)_발전설비 보수공사" xfId="90"/>
    <cellStyle name=" _20030221140423820-A5C865BF_AC-01 본관기초(가설계서 9월단가)_AC-14(최종수정)_발전설비 보수공사_Book1" xfId="91"/>
    <cellStyle name=" _20030221140423820-A5C865BF_AC-01 본관기초(가설계서 9월단가)_AC-14(최종수정)_발전설비 보수공사_고압전동기정비건물설계서(남동안)-1" xfId="92"/>
    <cellStyle name=" _20030221140423820-A5C865BF_AC-01 본관기초(가설계서 9월단가)_Book1" xfId="93"/>
    <cellStyle name=" _20030221140423820-A5C865BF_AC-01 본관기초(가설계서 9월단가)_고압전동기정비건물설계서(남동안)-1" xfId="94"/>
    <cellStyle name=" _20030221140423820-A5C865BF_AC-01 본관기초(가설계서 9월단가)-2" xfId="78"/>
    <cellStyle name=" _20030221140423820-A5C865BF_AC-01 본관기초(가설계서 9월단가)-2_AC-14(최종수정)" xfId="79"/>
    <cellStyle name=" _20030221140423820-A5C865BF_AC-01 본관기초(가설계서 9월단가)-2_AC-14(최종수정)_Book1" xfId="80"/>
    <cellStyle name=" _20030221140423820-A5C865BF_AC-01 본관기초(가설계서 9월단가)-2_AC-14(최종수정)_고압전동기정비건물설계서(남동안)-1" xfId="81"/>
    <cellStyle name=" _20030221140423820-A5C865BF_AC-01 본관기초(가설계서 9월단가)-2_AC-14(최종수정)_발전설비 보수공사" xfId="82"/>
    <cellStyle name=" _20030221140423820-A5C865BF_AC-01 본관기초(가설계서 9월단가)-2_AC-14(최종수정)_발전설비 보수공사_Book1" xfId="83"/>
    <cellStyle name=" _20030221140423820-A5C865BF_AC-01 본관기초(가설계서 9월단가)-2_AC-14(최종수정)_발전설비 보수공사_고압전동기정비건물설계서(남동안)-1" xfId="84"/>
    <cellStyle name=" _20030221140423820-A5C865BF_AC-01 본관기초(가설계서 9월단가)-2_Book1" xfId="85"/>
    <cellStyle name=" _20030221140423820-A5C865BF_AC-01 본관기초(가설계서 9월단가)-2_고압전동기정비건물설계서(남동안)-1" xfId="86"/>
    <cellStyle name=" _20030221140423820-A5C865BF_AC-14건설사무소환경개선공사설계서(제출)REV10" xfId="95"/>
    <cellStyle name=" _20030221140423820-A5C865BF_AC-14건설사무소환경개선공사설계서(제출)REV10_AC-14(최종수정)" xfId="96"/>
    <cellStyle name=" _20030221140423820-A5C865BF_AC-14건설사무소환경개선공사설계서(제출)REV10_AC-14(최종수정)_Book1" xfId="97"/>
    <cellStyle name=" _20030221140423820-A5C865BF_AC-14건설사무소환경개선공사설계서(제출)REV10_AC-14(최종수정)_고압전동기정비건물설계서(남동안)-1" xfId="98"/>
    <cellStyle name=" _20030221140423820-A5C865BF_AC-14건설사무소환경개선공사설계서(제출)REV10_AC-14(최종수정)_발전설비 보수공사" xfId="99"/>
    <cellStyle name=" _20030221140423820-A5C865BF_AC-14건설사무소환경개선공사설계서(제출)REV10_AC-14(최종수정)_발전설비 보수공사_Book1" xfId="100"/>
    <cellStyle name=" _20030221140423820-A5C865BF_AC-14건설사무소환경개선공사설계서(제출)REV10_AC-14(최종수정)_발전설비 보수공사_고압전동기정비건물설계서(남동안)-1" xfId="101"/>
    <cellStyle name=" _20030221140423820-A5C865BF_AC-14건설사무소환경개선공사설계서(제출)REV10_Book1" xfId="102"/>
    <cellStyle name=" _20030221140423820-A5C865BF_AC-14건설사무소환경개선공사설계서(제출)REV10_고압전동기정비건물설계서(남동안)-1" xfId="103"/>
    <cellStyle name=" _20030221140423820-A5C865BF_Book1" xfId="104"/>
    <cellStyle name=" _20030221140423820-A5C865BF_PRP-500 TYPE" xfId="105"/>
    <cellStyle name=" _20030221140423820-A5C865BF_Songdo Convention Center 신축공사(060106제출수정본)" xfId="106"/>
    <cellStyle name=" _20030221140423820-A5C865BF_고압전동기정비건물설계서(남동안)-1" xfId="107"/>
    <cellStyle name=" _20030221140423820-A5C865BF_공사비집계표" xfId="108"/>
    <cellStyle name=" _20030221140423820-A5C865BF_공사비집계표(품의용)" xfId="109"/>
    <cellStyle name=" _20030221140423820-A5C865BF_공사비집계표(품의용)_PRP-500 TYPE" xfId="110"/>
    <cellStyle name=" _20030221140423820-A5C865BF_공사비집계표(품의용)_남부, 석산정거장(익진ENG 실행)" xfId="111"/>
    <cellStyle name=" _20030221140423820-A5C865BF_공사비집계표(품의용)_남부, 석산정거장PRP-500(Double)내역포함" xfId="112"/>
    <cellStyle name=" _20030221140423820-A5C865BF_공사비집계표(품의용)_양차장님(PRP, MOZART)" xfId="113"/>
    <cellStyle name=" _20030221140423820-A5C865BF_공사비집계표(품의용)_양차장님(PRP, MOZART)_양차장님LINER 벽체단가(PRP, MOZART,사면절곡)" xfId="114"/>
    <cellStyle name=" _20030221140423820-A5C865BF_공사비집계표_AC-14(최종수정)" xfId="115"/>
    <cellStyle name=" _20030221140423820-A5C865BF_공사비집계표_AC-14(최종수정)_Book1" xfId="116"/>
    <cellStyle name=" _20030221140423820-A5C865BF_공사비집계표_AC-14(최종수정)_고압전동기정비건물설계서(남동안)-1" xfId="117"/>
    <cellStyle name=" _20030221140423820-A5C865BF_공사비집계표_AC-14(최종수정)_발전설비 보수공사" xfId="118"/>
    <cellStyle name=" _20030221140423820-A5C865BF_공사비집계표_AC-14(최종수정)_발전설비 보수공사_Book1" xfId="119"/>
    <cellStyle name=" _20030221140423820-A5C865BF_공사비집계표_AC-14(최종수정)_발전설비 보수공사_고압전동기정비건물설계서(남동안)-1" xfId="120"/>
    <cellStyle name=" _20030221140423820-A5C865BF_공사비집계표_Book1" xfId="121"/>
    <cellStyle name=" _20030221140423820-A5C865BF_공사비집계표_고압전동기정비건물설계서(남동안)-1" xfId="122"/>
    <cellStyle name=" _20030221140423820-A5C865BF_남부, 석산정거장(익진ENG 실행)" xfId="123"/>
    <cellStyle name=" _20030221140423820-A5C865BF_남부, 석산정거장PRP-500(Double)내역포함" xfId="124"/>
    <cellStyle name=" _20030221140423820-A5C865BF_발전설비 보수공사" xfId="125"/>
    <cellStyle name=" _20030221140423820-A5C865BF_발전설비 보수공사_Book1" xfId="126"/>
    <cellStyle name=" _20030221140423820-A5C865BF_발전설비 보수공사_고압전동기정비건물설계서(남동안)-1" xfId="127"/>
    <cellStyle name=" _20030221140423820-A5C865BF_보일러판넬현장설명회(배부용)" xfId="128"/>
    <cellStyle name=" _20030221140423820-A5C865BF_양차장님(PRP, MOZART)" xfId="129"/>
    <cellStyle name=" _20030221140423820-A5C865BF_양차장님(PRP, MOZART)_양차장님LINER 벽체단가(PRP, MOZART,사면절곡)" xfId="130"/>
    <cellStyle name=" _20030221140423820-A5C865BF_영흥#3,4 터빈발전기기초(AC-04)" xfId="131"/>
    <cellStyle name=" _20030221140423820-A5C865BF_영흥#3,4 터빈발전기기초(AC-04)_고압전동기정비건물설계서(남동안)-1" xfId="132"/>
    <cellStyle name=" _20030221140423820-A5C865BF_추가품셈1-박" xfId="133"/>
    <cellStyle name=" _20030221140423820-A5C865BF_추가품셈1-박_PRP-500 TYPE" xfId="134"/>
    <cellStyle name=" _20030221140423820-A5C865BF_추가품셈1-박_남부, 석산정거장(익진ENG 실행)" xfId="135"/>
    <cellStyle name=" _20030221140423820-A5C865BF_추가품셈1-박_남부, 석산정거장PRP-500(Double)내역포함" xfId="136"/>
    <cellStyle name=" _20030221140423820-A5C865BF_추가품셈1-박_양차장님(PRP, MOZART)" xfId="137"/>
    <cellStyle name=" _20030221140423820-A5C865BF_추가품셈1-박_양차장님(PRP, MOZART)_양차장님LINER 벽체단가(PRP, MOZART,사면절곡)" xfId="138"/>
    <cellStyle name=" _2008.5.7내역서및 공사정산서" xfId="139"/>
    <cellStyle name=" _329전기설비기초-비교" xfId="140"/>
    <cellStyle name=" _7,8물량반영-전기설비기초0224" xfId="141"/>
    <cellStyle name=" _8월 기성" xfId="142"/>
    <cellStyle name=" _8월 기성_영흥_3,4 가스창고신축(AC-08)확정-샘플내역서" xfId="143"/>
    <cellStyle name=" _97연말" xfId="144"/>
    <cellStyle name=" _97연말_2008.5.7내역서및 공사정산서" xfId="155"/>
    <cellStyle name=" _97연말_Book1" xfId="156"/>
    <cellStyle name=" _97연말_건축주기성청구서1회분" xfId="157"/>
    <cellStyle name=" _97연말_경민기계" xfId="158"/>
    <cellStyle name=" _97연말_기성청구1차" xfId="159"/>
    <cellStyle name=" _97연말_기성청구2차" xfId="160"/>
    <cellStyle name=" _97연말_모락스(엠에스 디스트리파크) 기계설비(송부용)" xfId="161"/>
    <cellStyle name=" _97연말_수리초설비제출=091218" xfId="162"/>
    <cellStyle name=" _97연말_자곡동-내역서" xfId="163"/>
    <cellStyle name=" _97연말1" xfId="145"/>
    <cellStyle name=" _97연말1_2008.5.7내역서및 공사정산서" xfId="146"/>
    <cellStyle name=" _97연말1_Book1" xfId="147"/>
    <cellStyle name=" _97연말1_건축주기성청구서1회분" xfId="148"/>
    <cellStyle name=" _97연말1_경민기계" xfId="149"/>
    <cellStyle name=" _97연말1_기성청구1차" xfId="150"/>
    <cellStyle name=" _97연말1_기성청구2차" xfId="151"/>
    <cellStyle name=" _97연말1_모락스(엠에스 디스트리파크) 기계설비(송부용)" xfId="152"/>
    <cellStyle name=" _97연말1_수리초설비제출=091218" xfId="153"/>
    <cellStyle name=" _97연말1_자곡동-내역서" xfId="154"/>
    <cellStyle name=" _AC-01 계획서" xfId="164"/>
    <cellStyle name=" _AC-01 보일러 설계서 수정" xfId="165"/>
    <cellStyle name=" _AC-01 보일러 설계서 수정_1-온배수 양식장 가설계서" xfId="166"/>
    <cellStyle name=" _AC-01 보일러 설계서 수정_AC-14(최종수정)" xfId="167"/>
    <cellStyle name=" _AC-01 보일러 설계서 수정_AC-14(최종수정)_1-온배수 양식장 가설계서" xfId="168"/>
    <cellStyle name=" _AC-01 보일러 설계서 수정_AC-14(최종수정)_Book1" xfId="169"/>
    <cellStyle name=" _AC-01 보일러 설계서 수정_AC-14(최종수정)_경상정비 가설계서(12.07)" xfId="170"/>
    <cellStyle name=" _AC-01 보일러 설계서 수정_AC-14(최종수정)_경상정비 설계서(최종결재본)" xfId="171"/>
    <cellStyle name=" _AC-01 보일러 설계서 수정_AC-14(최종수정)_경상정비 설계서(최종분11월19)" xfId="172"/>
    <cellStyle name=" _AC-01 보일러 설계서 수정_AC-14(최종수정)_발전설비 보수공사" xfId="173"/>
    <cellStyle name=" _AC-01 보일러 설계서 수정_AC-14(최종수정)_발전설비 보수공사_1-온배수 양식장 가설계서" xfId="174"/>
    <cellStyle name=" _AC-01 보일러 설계서 수정_AC-14(최종수정)_발전설비 보수공사_Book1" xfId="175"/>
    <cellStyle name=" _AC-01 보일러 설계서 수정_AC-14(최종수정)_발전설비 보수공사_경상정비 가설계서(12.07)" xfId="176"/>
    <cellStyle name=" _AC-01 보일러 설계서 수정_AC-14(최종수정)_발전설비 보수공사_경상정비 설계서(최종결재본)" xfId="177"/>
    <cellStyle name=" _AC-01 보일러 설계서 수정_AC-14(최종수정)_발전설비 보수공사_경상정비 설계서(최종분11월19)" xfId="178"/>
    <cellStyle name=" _AC-01 보일러 설계서 수정_AC-14(최종수정)_발전설비 보수공사_부품" xfId="179"/>
    <cellStyle name=" _AC-01 보일러 설계서 수정_AC-14(최종수정)_부품" xfId="180"/>
    <cellStyle name=" _AC-01 보일러 설계서 수정_Book1" xfId="181"/>
    <cellStyle name=" _AC-01 보일러 설계서 수정_경상정비 가설계서(12.07)" xfId="182"/>
    <cellStyle name=" _AC-01 보일러 설계서 수정_경상정비 설계서(최종결재본)" xfId="183"/>
    <cellStyle name=" _AC-01 보일러 설계서 수정_경상정비 설계서(최종분11월19)" xfId="184"/>
    <cellStyle name=" _AC-01 보일러 설계서 수정_부품" xfId="185"/>
    <cellStyle name=" _AC-01 보일러 설계서(최종확정)" xfId="186"/>
    <cellStyle name=" _AC-01 보일러 설계서(최종확정)_1-온배수 양식장 가설계서" xfId="187"/>
    <cellStyle name=" _AC-01 보일러 설계서(최종확정)_경상정비 가설계서(12.07)" xfId="188"/>
    <cellStyle name=" _AC-01 보일러 설계서(최종확정)_경상정비 설계서(최종결재본)" xfId="189"/>
    <cellStyle name=" _AC-01 보일러 설계서(최종확정)_경상정비 설계서(최종분11월19)" xfId="190"/>
    <cellStyle name=" _AC-01 보일러 설계서(최종확정)_부품" xfId="191"/>
    <cellStyle name=" _AC-01 본관기초(가설계서 9월단가)" xfId="192"/>
    <cellStyle name=" _AC-01 본관기초(가설계서 9월단가)_1-온배수 양식장 가설계서" xfId="235"/>
    <cellStyle name=" _AC-01 본관기초(가설계서 9월단가)_AC-14(최종수정)" xfId="236"/>
    <cellStyle name=" _AC-01 본관기초(가설계서 9월단가)_AC-14(최종수정) 2" xfId="237"/>
    <cellStyle name=" _AC-01 본관기초(가설계서 9월단가)_AC-14(최종수정)_1-온배수 양식장 가설계서" xfId="238"/>
    <cellStyle name=" _AC-01 본관기초(가설계서 9월단가)_AC-14(최종수정)_1-온배수 양식장 가설계서 2" xfId="239"/>
    <cellStyle name=" _AC-01 본관기초(가설계서 9월단가)_AC-14(최종수정)_Book1" xfId="240"/>
    <cellStyle name=" _AC-01 본관기초(가설계서 9월단가)_AC-14(최종수정)_Book1 2" xfId="241"/>
    <cellStyle name=" _AC-01 본관기초(가설계서 9월단가)_AC-14(최종수정)_경상정비 가설계서(12.07)" xfId="242"/>
    <cellStyle name=" _AC-01 본관기초(가설계서 9월단가)_AC-14(최종수정)_경상정비 가설계서(12.07) 2" xfId="243"/>
    <cellStyle name=" _AC-01 본관기초(가설계서 9월단가)_AC-14(최종수정)_경상정비 설계서(최종결재본)" xfId="244"/>
    <cellStyle name=" _AC-01 본관기초(가설계서 9월단가)_AC-14(최종수정)_경상정비 설계서(최종결재본) 2" xfId="245"/>
    <cellStyle name=" _AC-01 본관기초(가설계서 9월단가)_AC-14(최종수정)_경상정비 설계서(최종분11월19)" xfId="246"/>
    <cellStyle name=" _AC-01 본관기초(가설계서 9월단가)_AC-14(최종수정)_경상정비 설계서(최종분11월19) 2" xfId="247"/>
    <cellStyle name=" _AC-01 본관기초(가설계서 9월단가)_AC-14(최종수정)_발전설비 보수공사" xfId="248"/>
    <cellStyle name=" _AC-01 본관기초(가설계서 9월단가)_AC-14(최종수정)_발전설비 보수공사 2" xfId="249"/>
    <cellStyle name=" _AC-01 본관기초(가설계서 9월단가)_AC-14(최종수정)_발전설비 보수공사_1-온배수 양식장 가설계서" xfId="250"/>
    <cellStyle name=" _AC-01 본관기초(가설계서 9월단가)_AC-14(최종수정)_발전설비 보수공사_1-온배수 양식장 가설계서 2" xfId="251"/>
    <cellStyle name=" _AC-01 본관기초(가설계서 9월단가)_AC-14(최종수정)_발전설비 보수공사_Book1" xfId="252"/>
    <cellStyle name=" _AC-01 본관기초(가설계서 9월단가)_AC-14(최종수정)_발전설비 보수공사_Book1 2" xfId="253"/>
    <cellStyle name=" _AC-01 본관기초(가설계서 9월단가)_AC-14(최종수정)_발전설비 보수공사_경상정비 가설계서(12.07)" xfId="254"/>
    <cellStyle name=" _AC-01 본관기초(가설계서 9월단가)_AC-14(최종수정)_발전설비 보수공사_경상정비 가설계서(12.07) 2" xfId="255"/>
    <cellStyle name=" _AC-01 본관기초(가설계서 9월단가)_AC-14(최종수정)_발전설비 보수공사_경상정비 설계서(최종결재본)" xfId="256"/>
    <cellStyle name=" _AC-01 본관기초(가설계서 9월단가)_AC-14(최종수정)_발전설비 보수공사_경상정비 설계서(최종결재본) 2" xfId="257"/>
    <cellStyle name=" _AC-01 본관기초(가설계서 9월단가)_AC-14(최종수정)_발전설비 보수공사_경상정비 설계서(최종분11월19)" xfId="258"/>
    <cellStyle name=" _AC-01 본관기초(가설계서 9월단가)_AC-14(최종수정)_발전설비 보수공사_경상정비 설계서(최종분11월19) 2" xfId="259"/>
    <cellStyle name=" _AC-01 본관기초(가설계서 9월단가)_AC-14(최종수정)_발전설비 보수공사_부품" xfId="260"/>
    <cellStyle name=" _AC-01 본관기초(가설계서 9월단가)_AC-14(최종수정)_발전설비 보수공사_부품 2" xfId="261"/>
    <cellStyle name=" _AC-01 본관기초(가설계서 9월단가)_AC-14(최종수정)_부품" xfId="262"/>
    <cellStyle name=" _AC-01 본관기초(가설계서 9월단가)_AC-14(최종수정)_부품 2" xfId="263"/>
    <cellStyle name=" _AC-01 본관기초(가설계서 9월단가)_Book1" xfId="264"/>
    <cellStyle name=" _AC-01 본관기초(가설계서 9월단가)_Book1 2" xfId="265"/>
    <cellStyle name=" _AC-01 본관기초(가설계서 9월단가)_경상정비 가설계서(12.07)" xfId="266"/>
    <cellStyle name=" _AC-01 본관기초(가설계서 9월단가)_경상정비 설계서(최종결재본)" xfId="267"/>
    <cellStyle name=" _AC-01 본관기초(가설계서 9월단가)_경상정비 설계서(최종분11월19)" xfId="268"/>
    <cellStyle name=" _AC-01 본관기초(가설계서 9월단가)_부품" xfId="269"/>
    <cellStyle name=" _AC-01 본관기초(가설계서 9월단가)-2" xfId="193"/>
    <cellStyle name=" _AC-01 본관기초(가설계서 9월단가)-2 2" xfId="194"/>
    <cellStyle name=" _AC-01 본관기초(가설계서 9월단가)-2_1-온배수 양식장 가설계서" xfId="195"/>
    <cellStyle name=" _AC-01 본관기초(가설계서 9월단가)-2_1-온배수 양식장 가설계서 2" xfId="196"/>
    <cellStyle name=" _AC-01 본관기초(가설계서 9월단가)-2_AC-14(최종수정)" xfId="197"/>
    <cellStyle name=" _AC-01 본관기초(가설계서 9월단가)-2_AC-14(최종수정) 2" xfId="198"/>
    <cellStyle name=" _AC-01 본관기초(가설계서 9월단가)-2_AC-14(최종수정)_1-온배수 양식장 가설계서" xfId="199"/>
    <cellStyle name=" _AC-01 본관기초(가설계서 9월단가)-2_AC-14(최종수정)_1-온배수 양식장 가설계서 2" xfId="200"/>
    <cellStyle name=" _AC-01 본관기초(가설계서 9월단가)-2_AC-14(최종수정)_Book1" xfId="201"/>
    <cellStyle name=" _AC-01 본관기초(가설계서 9월단가)-2_AC-14(최종수정)_Book1 2" xfId="202"/>
    <cellStyle name=" _AC-01 본관기초(가설계서 9월단가)-2_AC-14(최종수정)_경상정비 가설계서(12.07)" xfId="203"/>
    <cellStyle name=" _AC-01 본관기초(가설계서 9월단가)-2_AC-14(최종수정)_경상정비 가설계서(12.07) 2" xfId="204"/>
    <cellStyle name=" _AC-01 본관기초(가설계서 9월단가)-2_AC-14(최종수정)_경상정비 설계서(최종결재본)" xfId="205"/>
    <cellStyle name=" _AC-01 본관기초(가설계서 9월단가)-2_AC-14(최종수정)_경상정비 설계서(최종결재본) 2" xfId="206"/>
    <cellStyle name=" _AC-01 본관기초(가설계서 9월단가)-2_AC-14(최종수정)_경상정비 설계서(최종분11월19)" xfId="207"/>
    <cellStyle name=" _AC-01 본관기초(가설계서 9월단가)-2_AC-14(최종수정)_경상정비 설계서(최종분11월19) 2" xfId="208"/>
    <cellStyle name=" _AC-01 본관기초(가설계서 9월단가)-2_AC-14(최종수정)_발전설비 보수공사" xfId="209"/>
    <cellStyle name=" _AC-01 본관기초(가설계서 9월단가)-2_AC-14(최종수정)_발전설비 보수공사 2" xfId="210"/>
    <cellStyle name=" _AC-01 본관기초(가설계서 9월단가)-2_AC-14(최종수정)_발전설비 보수공사_1-온배수 양식장 가설계서" xfId="211"/>
    <cellStyle name=" _AC-01 본관기초(가설계서 9월단가)-2_AC-14(최종수정)_발전설비 보수공사_1-온배수 양식장 가설계서 2" xfId="212"/>
    <cellStyle name=" _AC-01 본관기초(가설계서 9월단가)-2_AC-14(최종수정)_발전설비 보수공사_Book1" xfId="213"/>
    <cellStyle name=" _AC-01 본관기초(가설계서 9월단가)-2_AC-14(최종수정)_발전설비 보수공사_Book1 2" xfId="214"/>
    <cellStyle name=" _AC-01 본관기초(가설계서 9월단가)-2_AC-14(최종수정)_발전설비 보수공사_경상정비 가설계서(12.07)" xfId="215"/>
    <cellStyle name=" _AC-01 본관기초(가설계서 9월단가)-2_AC-14(최종수정)_발전설비 보수공사_경상정비 가설계서(12.07) 2" xfId="216"/>
    <cellStyle name=" _AC-01 본관기초(가설계서 9월단가)-2_AC-14(최종수정)_발전설비 보수공사_경상정비 설계서(최종결재본)" xfId="217"/>
    <cellStyle name=" _AC-01 본관기초(가설계서 9월단가)-2_AC-14(최종수정)_발전설비 보수공사_경상정비 설계서(최종결재본) 2" xfId="218"/>
    <cellStyle name=" _AC-01 본관기초(가설계서 9월단가)-2_AC-14(최종수정)_발전설비 보수공사_경상정비 설계서(최종분11월19)" xfId="219"/>
    <cellStyle name=" _AC-01 본관기초(가설계서 9월단가)-2_AC-14(최종수정)_발전설비 보수공사_경상정비 설계서(최종분11월19) 2" xfId="220"/>
    <cellStyle name=" _AC-01 본관기초(가설계서 9월단가)-2_AC-14(최종수정)_발전설비 보수공사_부품" xfId="221"/>
    <cellStyle name=" _AC-01 본관기초(가설계서 9월단가)-2_AC-14(최종수정)_발전설비 보수공사_부품 2" xfId="222"/>
    <cellStyle name=" _AC-01 본관기초(가설계서 9월단가)-2_AC-14(최종수정)_부품" xfId="223"/>
    <cellStyle name=" _AC-01 본관기초(가설계서 9월단가)-2_AC-14(최종수정)_부품 2" xfId="224"/>
    <cellStyle name=" _AC-01 본관기초(가설계서 9월단가)-2_Book1" xfId="225"/>
    <cellStyle name=" _AC-01 본관기초(가설계서 9월단가)-2_Book1 2" xfId="226"/>
    <cellStyle name=" _AC-01 본관기초(가설계서 9월단가)-2_경상정비 가설계서(12.07)" xfId="227"/>
    <cellStyle name=" _AC-01 본관기초(가설계서 9월단가)-2_경상정비 가설계서(12.07) 2" xfId="228"/>
    <cellStyle name=" _AC-01 본관기초(가설계서 9월단가)-2_경상정비 설계서(최종결재본)" xfId="229"/>
    <cellStyle name=" _AC-01 본관기초(가설계서 9월단가)-2_경상정비 설계서(최종결재본) 2" xfId="230"/>
    <cellStyle name=" _AC-01 본관기초(가설계서 9월단가)-2_경상정비 설계서(최종분11월19)" xfId="231"/>
    <cellStyle name=" _AC-01 본관기초(가설계서 9월단가)-2_경상정비 설계서(최종분11월19) 2" xfId="232"/>
    <cellStyle name=" _AC-01 본관기초(가설계서 9월단가)-2_부품" xfId="233"/>
    <cellStyle name=" _AC-01 본관기초(가설계서 9월단가)-2_부품 2" xfId="234"/>
    <cellStyle name=" _AC-01 본관기초공사 가설계서(최종확정)" xfId="270"/>
    <cellStyle name=" _AC-01 본관기초공사 가설계서(최종확정) 2" xfId="271"/>
    <cellStyle name=" _AC-01 본관기초공사 가설계서(최종확정)_1-온배수 양식장 가설계서" xfId="272"/>
    <cellStyle name=" _AC-01 본관기초공사 가설계서(최종확정)_1-온배수 양식장 가설계서 2" xfId="273"/>
    <cellStyle name=" _AC-01 본관기초공사 가설계서(최종확정)_경상정비 가설계서(12.07)" xfId="274"/>
    <cellStyle name=" _AC-01 본관기초공사 가설계서(최종확정)_경상정비 가설계서(12.07) 2" xfId="275"/>
    <cellStyle name=" _AC-01 본관기초공사 가설계서(최종확정)_경상정비 설계서(최종결재본)" xfId="276"/>
    <cellStyle name=" _AC-01 본관기초공사 가설계서(최종확정)_경상정비 설계서(최종결재본) 2" xfId="277"/>
    <cellStyle name=" _AC-01 본관기초공사 가설계서(최종확정)_경상정비 설계서(최종분11월19)" xfId="278"/>
    <cellStyle name=" _AC-01 본관기초공사 가설계서(최종확정)_경상정비 설계서(최종분11월19) 2" xfId="279"/>
    <cellStyle name=" _AC-01 본관기초공사 가설계서(최종확정)_부품" xfId="280"/>
    <cellStyle name=" _AC-01 본관기초공사 가설계서(최종확정)_부품 2" xfId="281"/>
    <cellStyle name=" _AC-01_GT건물신축공사_061031_RA" xfId="282"/>
    <cellStyle name=" _AC-01_GT건물신축공사_061031_RA 2" xfId="283"/>
    <cellStyle name=" _AC-01_GT건물신축공사_061031_RA_AC-08_보조보일러건물신축공사_061031_RA" xfId="284"/>
    <cellStyle name=" _AC-01_GT건물신축공사_061031_RA_AC-08_보조보일러건물신축공사_061031_RA 2" xfId="285"/>
    <cellStyle name=" _AC-01_GT건물신축공사_061031_RA_AC-09_수처리및폐수처리건물신축공사_061031_RA" xfId="286"/>
    <cellStyle name=" _AC-01_GT건물신축공사_061031_RA_AC-09_수처리및폐수처리건물신축공사_061031_RA 2" xfId="287"/>
    <cellStyle name=" _AC-01터빈주제어및보일러기초" xfId="288"/>
    <cellStyle name=" _AC-01터빈주제어및보일러기초 2" xfId="289"/>
    <cellStyle name=" _AC-01터빈주제어및보일러기초_PRP-500 TYPE" xfId="290"/>
    <cellStyle name=" _AC-01터빈주제어및보일러기초_PRP-500 TYPE 2" xfId="291"/>
    <cellStyle name=" _AC-01터빈주제어및보일러기초_건축보령7,8(총액확정)" xfId="292"/>
    <cellStyle name=" _AC-01터빈주제어및보일러기초_건축보령7,8(총액확정) 2" xfId="293"/>
    <cellStyle name=" _AC-01터빈주제어및보일러기초_건축보령7,8(총액확정)_PRP-500 TYPE" xfId="294"/>
    <cellStyle name=" _AC-01터빈주제어및보일러기초_건축보령7,8(총액확정)_PRP-500 TYPE 2" xfId="295"/>
    <cellStyle name=" _AC-01터빈주제어및보일러기초_건축보령7,8(총액확정)_남부, 석산정거장(익진ENG 실행)" xfId="296"/>
    <cellStyle name=" _AC-01터빈주제어및보일러기초_건축보령7,8(총액확정)_남부, 석산정거장(익진ENG 실행) 2" xfId="297"/>
    <cellStyle name=" _AC-01터빈주제어및보일러기초_건축보령7,8(총액확정)_남부, 석산정거장PRP-500(Double)내역포함" xfId="298"/>
    <cellStyle name=" _AC-01터빈주제어및보일러기초_건축보령7,8(총액확정)_남부, 석산정거장PRP-500(Double)내역포함 2" xfId="299"/>
    <cellStyle name=" _AC-01터빈주제어및보일러기초_건축보령7,8(총액확정)_양차장님(PRP, MOZART)" xfId="300"/>
    <cellStyle name=" _AC-01터빈주제어및보일러기초_건축보령7,8(총액확정)_양차장님(PRP, MOZART) 2" xfId="301"/>
    <cellStyle name=" _AC-01터빈주제어및보일러기초_건축보령7,8(총액확정)_양차장님(PRP, MOZART)_양차장님LINER 벽체단가(PRP, MOZART,사면절곡)" xfId="302"/>
    <cellStyle name=" _AC-01터빈주제어및보일러기초_건축보령7,8(총액확정)_양차장님(PRP, MOZART)_양차장님LINER 벽체단가(PRP, MOZART,사면절곡) 2" xfId="303"/>
    <cellStyle name=" _AC-01터빈주제어및보일러기초_남부, 석산정거장(익진ENG 실행)" xfId="304"/>
    <cellStyle name=" _AC-01터빈주제어및보일러기초_남부, 석산정거장(익진ENG 실행) 2" xfId="305"/>
    <cellStyle name=" _AC-01터빈주제어및보일러기초_남부, 석산정거장PRP-500(Double)내역포함" xfId="306"/>
    <cellStyle name=" _AC-01터빈주제어및보일러기초_남부, 석산정거장PRP-500(Double)내역포함 2" xfId="307"/>
    <cellStyle name=" _AC-01터빈주제어및보일러기초_실행예산" xfId="308"/>
    <cellStyle name=" _AC-01터빈주제어및보일러기초_실행예산 2" xfId="309"/>
    <cellStyle name=" _AC-01터빈주제어및보일러기초_실행예산_PRP-500 TYPE" xfId="310"/>
    <cellStyle name=" _AC-01터빈주제어및보일러기초_실행예산_PRP-500 TYPE 2" xfId="311"/>
    <cellStyle name=" _AC-01터빈주제어및보일러기초_실행예산_남부, 석산정거장(익진ENG 실행)" xfId="312"/>
    <cellStyle name=" _AC-01터빈주제어및보일러기초_실행예산_남부, 석산정거장(익진ENG 실행) 2" xfId="313"/>
    <cellStyle name=" _AC-01터빈주제어및보일러기초_실행예산_남부, 석산정거장PRP-500(Double)내역포함" xfId="314"/>
    <cellStyle name=" _AC-01터빈주제어및보일러기초_실행예산_남부, 석산정거장PRP-500(Double)내역포함 2" xfId="315"/>
    <cellStyle name=" _AC-01터빈주제어및보일러기초_실행예산_양차장님(PRP, MOZART)" xfId="316"/>
    <cellStyle name=" _AC-01터빈주제어및보일러기초_실행예산_양차장님(PRP, MOZART) 2" xfId="317"/>
    <cellStyle name=" _AC-01터빈주제어및보일러기초_실행예산_양차장님(PRP, MOZART)_양차장님LINER 벽체단가(PRP, MOZART,사면절곡)" xfId="318"/>
    <cellStyle name=" _AC-01터빈주제어및보일러기초_실행예산_양차장님(PRP, MOZART)_양차장님LINER 벽체단가(PRP, MOZART,사면절곡) 2" xfId="319"/>
    <cellStyle name=" _AC-01터빈주제어및보일러기초_양차장님(PRP, MOZART)" xfId="320"/>
    <cellStyle name=" _AC-01터빈주제어및보일러기초_양차장님(PRP, MOZART) 2" xfId="321"/>
    <cellStyle name=" _AC-01터빈주제어및보일러기초_양차장님(PRP, MOZART)_양차장님LINER 벽체단가(PRP, MOZART,사면절곡)" xfId="322"/>
    <cellStyle name=" _AC-01터빈주제어및보일러기초_양차장님(PRP, MOZART)_양차장님LINER 벽체단가(PRP, MOZART,사면절곡) 2" xfId="323"/>
    <cellStyle name=" _AC-03 R1" xfId="324"/>
    <cellStyle name=" _AC-03 R1 2" xfId="325"/>
    <cellStyle name=" _AC-03 기성대가산출서(최종안(감사과))xls" xfId="326"/>
    <cellStyle name=" _AC-03 기성대가산출서(최종안(감사과))xls 2" xfId="327"/>
    <cellStyle name=" _AC-03 기성산출서기본(대가 임시용)" xfId="328"/>
    <cellStyle name=" _AC-03 기성산출서기본(대가 임시용) 2" xfId="329"/>
    <cellStyle name=" _AC-04터빈발전기기초" xfId="330"/>
    <cellStyle name=" _AC-04터빈발전기기초 2" xfId="331"/>
    <cellStyle name=" _AC-04터빈발전기기초_AC-01_GT건물신축공사_061031_RA" xfId="332"/>
    <cellStyle name=" _AC-04터빈발전기기초_AC-01_GT건물신축공사_061031_RA 2" xfId="333"/>
    <cellStyle name=" _AC-04터빈발전기기초_AC-01_GT건물신축공사_061031_RA_AC-01_GT건물신축공사_061031_RA" xfId="334"/>
    <cellStyle name=" _AC-04터빈발전기기초_AC-01_GT건물신축공사_061031_RA_AC-01_GT건물신축공사_061031_RA 2" xfId="335"/>
    <cellStyle name=" _AC-04터빈발전기기초_AC-01_GT건물신축공사_061031_RA_AC-08_보조보일러건물신축공사_061031_RA" xfId="336"/>
    <cellStyle name=" _AC-04터빈발전기기초_AC-01_GT건물신축공사_061031_RA_AC-08_보조보일러건물신축공사_061031_RA 2" xfId="337"/>
    <cellStyle name=" _AC-04터빈발전기기초_AC-01_GT건물신축공사_061031_RA_AC-09_수처리및폐수처리건물신축공사_061031_RA" xfId="338"/>
    <cellStyle name=" _AC-04터빈발전기기초_AC-01_GT건물신축공사_061031_RA_AC-09_수처리및폐수처리건물신축공사_061031_RA 2" xfId="339"/>
    <cellStyle name=" _AC-04터빈발전기기초_AC-01_GT건물신축공사_061031_RA_AC-10_염소주입실신축공사_061031_RA" xfId="340"/>
    <cellStyle name=" _AC-04터빈발전기기초_AC-01_GT건물신축공사_061031_RA_AC-10_염소주입실신축공사_061031_RA 2" xfId="341"/>
    <cellStyle name=" _AC-04터빈발전기기초_AC-05_주제어건물신축공사_061031_RA" xfId="342"/>
    <cellStyle name=" _AC-04터빈발전기기초_AC-05_주제어건물신축공사_061031_RA 2" xfId="343"/>
    <cellStyle name=" _AC-04터빈발전기기초_AC-05_주제어건물신축공사_061031_RA_AC-01_GT건물신축공사_061031_RA" xfId="344"/>
    <cellStyle name=" _AC-04터빈발전기기초_AC-05_주제어건물신축공사_061031_RA_AC-01_GT건물신축공사_061031_RA 2" xfId="345"/>
    <cellStyle name=" _AC-04터빈발전기기초_AC-05_주제어건물신축공사_061031_RA_AC-01_GT건물신축공사_061031_RA_AC-08_보조보일러건물신축공사_061031_RA" xfId="346"/>
    <cellStyle name=" _AC-04터빈발전기기초_AC-05_주제어건물신축공사_061031_RA_AC-01_GT건물신축공사_061031_RA_AC-08_보조보일러건물신축공사_061031_RA 2" xfId="347"/>
    <cellStyle name=" _AC-04터빈발전기기초_AC-05_주제어건물신축공사_061031_RA_AC-01_GT건물신축공사_061031_RA_AC-09_수처리및폐수처리건물신축공사_061031_RA" xfId="348"/>
    <cellStyle name=" _AC-04터빈발전기기초_AC-05_주제어건물신축공사_061031_RA_AC-01_GT건물신축공사_061031_RA_AC-09_수처리및폐수처리건물신축공사_061031_RA 2" xfId="349"/>
    <cellStyle name=" _AC-04터빈발전기기초_AC-05_주제어건물신축공사_061031_RA_AC-05_주제어건물신축공사_061031_RA" xfId="350"/>
    <cellStyle name=" _AC-04터빈발전기기초_AC-05_주제어건물신축공사_061031_RA_AC-05_주제어건물신축공사_061031_RA 2" xfId="351"/>
    <cellStyle name=" _AC-04터빈발전기기초_AC-05_주제어건물신축공사_061031_RA_AC-05_주제어건물신축공사_061031_RA_AC-08_보조보일러건물신축공사_061031_RA" xfId="352"/>
    <cellStyle name=" _AC-04터빈발전기기초_AC-05_주제어건물신축공사_061031_RA_AC-05_주제어건물신축공사_061031_RA_AC-08_보조보일러건물신축공사_061031_RA 2" xfId="353"/>
    <cellStyle name=" _AC-04터빈발전기기초_AC-05_주제어건물신축공사_061031_RA_AC-05_주제어건물신축공사_061031_RA_AC-09_수처리및폐수처리건물신축공사_061031_RA" xfId="354"/>
    <cellStyle name=" _AC-04터빈발전기기초_AC-05_주제어건물신축공사_061031_RA_AC-05_주제어건물신축공사_061031_RA_AC-09_수처리및폐수처리건물신축공사_061031_RA 2" xfId="355"/>
    <cellStyle name=" _AC-04터빈발전기기초_AC-05_주제어건물신축공사_061031_RA_AC-08_보조보일러건물신축공사_061031_RA" xfId="356"/>
    <cellStyle name=" _AC-04터빈발전기기초_AC-05_주제어건물신축공사_061031_RA_AC-08_보조보일러건물신축공사_061031_RA 2" xfId="357"/>
    <cellStyle name=" _AC-04터빈발전기기초_AC-05_주제어건물신축공사_061031_RA_AC-09_수처리및폐수처리건물신축공사_061031_RA" xfId="358"/>
    <cellStyle name=" _AC-04터빈발전기기초_AC-05_주제어건물신축공사_061031_RA_AC-09_수처리및폐수처리건물신축공사_061031_RA 2" xfId="359"/>
    <cellStyle name=" _AC-04터빈발전기기초_AC-08_보조보일러건물신축공사_061031_RA" xfId="360"/>
    <cellStyle name=" _AC-04터빈발전기기초_AC-08_보조보일러건물신축공사_061031_RA 2" xfId="361"/>
    <cellStyle name=" _AC-04터빈발전기기초_AC-08_보조보일러건물신축공사_061031_RA_AC-08_보조보일러건물신축공사_061031_RA" xfId="362"/>
    <cellStyle name=" _AC-04터빈발전기기초_AC-08_보조보일러건물신축공사_061031_RA_AC-08_보조보일러건물신축공사_061031_RA 2" xfId="363"/>
    <cellStyle name=" _AC-04터빈발전기기초_AC-08_보조보일러건물신축공사_061031_RA_AC-09_수처리및폐수처리건물신축공사_061031_RA" xfId="364"/>
    <cellStyle name=" _AC-04터빈발전기기초_AC-08_보조보일러건물신축공사_061031_RA_AC-09_수처리및폐수처리건물신축공사_061031_RA 2" xfId="365"/>
    <cellStyle name=" _AC-04터빈발전기기초_AC-09_수처리및폐수처리건물신축공사_061031_RA" xfId="366"/>
    <cellStyle name=" _AC-04터빈발전기기초_AC-09_수처리및폐수처리건물신축공사_061031_RA 2" xfId="367"/>
    <cellStyle name=" _AC-04터빈발전기기초_AC-09_수처리및폐수처리건물신축공사_061031_RA_AC-08_보조보일러건물신축공사_061031_RA" xfId="368"/>
    <cellStyle name=" _AC-04터빈발전기기초_AC-09_수처리및폐수처리건물신축공사_061031_RA_AC-08_보조보일러건물신축공사_061031_RA 2" xfId="369"/>
    <cellStyle name=" _AC-04터빈발전기기초_AC-09_수처리및폐수처리건물신축공사_061031_RA_AC-09_수처리및폐수처리건물신축공사_061031_RA" xfId="370"/>
    <cellStyle name=" _AC-04터빈발전기기초_AC-09_수처리및폐수처리건물신축공사_061031_RA_AC-09_수처리및폐수처리건물신축공사_061031_RA 2" xfId="371"/>
    <cellStyle name=" _AC-04터빈발전기기초_PRP-500 TYPE" xfId="372"/>
    <cellStyle name=" _AC-04터빈발전기기초_PRP-500 TYPE 2" xfId="373"/>
    <cellStyle name=" _AC-04터빈발전기기초_건축보령7,8(총액확정)" xfId="374"/>
    <cellStyle name=" _AC-04터빈발전기기초_건축보령7,8(총액확정) 2" xfId="375"/>
    <cellStyle name=" _AC-04터빈발전기기초_건축보령7,8(총액확정)_PRP-500 TYPE" xfId="376"/>
    <cellStyle name=" _AC-04터빈발전기기초_건축보령7,8(총액확정)_PRP-500 TYPE 2" xfId="377"/>
    <cellStyle name=" _AC-04터빈발전기기초_건축보령7,8(총액확정)_남부, 석산정거장(익진ENG 실행)" xfId="378"/>
    <cellStyle name=" _AC-04터빈발전기기초_건축보령7,8(총액확정)_남부, 석산정거장(익진ENG 실행) 2" xfId="379"/>
    <cellStyle name=" _AC-04터빈발전기기초_건축보령7,8(총액확정)_남부, 석산정거장PRP-500(Double)내역포함" xfId="380"/>
    <cellStyle name=" _AC-04터빈발전기기초_건축보령7,8(총액확정)_남부, 석산정거장PRP-500(Double)내역포함 2" xfId="381"/>
    <cellStyle name=" _AC-04터빈발전기기초_건축보령7,8(총액확정)_양차장님(PRP, MOZART)" xfId="382"/>
    <cellStyle name=" _AC-04터빈발전기기초_건축보령7,8(총액확정)_양차장님(PRP, MOZART) 2" xfId="383"/>
    <cellStyle name=" _AC-04터빈발전기기초_건축보령7,8(총액확정)_양차장님(PRP, MOZART)_양차장님LINER 벽체단가(PRP, MOZART,사면절곡)" xfId="384"/>
    <cellStyle name=" _AC-04터빈발전기기초_건축보령7,8(총액확정)_양차장님(PRP, MOZART)_양차장님LINER 벽체단가(PRP, MOZART,사면절곡) 2" xfId="385"/>
    <cellStyle name=" _AC-04터빈발전기기초_남부, 석산정거장(익진ENG 실행)" xfId="386"/>
    <cellStyle name=" _AC-04터빈발전기기초_남부, 석산정거장(익진ENG 실행) 2" xfId="387"/>
    <cellStyle name=" _AC-04터빈발전기기초_남부, 석산정거장PRP-500(Double)내역포함" xfId="388"/>
    <cellStyle name=" _AC-04터빈발전기기초_남부, 석산정거장PRP-500(Double)내역포함 2" xfId="389"/>
    <cellStyle name=" _AC-04터빈발전기기초_실행예산" xfId="390"/>
    <cellStyle name=" _AC-04터빈발전기기초_실행예산 2" xfId="391"/>
    <cellStyle name=" _AC-04터빈발전기기초_실행예산_PRP-500 TYPE" xfId="392"/>
    <cellStyle name=" _AC-04터빈발전기기초_실행예산_PRP-500 TYPE 2" xfId="393"/>
    <cellStyle name=" _AC-04터빈발전기기초_실행예산_남부, 석산정거장(익진ENG 실행)" xfId="394"/>
    <cellStyle name=" _AC-04터빈발전기기초_실행예산_남부, 석산정거장(익진ENG 실행) 2" xfId="395"/>
    <cellStyle name=" _AC-04터빈발전기기초_실행예산_남부, 석산정거장PRP-500(Double)내역포함" xfId="396"/>
    <cellStyle name=" _AC-04터빈발전기기초_실행예산_남부, 석산정거장PRP-500(Double)내역포함 2" xfId="397"/>
    <cellStyle name=" _AC-04터빈발전기기초_실행예산_양차장님(PRP, MOZART)" xfId="398"/>
    <cellStyle name=" _AC-04터빈발전기기초_실행예산_양차장님(PRP, MOZART) 2" xfId="399"/>
    <cellStyle name=" _AC-04터빈발전기기초_실행예산_양차장님(PRP, MOZART)_양차장님LINER 벽체단가(PRP, MOZART,사면절곡)" xfId="400"/>
    <cellStyle name=" _AC-04터빈발전기기초_실행예산_양차장님(PRP, MOZART)_양차장님LINER 벽체단가(PRP, MOZART,사면절곡) 2" xfId="401"/>
    <cellStyle name=" _AC-04터빈발전기기초_양차장님(PRP, MOZART)" xfId="402"/>
    <cellStyle name=" _AC-04터빈발전기기초_양차장님(PRP, MOZART) 2" xfId="403"/>
    <cellStyle name=" _AC-04터빈발전기기초_양차장님(PRP, MOZART)_양차장님LINER 벽체단가(PRP, MOZART,사면절곡)" xfId="404"/>
    <cellStyle name=" _AC-04터빈발전기기초_양차장님(PRP, MOZART)_양차장님LINER 벽체단가(PRP, MOZART,사면절곡) 2" xfId="405"/>
    <cellStyle name=" _AC-05_주제어건물신축공사_061031_RA" xfId="406"/>
    <cellStyle name=" _AC-05_주제어건물신축공사_061031_RA 2" xfId="407"/>
    <cellStyle name=" _AC-05_주제어건물신축공사_061031_RA_1" xfId="408"/>
    <cellStyle name=" _AC-05_주제어건물신축공사_061031_RA_1 2" xfId="409"/>
    <cellStyle name=" _AC-05_주제어건물신축공사_061031_RA_1_AC-08_보조보일러건물신축공사_061031_RA" xfId="410"/>
    <cellStyle name=" _AC-05_주제어건물신축공사_061031_RA_1_AC-08_보조보일러건물신축공사_061031_RA 2" xfId="411"/>
    <cellStyle name=" _AC-05_주제어건물신축공사_061031_RA_1_AC-09_수처리및폐수처리건물신축공사_061031_RA" xfId="412"/>
    <cellStyle name=" _AC-05_주제어건물신축공사_061031_RA_1_AC-09_수처리및폐수처리건물신축공사_061031_RA 2" xfId="413"/>
    <cellStyle name=" _AC-05_주제어건물신축공사_061031_RA_AC-01_GT건물신축공사_061031_RA" xfId="414"/>
    <cellStyle name=" _AC-05_주제어건물신축공사_061031_RA_AC-01_GT건물신축공사_061031_RA 2" xfId="415"/>
    <cellStyle name=" _AC-05_주제어건물신축공사_061031_RA_AC-01_GT건물신축공사_061031_RA_AC-08_보조보일러건물신축공사_061031_RA" xfId="416"/>
    <cellStyle name=" _AC-05_주제어건물신축공사_061031_RA_AC-01_GT건물신축공사_061031_RA_AC-08_보조보일러건물신축공사_061031_RA 2" xfId="417"/>
    <cellStyle name=" _AC-05_주제어건물신축공사_061031_RA_AC-01_GT건물신축공사_061031_RA_AC-09_수처리및폐수처리건물신축공사_061031_RA" xfId="418"/>
    <cellStyle name=" _AC-05_주제어건물신축공사_061031_RA_AC-01_GT건물신축공사_061031_RA_AC-09_수처리및폐수처리건물신축공사_061031_RA 2" xfId="419"/>
    <cellStyle name=" _AC-05_주제어건물신축공사_061031_RA_AC-05_주제어건물신축공사_061031_RA" xfId="420"/>
    <cellStyle name=" _AC-05_주제어건물신축공사_061031_RA_AC-05_주제어건물신축공사_061031_RA 2" xfId="421"/>
    <cellStyle name=" _AC-05_주제어건물신축공사_061031_RA_AC-05_주제어건물신축공사_061031_RA_AC-08_보조보일러건물신축공사_061031_RA" xfId="422"/>
    <cellStyle name=" _AC-05_주제어건물신축공사_061031_RA_AC-05_주제어건물신축공사_061031_RA_AC-08_보조보일러건물신축공사_061031_RA 2" xfId="423"/>
    <cellStyle name=" _AC-05_주제어건물신축공사_061031_RA_AC-05_주제어건물신축공사_061031_RA_AC-09_수처리및폐수처리건물신축공사_061031_RA" xfId="424"/>
    <cellStyle name=" _AC-05_주제어건물신축공사_061031_RA_AC-05_주제어건물신축공사_061031_RA_AC-09_수처리및폐수처리건물신축공사_061031_RA 2" xfId="425"/>
    <cellStyle name=" _AC-05_주제어건물신축공사_061031_RA_AC-08_보조보일러건물신축공사_061031_RA" xfId="426"/>
    <cellStyle name=" _AC-05_주제어건물신축공사_061031_RA_AC-08_보조보일러건물신축공사_061031_RA 2" xfId="427"/>
    <cellStyle name=" _AC-05_주제어건물신축공사_061031_RA_AC-09_수처리및폐수처리건물신축공사_061031_RA" xfId="428"/>
    <cellStyle name=" _AC-05_주제어건물신축공사_061031_RA_AC-09_수처리및폐수처리건물신축공사_061031_RA 2" xfId="429"/>
    <cellStyle name=" _AC-06_변경설계서(본설계서최종수정분)" xfId="430"/>
    <cellStyle name=" _AC-06_변경설계서(본설계서최종수정분) 2" xfId="431"/>
    <cellStyle name=" _AC06실적기성" xfId="454"/>
    <cellStyle name=" _AC06실적기성 2" xfId="455"/>
    <cellStyle name=" _AC06실적기성_영흥_3,4 가스창고신축(AC-08)확정-샘플내역서" xfId="456"/>
    <cellStyle name=" _AC06실적기성_영흥_3,4 가스창고신축(AC-08)확정-샘플내역서 2" xfId="457"/>
    <cellStyle name=" _AC-07 염소주입건물(2)" xfId="432"/>
    <cellStyle name=" _AC-07 염소주입건물(2) 2" xfId="433"/>
    <cellStyle name=" _AC-07_HRSG건물철골설치및마감공사_061031_RA" xfId="434"/>
    <cellStyle name=" _AC-07_HRSG건물철골설치및마감공사_061031_RA 2" xfId="435"/>
    <cellStyle name=" _AC-08_보조보일러건물신축공사_061031_RA" xfId="436"/>
    <cellStyle name=" _AC-08_보조보일러건물신축공사_061031_RA 2" xfId="437"/>
    <cellStyle name=" _AC-08_보조보일러건물신축공사_061031_RA(HVAC추가_061108)" xfId="438"/>
    <cellStyle name=" _AC-08_보조보일러건물신축공사_061031_RA(HVAC추가_061108) 2" xfId="439"/>
    <cellStyle name=" _AC-08_보조보일러건물신축공사_061031_RA(HVAC추가_061108)_AC-08_보조보일러건물신축공사_061031_RA" xfId="440"/>
    <cellStyle name=" _AC-08_보조보일러건물신축공사_061031_RA(HVAC추가_061108)_AC-08_보조보일러건물신축공사_061031_RA 2" xfId="441"/>
    <cellStyle name=" _AC-08_보조보일러건물신축공사_061031_RA(HVAC추가_061108)_AC-09_수처리및폐수처리건물신축공사_061031_RA" xfId="442"/>
    <cellStyle name=" _AC-08_보조보일러건물신축공사_061031_RA(HVAC추가_061108)_AC-09_수처리및폐수처리건물신축공사_061031_RA 2" xfId="443"/>
    <cellStyle name=" _AC-09_수처리및폐수처리건물신축공사_061031_RA" xfId="444"/>
    <cellStyle name=" _AC-09_수처리및폐수처리건물신축공사_061031_RA 2" xfId="445"/>
    <cellStyle name=" _AC-09_수처리및폐수처리건물신축공사_061031_RA(HVAC확인_061114)" xfId="446"/>
    <cellStyle name=" _AC-09_수처리및폐수처리건물신축공사_061031_RA(HVAC확인_061114) 2" xfId="447"/>
    <cellStyle name=" _AC-10_염소주입실신축공사_061031_RA" xfId="448"/>
    <cellStyle name=" _AC-10_염소주입실신축공사_061031_RA 2" xfId="449"/>
    <cellStyle name=" _AC-11 가스창고(2)" xfId="450"/>
    <cellStyle name=" _AC-11 가스창고(2) 2" xfId="451"/>
    <cellStyle name=" _AC-14 건설사무소 환경개선공사 설계서(제출)" xfId="452"/>
    <cellStyle name=" _AC-14 건설사무소 환경개선공사 설계서(제출) 2" xfId="453"/>
    <cellStyle name=" _Book1" xfId="458"/>
    <cellStyle name=" _Book1 2" xfId="459"/>
    <cellStyle name=" _Book1 2 2" xfId="460"/>
    <cellStyle name=" _Book1 3" xfId="461"/>
    <cellStyle name=" _Book1_1" xfId="462"/>
    <cellStyle name=" _Book1_1 2" xfId="463"/>
    <cellStyle name=" _Book1_2008.5.7내역서및 공사정산서" xfId="464"/>
    <cellStyle name=" _Book1_2008.5.7내역서및 공사정산서 2" xfId="465"/>
    <cellStyle name=" _Book1_Book1" xfId="466"/>
    <cellStyle name=" _Book1_Book1 2" xfId="467"/>
    <cellStyle name=" _Book1_건축주기성청구서1회분" xfId="468"/>
    <cellStyle name=" _Book1_경민기계" xfId="469"/>
    <cellStyle name=" _Book1_경민기계 2" xfId="470"/>
    <cellStyle name=" _Book1_기성청구1차" xfId="471"/>
    <cellStyle name=" _Book1_기성청구2차" xfId="472"/>
    <cellStyle name=" _Book1_모락스(엠에스 디스트리파크) 기계설비(송부용)" xfId="473"/>
    <cellStyle name=" _Book1_모락스(엠에스 디스트리파크) 기계설비(송부용) 2" xfId="474"/>
    <cellStyle name=" _Book1_수리초설비제출=091218" xfId="475"/>
    <cellStyle name=" _Book1_수리초설비제출=091218 2" xfId="476"/>
    <cellStyle name=" _Book1_자곡동-내역서" xfId="477"/>
    <cellStyle name=" _CC-01 부지정지 및 법면보호(개산)" xfId="478"/>
    <cellStyle name=" _CC-01 부지정지 및 법면보호(개산) 2" xfId="479"/>
    <cellStyle name=" _CC-01 부지정지 및 법면보호(개산)_1 당진78-연돌-공사설계서(REV.0 12.14-kopec)" xfId="480"/>
    <cellStyle name=" _CC-01 부지정지 및 법면보호(개산)_1 당진78-연돌-공사설계서(REV.0 12.14-kopec) 2" xfId="481"/>
    <cellStyle name=" _CC-01 부지정지 및 법면보호(개산)_1.0t 당진78-연돌-수량산출서(REV.0 12.27-kopec)" xfId="482"/>
    <cellStyle name=" _CC-01 부지정지 및 법면보호(개산)_1.0t 당진78-연돌-수량산출서(REV.0 12.27-kopec) 2" xfId="483"/>
    <cellStyle name=" _CC-01 부지정지 및 법면보호(개산)_CC-02 본관기초굴착 예상" xfId="484"/>
    <cellStyle name=" _CC-01 부지정지 및 법면보호(개산)_CC-02 본관기초굴착 예상 2" xfId="485"/>
    <cellStyle name=" _CC-01 부지정지 및 법면보호(개산)_CC-02 본관기초굴착 예상_1 당진78-연돌-공사설계서(REV.0 12.14-kopec)" xfId="486"/>
    <cellStyle name=" _CC-01 부지정지 및 법면보호(개산)_CC-02 본관기초굴착 예상_1 당진78-연돌-공사설계서(REV.0 12.14-kopec) 2" xfId="487"/>
    <cellStyle name=" _CC-01 부지정지 및 법면보호(개산)_CC-02 본관기초굴착 예상_1.0t 당진78-연돌-수량산출서(REV.0 12.27-kopec)" xfId="488"/>
    <cellStyle name=" _CC-01 부지정지 및 법면보호(개산)_CC-02 본관기초굴착 예상_1.0t 당진78-연돌-수량산출서(REV.0 12.27-kopec) 2" xfId="489"/>
    <cellStyle name=" _CC-01 부지정지 및 법면보호(개산)_CC-02 본관기초굴착 예상_당진78-연돌-개략공사비" xfId="490"/>
    <cellStyle name=" _CC-01 부지정지 및 법면보호(개산)_CC-02 본관기초굴착 예상_당진78-연돌-개략공사비 2" xfId="491"/>
    <cellStyle name=" _CC-01 부지정지 및 법면보호(개산)_CC-02 본관기초굴착 예상_연돌 현장타설말뚝(RCD)설계서" xfId="492"/>
    <cellStyle name=" _CC-01 부지정지 및 법면보호(개산)_CC-02 본관기초굴착 예상_연돌 현장타설말뚝(RCD)설계서 2" xfId="493"/>
    <cellStyle name=" _CC-01 부지정지 및 법면보호(개산)_당진78-연돌-개략공사비" xfId="494"/>
    <cellStyle name=" _CC-01 부지정지 및 법면보호(개산)_당진78-연돌-개략공사비 2" xfId="495"/>
    <cellStyle name=" _CC-01 부지정지 및 법면보호(개산)_본관기초 가실행" xfId="496"/>
    <cellStyle name=" _CC-01 부지정지 및 법면보호(개산)_본관기초 가실행 2" xfId="497"/>
    <cellStyle name=" _CC-01 부지정지 및 법면보호(개산)_본관기초 가실행_1 당진78-연돌-공사설계서(REV.0 12.14-kopec)" xfId="498"/>
    <cellStyle name=" _CC-01 부지정지 및 법면보호(개산)_본관기초 가실행_1 당진78-연돌-공사설계서(REV.0 12.14-kopec) 2" xfId="499"/>
    <cellStyle name=" _CC-01 부지정지 및 법면보호(개산)_본관기초 가실행_1.0t 당진78-연돌-수량산출서(REV.0 12.27-kopec)" xfId="500"/>
    <cellStyle name=" _CC-01 부지정지 및 법면보호(개산)_본관기초 가실행_1.0t 당진78-연돌-수량산출서(REV.0 12.27-kopec) 2" xfId="501"/>
    <cellStyle name=" _CC-01 부지정지 및 법면보호(개산)_본관기초 가실행_당진78-연돌-개략공사비" xfId="502"/>
    <cellStyle name=" _CC-01 부지정지 및 법면보호(개산)_본관기초 가실행_당진78-연돌-개략공사비 2" xfId="503"/>
    <cellStyle name=" _CC-01 부지정지 및 법면보호(개산)_본관기초 가실행_연돌 현장타설말뚝(RCD)설계서" xfId="504"/>
    <cellStyle name=" _CC-01 부지정지 및 법면보호(개산)_본관기초 가실행_연돌 현장타설말뚝(RCD)설계서 2" xfId="505"/>
    <cellStyle name=" _CC-01 부지정지 및 법면보호(개산)_본관기초굴착 예상도급" xfId="506"/>
    <cellStyle name=" _CC-01 부지정지 및 법면보호(개산)_본관기초굴착 예상도급 2" xfId="507"/>
    <cellStyle name=" _CC-01 부지정지 및 법면보호(개산)_본관기초굴착 예상도급_1 당진78-연돌-공사설계서(REV.0 12.14-kopec)" xfId="508"/>
    <cellStyle name=" _CC-01 부지정지 및 법면보호(개산)_본관기초굴착 예상도급_1 당진78-연돌-공사설계서(REV.0 12.14-kopec) 2" xfId="509"/>
    <cellStyle name=" _CC-01 부지정지 및 법면보호(개산)_본관기초굴착 예상도급_1.0t 당진78-연돌-수량산출서(REV.0 12.27-kopec)" xfId="510"/>
    <cellStyle name=" _CC-01 부지정지 및 법면보호(개산)_본관기초굴착 예상도급_1.0t 당진78-연돌-수량산출서(REV.0 12.27-kopec) 2" xfId="511"/>
    <cellStyle name=" _CC-01 부지정지 및 법면보호(개산)_본관기초굴착 예상도급_당진78-연돌-개략공사비" xfId="512"/>
    <cellStyle name=" _CC-01 부지정지 및 법면보호(개산)_본관기초굴착 예상도급_당진78-연돌-개략공사비 2" xfId="513"/>
    <cellStyle name=" _CC-01 부지정지 및 법면보호(개산)_본관기초굴착 예상도급_연돌 현장타설말뚝(RCD)설계서" xfId="514"/>
    <cellStyle name=" _CC-01 부지정지 및 법면보호(개산)_본관기초굴착 예상도급_연돌 현장타설말뚝(RCD)설계서 2" xfId="515"/>
    <cellStyle name=" _CC-01 부지정지 및 법면보호(개산)_연돌 현장타설말뚝(RCD)설계서" xfId="516"/>
    <cellStyle name=" _CC-01 부지정지 및 법면보호(개산)_연돌 현장타설말뚝(RCD)설계서 2" xfId="517"/>
    <cellStyle name=" _CC-01 부지정지 및 법면보호(예상)" xfId="518"/>
    <cellStyle name=" _CC-01 부지정지 및 법면보호(예상) 2" xfId="519"/>
    <cellStyle name=" _CC-01 부지정지 및 법면보호(예상)_1 당진78-연돌-공사설계서(REV.0 12.14-kopec)" xfId="520"/>
    <cellStyle name=" _CC-01 부지정지 및 법면보호(예상)_1 당진78-연돌-공사설계서(REV.0 12.14-kopec) 2" xfId="521"/>
    <cellStyle name=" _CC-01 부지정지 및 법면보호(예상)_1.0t 당진78-연돌-수량산출서(REV.0 12.27-kopec)" xfId="524"/>
    <cellStyle name=" _CC-01 부지정지 및 법면보호(예상)_1.0t 당진78-연돌-수량산출서(REV.0 12.27-kopec) 2" xfId="525"/>
    <cellStyle name=" _CC-01 부지정지 및 법면보호(예상)_1-온배수 양식장 가설계서" xfId="522"/>
    <cellStyle name=" _CC-01 부지정지 및 법면보호(예상)_1-온배수 양식장 가설계서 2" xfId="523"/>
    <cellStyle name=" _CC-01 부지정지 및 법면보호(예상)_CC-02 본관기초굴착 예상" xfId="526"/>
    <cellStyle name=" _CC-01 부지정지 및 법면보호(예상)_CC-02 본관기초굴착 예상 2" xfId="527"/>
    <cellStyle name=" _CC-01 부지정지 및 법면보호(예상)_CC-02 본관기초굴착 예상_1 당진78-연돌-공사설계서(REV.0 12.14-kopec)" xfId="528"/>
    <cellStyle name=" _CC-01 부지정지 및 법면보호(예상)_CC-02 본관기초굴착 예상_1 당진78-연돌-공사설계서(REV.0 12.14-kopec) 2" xfId="529"/>
    <cellStyle name=" _CC-01 부지정지 및 법면보호(예상)_CC-02 본관기초굴착 예상_1.0t 당진78-연돌-수량산출서(REV.0 12.27-kopec)" xfId="532"/>
    <cellStyle name=" _CC-01 부지정지 및 법면보호(예상)_CC-02 본관기초굴착 예상_1.0t 당진78-연돌-수량산출서(REV.0 12.27-kopec) 2" xfId="533"/>
    <cellStyle name=" _CC-01 부지정지 및 법면보호(예상)_CC-02 본관기초굴착 예상_1-온배수 양식장 가설계서" xfId="530"/>
    <cellStyle name=" _CC-01 부지정지 및 법면보호(예상)_CC-02 본관기초굴착 예상_1-온배수 양식장 가설계서 2" xfId="531"/>
    <cellStyle name=" _CC-01 부지정지 및 법면보호(예상)_CC-02 본관기초굴착 예상_경상정비 가설계서(12.07)" xfId="534"/>
    <cellStyle name=" _CC-01 부지정지 및 법면보호(예상)_CC-02 본관기초굴착 예상_경상정비 가설계서(12.07) 2" xfId="535"/>
    <cellStyle name=" _CC-01 부지정지 및 법면보호(예상)_CC-02 본관기초굴착 예상_경상정비 설계서(최종결재본)" xfId="536"/>
    <cellStyle name=" _CC-01 부지정지 및 법면보호(예상)_CC-02 본관기초굴착 예상_경상정비 설계서(최종결재본) 2" xfId="537"/>
    <cellStyle name=" _CC-01 부지정지 및 법면보호(예상)_CC-02 본관기초굴착 예상_경상정비 설계서(최종분11월19)" xfId="538"/>
    <cellStyle name=" _CC-01 부지정지 및 법면보호(예상)_CC-02 본관기초굴착 예상_경상정비 설계서(최종분11월19) 2" xfId="539"/>
    <cellStyle name=" _CC-01 부지정지 및 법면보호(예상)_CC-02 본관기초굴착 예상_당진78-연돌-개략공사비" xfId="540"/>
    <cellStyle name=" _CC-01 부지정지 및 법면보호(예상)_CC-02 본관기초굴착 예상_당진78-연돌-개략공사비 2" xfId="541"/>
    <cellStyle name=" _CC-01 부지정지 및 법면보호(예상)_CC-02 본관기초굴착 예상_당진78-연돌-개략공사비_1-온배수 양식장 가설계서" xfId="542"/>
    <cellStyle name=" _CC-01 부지정지 및 법면보호(예상)_CC-02 본관기초굴착 예상_당진78-연돌-개략공사비_1-온배수 양식장 가설계서 2" xfId="543"/>
    <cellStyle name=" _CC-01 부지정지 및 법면보호(예상)_CC-02 본관기초굴착 예상_당진78-연돌-개략공사비_경상정비 가설계서(12.07)" xfId="544"/>
    <cellStyle name=" _CC-01 부지정지 및 법면보호(예상)_CC-02 본관기초굴착 예상_당진78-연돌-개략공사비_경상정비 가설계서(12.07) 2" xfId="545"/>
    <cellStyle name=" _CC-01 부지정지 및 법면보호(예상)_CC-02 본관기초굴착 예상_당진78-연돌-개략공사비_경상정비 설계서(최종결재본)" xfId="546"/>
    <cellStyle name=" _CC-01 부지정지 및 법면보호(예상)_CC-02 본관기초굴착 예상_당진78-연돌-개략공사비_경상정비 설계서(최종결재본) 2" xfId="547"/>
    <cellStyle name=" _CC-01 부지정지 및 법면보호(예상)_CC-02 본관기초굴착 예상_당진78-연돌-개략공사비_경상정비 설계서(최종분11월19)" xfId="548"/>
    <cellStyle name=" _CC-01 부지정지 및 법면보호(예상)_CC-02 본관기초굴착 예상_당진78-연돌-개략공사비_경상정비 설계서(최종분11월19) 2" xfId="549"/>
    <cellStyle name=" _CC-01 부지정지 및 법면보호(예상)_CC-02 본관기초굴착 예상_당진78-연돌-개략공사비_부품" xfId="550"/>
    <cellStyle name=" _CC-01 부지정지 및 법면보호(예상)_CC-02 본관기초굴착 예상_당진78-연돌-개략공사비_부품 2" xfId="551"/>
    <cellStyle name=" _CC-01 부지정지 및 법면보호(예상)_CC-02 본관기초굴착 예상_부품" xfId="552"/>
    <cellStyle name=" _CC-01 부지정지 및 법면보호(예상)_CC-02 본관기초굴착 예상_부품 2" xfId="553"/>
    <cellStyle name=" _CC-01 부지정지 및 법면보호(예상)_CC-02 본관기초굴착 예상_연돌 현장타설말뚝(RCD)설계서" xfId="554"/>
    <cellStyle name=" _CC-01 부지정지 및 법면보호(예상)_CC-02 본관기초굴착 예상_연돌 현장타설말뚝(RCD)설계서 2" xfId="555"/>
    <cellStyle name=" _CC-01 부지정지 및 법면보호(예상)_경상정비 가설계서(12.07)" xfId="556"/>
    <cellStyle name=" _CC-01 부지정지 및 법면보호(예상)_경상정비 가설계서(12.07) 2" xfId="557"/>
    <cellStyle name=" _CC-01 부지정지 및 법면보호(예상)_경상정비 설계서(최종결재본)" xfId="558"/>
    <cellStyle name=" _CC-01 부지정지 및 법면보호(예상)_경상정비 설계서(최종결재본) 2" xfId="559"/>
    <cellStyle name=" _CC-01 부지정지 및 법면보호(예상)_경상정비 설계서(최종분11월19)" xfId="560"/>
    <cellStyle name=" _CC-01 부지정지 및 법면보호(예상)_경상정비 설계서(최종분11월19) 2" xfId="561"/>
    <cellStyle name=" _CC-01 부지정지 및 법면보호(예상)_당진78-연돌-개략공사비" xfId="562"/>
    <cellStyle name=" _CC-01 부지정지 및 법면보호(예상)_당진78-연돌-개략공사비 2" xfId="563"/>
    <cellStyle name=" _CC-01 부지정지 및 법면보호(예상)_당진78-연돌-개략공사비_1-온배수 양식장 가설계서" xfId="564"/>
    <cellStyle name=" _CC-01 부지정지 및 법면보호(예상)_당진78-연돌-개략공사비_1-온배수 양식장 가설계서 2" xfId="565"/>
    <cellStyle name=" _CC-01 부지정지 및 법면보호(예상)_당진78-연돌-개략공사비_경상정비 가설계서(12.07)" xfId="566"/>
    <cellStyle name=" _CC-01 부지정지 및 법면보호(예상)_당진78-연돌-개략공사비_경상정비 가설계서(12.07) 2" xfId="567"/>
    <cellStyle name=" _CC-01 부지정지 및 법면보호(예상)_당진78-연돌-개략공사비_경상정비 설계서(최종결재본)" xfId="568"/>
    <cellStyle name=" _CC-01 부지정지 및 법면보호(예상)_당진78-연돌-개략공사비_경상정비 설계서(최종결재본) 2" xfId="569"/>
    <cellStyle name=" _CC-01 부지정지 및 법면보호(예상)_당진78-연돌-개략공사비_경상정비 설계서(최종분11월19)" xfId="570"/>
    <cellStyle name=" _CC-01 부지정지 및 법면보호(예상)_당진78-연돌-개략공사비_경상정비 설계서(최종분11월19) 2" xfId="571"/>
    <cellStyle name=" _CC-01 부지정지 및 법면보호(예상)_당진78-연돌-개략공사비_부품" xfId="572"/>
    <cellStyle name=" _CC-01 부지정지 및 법면보호(예상)_당진78-연돌-개략공사비_부품 2" xfId="573"/>
    <cellStyle name=" _CC-01 부지정지 및 법면보호(예상)_본관기초굴착 예상도급" xfId="574"/>
    <cellStyle name=" _CC-01 부지정지 및 법면보호(예상)_본관기초굴착 예상도급 2" xfId="575"/>
    <cellStyle name=" _CC-01 부지정지 및 법면보호(예상)_본관기초굴착 예상도급_1 당진78-연돌-공사설계서(REV.0 12.14-kopec)" xfId="576"/>
    <cellStyle name=" _CC-01 부지정지 및 법면보호(예상)_본관기초굴착 예상도급_1 당진78-연돌-공사설계서(REV.0 12.14-kopec) 2" xfId="577"/>
    <cellStyle name=" _CC-01 부지정지 및 법면보호(예상)_본관기초굴착 예상도급_1.0t 당진78-연돌-수량산출서(REV.0 12.27-kopec)" xfId="580"/>
    <cellStyle name=" _CC-01 부지정지 및 법면보호(예상)_본관기초굴착 예상도급_1.0t 당진78-연돌-수량산출서(REV.0 12.27-kopec) 2" xfId="581"/>
    <cellStyle name=" _CC-01 부지정지 및 법면보호(예상)_본관기초굴착 예상도급_1-온배수 양식장 가설계서" xfId="578"/>
    <cellStyle name=" _CC-01 부지정지 및 법면보호(예상)_본관기초굴착 예상도급_1-온배수 양식장 가설계서 2" xfId="579"/>
    <cellStyle name=" _CC-01 부지정지 및 법면보호(예상)_본관기초굴착 예상도급_경상정비 가설계서(12.07)" xfId="582"/>
    <cellStyle name=" _CC-01 부지정지 및 법면보호(예상)_본관기초굴착 예상도급_경상정비 가설계서(12.07) 2" xfId="583"/>
    <cellStyle name=" _CC-01 부지정지 및 법면보호(예상)_본관기초굴착 예상도급_경상정비 설계서(최종결재본)" xfId="584"/>
    <cellStyle name=" _CC-01 부지정지 및 법면보호(예상)_본관기초굴착 예상도급_경상정비 설계서(최종결재본) 2" xfId="585"/>
    <cellStyle name=" _CC-01 부지정지 및 법면보호(예상)_본관기초굴착 예상도급_경상정비 설계서(최종분11월19)" xfId="586"/>
    <cellStyle name=" _CC-01 부지정지 및 법면보호(예상)_본관기초굴착 예상도급_경상정비 설계서(최종분11월19) 2" xfId="587"/>
    <cellStyle name=" _CC-01 부지정지 및 법면보호(예상)_본관기초굴착 예상도급_당진78-연돌-개략공사비" xfId="588"/>
    <cellStyle name=" _CC-01 부지정지 및 법면보호(예상)_본관기초굴착 예상도급_당진78-연돌-개략공사비 2" xfId="589"/>
    <cellStyle name=" _CC-01 부지정지 및 법면보호(예상)_본관기초굴착 예상도급_당진78-연돌-개략공사비_1-온배수 양식장 가설계서" xfId="590"/>
    <cellStyle name=" _CC-01 부지정지 및 법면보호(예상)_본관기초굴착 예상도급_당진78-연돌-개략공사비_1-온배수 양식장 가설계서 2" xfId="591"/>
    <cellStyle name=" _CC-01 부지정지 및 법면보호(예상)_본관기초굴착 예상도급_당진78-연돌-개략공사비_경상정비 가설계서(12.07)" xfId="592"/>
    <cellStyle name=" _CC-01 부지정지 및 법면보호(예상)_본관기초굴착 예상도급_당진78-연돌-개략공사비_경상정비 가설계서(12.07) 2" xfId="593"/>
    <cellStyle name=" _CC-01 부지정지 및 법면보호(예상)_본관기초굴착 예상도급_당진78-연돌-개략공사비_경상정비 설계서(최종결재본)" xfId="594"/>
    <cellStyle name=" _CC-01 부지정지 및 법면보호(예상)_본관기초굴착 예상도급_당진78-연돌-개략공사비_경상정비 설계서(최종결재본) 2" xfId="595"/>
    <cellStyle name=" _CC-01 부지정지 및 법면보호(예상)_본관기초굴착 예상도급_당진78-연돌-개략공사비_경상정비 설계서(최종분11월19)" xfId="596"/>
    <cellStyle name=" _CC-01 부지정지 및 법면보호(예상)_본관기초굴착 예상도급_당진78-연돌-개략공사비_경상정비 설계서(최종분11월19) 2" xfId="597"/>
    <cellStyle name=" _CC-01 부지정지 및 법면보호(예상)_본관기초굴착 예상도급_당진78-연돌-개략공사비_부품" xfId="598"/>
    <cellStyle name=" _CC-01 부지정지 및 법면보호(예상)_본관기초굴착 예상도급_당진78-연돌-개략공사비_부품 2" xfId="599"/>
    <cellStyle name=" _CC-01 부지정지 및 법면보호(예상)_본관기초굴착 예상도급_부품" xfId="600"/>
    <cellStyle name=" _CC-01 부지정지 및 법면보호(예상)_본관기초굴착 예상도급_부품 2" xfId="601"/>
    <cellStyle name=" _CC-01 부지정지 및 법면보호(예상)_본관기초굴착 예상도급_연돌 현장타설말뚝(RCD)설계서" xfId="602"/>
    <cellStyle name=" _CC-01 부지정지 및 법면보호(예상)_본관기초굴착 예상도급_연돌 현장타설말뚝(RCD)설계서 2" xfId="603"/>
    <cellStyle name=" _CC-01 부지정지 및 법면보호(예상)_부품" xfId="604"/>
    <cellStyle name=" _CC-01 부지정지 및 법면보호(예상)_부품 2" xfId="605"/>
    <cellStyle name=" _CC-01 부지정지 및 법면보호(예상)_연돌 현장타설말뚝(RCD)설계서" xfId="606"/>
    <cellStyle name=" _CC-01 부지정지 및 법면보호(예상)_연돌 현장타설말뚝(RCD)설계서 2" xfId="607"/>
    <cellStyle name=" _CC-02 본관기초굴착 예상" xfId="608"/>
    <cellStyle name=" _CC-02 본관기초굴착 예상 2" xfId="609"/>
    <cellStyle name=" _CC-02 본관기초굴착 예상_1 당진78-연돌-공사설계서(REV.0 12.14-kopec)" xfId="610"/>
    <cellStyle name=" _CC-02 본관기초굴착 예상_1 당진78-연돌-공사설계서(REV.0 12.14-kopec) 2" xfId="611"/>
    <cellStyle name=" _CC-02 본관기초굴착 예상_1.0t 당진78-연돌-수량산출서(REV.0 12.27-kopec)" xfId="612"/>
    <cellStyle name=" _CC-02 본관기초굴착 예상_1.0t 당진78-연돌-수량산출서(REV.0 12.27-kopec) 2" xfId="613"/>
    <cellStyle name=" _CC-02 본관기초굴착 예상_당진78-연돌-개략공사비" xfId="614"/>
    <cellStyle name=" _CC-02 본관기초굴착 예상_당진78-연돌-개략공사비 2" xfId="615"/>
    <cellStyle name=" _CC-02 본관기초굴착 예상_연돌 현장타설말뚝(RCD)설계서" xfId="616"/>
    <cellStyle name=" _CC-02 본관기초굴착 예상_연돌 현장타설말뚝(RCD)설계서 2" xfId="617"/>
    <cellStyle name=" _CC-04(수정)" xfId="618"/>
    <cellStyle name=" _CC-04(수정) 2" xfId="619"/>
    <cellStyle name=" _CC-05 취수관로 축조(단가)" xfId="620"/>
    <cellStyle name=" _CC-05 취수관로 축조(단가) 2" xfId="621"/>
    <cellStyle name=" _CC-05 취수관로 축조(단가)_1 당진78-연돌-공사설계서(REV.0 12.14-kopec)" xfId="622"/>
    <cellStyle name=" _CC-05 취수관로 축조(단가)_1 당진78-연돌-공사설계서(REV.0 12.14-kopec) 2" xfId="623"/>
    <cellStyle name=" _CC-05 취수관로 축조(단가)_1.0t 당진78-연돌-수량산출서(REV.0 12.27-kopec)" xfId="624"/>
    <cellStyle name=" _CC-05 취수관로 축조(단가)_1.0t 당진78-연돌-수량산출서(REV.0 12.27-kopec) 2" xfId="625"/>
    <cellStyle name=" _CC-05 취수관로 축조(단가)_CC-02 본관기초굴착 예상" xfId="626"/>
    <cellStyle name=" _CC-05 취수관로 축조(단가)_CC-02 본관기초굴착 예상 2" xfId="627"/>
    <cellStyle name=" _CC-05 취수관로 축조(단가)_CC-02 본관기초굴착 예상_1 당진78-연돌-공사설계서(REV.0 12.14-kopec)" xfId="628"/>
    <cellStyle name=" _CC-05 취수관로 축조(단가)_CC-02 본관기초굴착 예상_1 당진78-연돌-공사설계서(REV.0 12.14-kopec) 2" xfId="629"/>
    <cellStyle name=" _CC-05 취수관로 축조(단가)_CC-02 본관기초굴착 예상_1.0t 당진78-연돌-수량산출서(REV.0 12.27-kopec)" xfId="630"/>
    <cellStyle name=" _CC-05 취수관로 축조(단가)_CC-02 본관기초굴착 예상_1.0t 당진78-연돌-수량산출서(REV.0 12.27-kopec) 2" xfId="631"/>
    <cellStyle name=" _CC-05 취수관로 축조(단가)_CC-02 본관기초굴착 예상_당진78-연돌-개략공사비" xfId="632"/>
    <cellStyle name=" _CC-05 취수관로 축조(단가)_CC-02 본관기초굴착 예상_당진78-연돌-개략공사비 2" xfId="633"/>
    <cellStyle name=" _CC-05 취수관로 축조(단가)_CC-02 본관기초굴착 예상_연돌 현장타설말뚝(RCD)설계서" xfId="634"/>
    <cellStyle name=" _CC-05 취수관로 축조(단가)_CC-02 본관기초굴착 예상_연돌 현장타설말뚝(RCD)설계서 2" xfId="635"/>
    <cellStyle name=" _CC-05 취수관로 축조(단가)_당진78-연돌-개략공사비" xfId="636"/>
    <cellStyle name=" _CC-05 취수관로 축조(단가)_당진78-연돌-개략공사비 2" xfId="637"/>
    <cellStyle name=" _CC-05 취수관로 축조(단가)_본관기초 가실행" xfId="638"/>
    <cellStyle name=" _CC-05 취수관로 축조(단가)_본관기초 가실행 2" xfId="639"/>
    <cellStyle name=" _CC-05 취수관로 축조(단가)_본관기초 가실행_1 당진78-연돌-공사설계서(REV.0 12.14-kopec)" xfId="640"/>
    <cellStyle name=" _CC-05 취수관로 축조(단가)_본관기초 가실행_1 당진78-연돌-공사설계서(REV.0 12.14-kopec) 2" xfId="641"/>
    <cellStyle name=" _CC-05 취수관로 축조(단가)_본관기초 가실행_1.0t 당진78-연돌-수량산출서(REV.0 12.27-kopec)" xfId="642"/>
    <cellStyle name=" _CC-05 취수관로 축조(단가)_본관기초 가실행_1.0t 당진78-연돌-수량산출서(REV.0 12.27-kopec) 2" xfId="643"/>
    <cellStyle name=" _CC-05 취수관로 축조(단가)_본관기초 가실행_당진78-연돌-개략공사비" xfId="644"/>
    <cellStyle name=" _CC-05 취수관로 축조(단가)_본관기초 가실행_당진78-연돌-개략공사비 2" xfId="645"/>
    <cellStyle name=" _CC-05 취수관로 축조(단가)_본관기초 가실행_연돌 현장타설말뚝(RCD)설계서" xfId="646"/>
    <cellStyle name=" _CC-05 취수관로 축조(단가)_본관기초 가실행_연돌 현장타설말뚝(RCD)설계서 2" xfId="647"/>
    <cellStyle name=" _CC-05 취수관로 축조(단가)_본관기초굴착 예상도급" xfId="648"/>
    <cellStyle name=" _CC-05 취수관로 축조(단가)_본관기초굴착 예상도급 2" xfId="649"/>
    <cellStyle name=" _CC-05 취수관로 축조(단가)_본관기초굴착 예상도급_1 당진78-연돌-공사설계서(REV.0 12.14-kopec)" xfId="650"/>
    <cellStyle name=" _CC-05 취수관로 축조(단가)_본관기초굴착 예상도급_1 당진78-연돌-공사설계서(REV.0 12.14-kopec) 2" xfId="651"/>
    <cellStyle name=" _CC-05 취수관로 축조(단가)_본관기초굴착 예상도급_1.0t 당진78-연돌-수량산출서(REV.0 12.27-kopec)" xfId="652"/>
    <cellStyle name=" _CC-05 취수관로 축조(단가)_본관기초굴착 예상도급_1.0t 당진78-연돌-수량산출서(REV.0 12.27-kopec) 2" xfId="653"/>
    <cellStyle name=" _CC-05 취수관로 축조(단가)_본관기초굴착 예상도급_당진78-연돌-개략공사비" xfId="654"/>
    <cellStyle name=" _CC-05 취수관로 축조(단가)_본관기초굴착 예상도급_당진78-연돌-개략공사비 2" xfId="655"/>
    <cellStyle name=" _CC-05 취수관로 축조(단가)_본관기초굴착 예상도급_연돌 현장타설말뚝(RCD)설계서" xfId="656"/>
    <cellStyle name=" _CC-05 취수관로 축조(단가)_본관기초굴착 예상도급_연돌 현장타설말뚝(RCD)설계서 2" xfId="657"/>
    <cellStyle name=" _CC-05 취수관로 축조(단가)_사무실포장가실행" xfId="658"/>
    <cellStyle name=" _CC-05 취수관로 축조(단가)_사무실포장가실행 2" xfId="659"/>
    <cellStyle name=" _CC-05 취수관로 축조(단가)_연돌 현장타설말뚝(RCD)설계서" xfId="660"/>
    <cellStyle name=" _CC-05 취수관로 축조(단가)_연돌 현장타설말뚝(RCD)설계서 2" xfId="661"/>
    <cellStyle name=" _CC-05 취수관로 축조(단가)_한태견적의뢰" xfId="662"/>
    <cellStyle name=" _CC-05 취수관로 축조(단가)_한태견적의뢰 2" xfId="663"/>
    <cellStyle name=" _CC-07 옥외기기 및 전기집진기기초(단가)" xfId="664"/>
    <cellStyle name=" _CC-07 옥외기기 및 전기집진기기초(단가) 2" xfId="665"/>
    <cellStyle name=" _CC-07 옥외기기 및 전기집진기기초(단가)_1 당진78-연돌-공사설계서(REV.0 12.14-kopec)" xfId="666"/>
    <cellStyle name=" _CC-07 옥외기기 및 전기집진기기초(단가)_1 당진78-연돌-공사설계서(REV.0 12.14-kopec) 2" xfId="667"/>
    <cellStyle name=" _CC-07 옥외기기 및 전기집진기기초(단가)_1.0t 당진78-연돌-수량산출서(REV.0 12.27-kopec)" xfId="668"/>
    <cellStyle name=" _CC-07 옥외기기 및 전기집진기기초(단가)_1.0t 당진78-연돌-수량산출서(REV.0 12.27-kopec) 2" xfId="669"/>
    <cellStyle name=" _CC-07 옥외기기 및 전기집진기기초(단가)_CC-02 본관기초굴착 예상" xfId="670"/>
    <cellStyle name=" _CC-07 옥외기기 및 전기집진기기초(단가)_CC-02 본관기초굴착 예상 2" xfId="671"/>
    <cellStyle name=" _CC-07 옥외기기 및 전기집진기기초(단가)_CC-02 본관기초굴착 예상_1 당진78-연돌-공사설계서(REV.0 12.14-kopec)" xfId="672"/>
    <cellStyle name=" _CC-07 옥외기기 및 전기집진기기초(단가)_CC-02 본관기초굴착 예상_1 당진78-연돌-공사설계서(REV.0 12.14-kopec) 2" xfId="673"/>
    <cellStyle name=" _CC-07 옥외기기 및 전기집진기기초(단가)_CC-02 본관기초굴착 예상_1.0t 당진78-연돌-수량산출서(REV.0 12.27-kopec)" xfId="674"/>
    <cellStyle name=" _CC-07 옥외기기 및 전기집진기기초(단가)_CC-02 본관기초굴착 예상_1.0t 당진78-연돌-수량산출서(REV.0 12.27-kopec) 2" xfId="675"/>
    <cellStyle name=" _CC-07 옥외기기 및 전기집진기기초(단가)_CC-02 본관기초굴착 예상_당진78-연돌-개략공사비" xfId="676"/>
    <cellStyle name=" _CC-07 옥외기기 및 전기집진기기초(단가)_CC-02 본관기초굴착 예상_당진78-연돌-개략공사비 2" xfId="677"/>
    <cellStyle name=" _CC-07 옥외기기 및 전기집진기기초(단가)_CC-02 본관기초굴착 예상_연돌 현장타설말뚝(RCD)설계서" xfId="678"/>
    <cellStyle name=" _CC-07 옥외기기 및 전기집진기기초(단가)_CC-02 본관기초굴착 예상_연돌 현장타설말뚝(RCD)설계서 2" xfId="679"/>
    <cellStyle name=" _CC-07 옥외기기 및 전기집진기기초(단가)_당진78-연돌-개략공사비" xfId="680"/>
    <cellStyle name=" _CC-07 옥외기기 및 전기집진기기초(단가)_당진78-연돌-개략공사비 2" xfId="681"/>
    <cellStyle name=" _CC-07 옥외기기 및 전기집진기기초(단가)_본관기초 가실행" xfId="682"/>
    <cellStyle name=" _CC-07 옥외기기 및 전기집진기기초(단가)_본관기초 가실행 2" xfId="683"/>
    <cellStyle name=" _CC-07 옥외기기 및 전기집진기기초(단가)_본관기초 가실행_1 당진78-연돌-공사설계서(REV.0 12.14-kopec)" xfId="684"/>
    <cellStyle name=" _CC-07 옥외기기 및 전기집진기기초(단가)_본관기초 가실행_1 당진78-연돌-공사설계서(REV.0 12.14-kopec) 2" xfId="685"/>
    <cellStyle name=" _CC-07 옥외기기 및 전기집진기기초(단가)_본관기초 가실행_1.0t 당진78-연돌-수량산출서(REV.0 12.27-kopec)" xfId="686"/>
    <cellStyle name=" _CC-07 옥외기기 및 전기집진기기초(단가)_본관기초 가실행_1.0t 당진78-연돌-수량산출서(REV.0 12.27-kopec) 2" xfId="687"/>
    <cellStyle name=" _CC-07 옥외기기 및 전기집진기기초(단가)_본관기초 가실행_당진78-연돌-개략공사비" xfId="688"/>
    <cellStyle name=" _CC-07 옥외기기 및 전기집진기기초(단가)_본관기초 가실행_당진78-연돌-개략공사비 2" xfId="689"/>
    <cellStyle name=" _CC-07 옥외기기 및 전기집진기기초(단가)_본관기초 가실행_연돌 현장타설말뚝(RCD)설계서" xfId="690"/>
    <cellStyle name=" _CC-07 옥외기기 및 전기집진기기초(단가)_본관기초 가실행_연돌 현장타설말뚝(RCD)설계서 2" xfId="691"/>
    <cellStyle name=" _CC-07 옥외기기 및 전기집진기기초(단가)_본관기초굴착 예상도급" xfId="692"/>
    <cellStyle name=" _CC-07 옥외기기 및 전기집진기기초(단가)_본관기초굴착 예상도급 2" xfId="693"/>
    <cellStyle name=" _CC-07 옥외기기 및 전기집진기기초(단가)_본관기초굴착 예상도급_1 당진78-연돌-공사설계서(REV.0 12.14-kopec)" xfId="694"/>
    <cellStyle name=" _CC-07 옥외기기 및 전기집진기기초(단가)_본관기초굴착 예상도급_1 당진78-연돌-공사설계서(REV.0 12.14-kopec) 2" xfId="695"/>
    <cellStyle name=" _CC-07 옥외기기 및 전기집진기기초(단가)_본관기초굴착 예상도급_1.0t 당진78-연돌-수량산출서(REV.0 12.27-kopec)" xfId="696"/>
    <cellStyle name=" _CC-07 옥외기기 및 전기집진기기초(단가)_본관기초굴착 예상도급_1.0t 당진78-연돌-수량산출서(REV.0 12.27-kopec) 2" xfId="697"/>
    <cellStyle name=" _CC-07 옥외기기 및 전기집진기기초(단가)_본관기초굴착 예상도급_당진78-연돌-개략공사비" xfId="698"/>
    <cellStyle name=" _CC-07 옥외기기 및 전기집진기기초(단가)_본관기초굴착 예상도급_당진78-연돌-개략공사비 2" xfId="699"/>
    <cellStyle name=" _CC-07 옥외기기 및 전기집진기기초(단가)_본관기초굴착 예상도급_연돌 현장타설말뚝(RCD)설계서" xfId="700"/>
    <cellStyle name=" _CC-07 옥외기기 및 전기집진기기초(단가)_본관기초굴착 예상도급_연돌 현장타설말뚝(RCD)설계서 2" xfId="701"/>
    <cellStyle name=" _CC-07 옥외기기 및 전기집진기기초(단가)_사무실포장가실행" xfId="702"/>
    <cellStyle name=" _CC-07 옥외기기 및 전기집진기기초(단가)_사무실포장가실행 2" xfId="703"/>
    <cellStyle name=" _CC-07 옥외기기 및 전기집진기기초(단가)_연돌 현장타설말뚝(RCD)설계서" xfId="704"/>
    <cellStyle name=" _CC-07 옥외기기 및 전기집진기기초(단가)_연돌 현장타설말뚝(RCD)설계서 2" xfId="705"/>
    <cellStyle name=" _CC-07 옥외기기 및 전기집진기기초(단가)_직접공사비 집계" xfId="706"/>
    <cellStyle name=" _CC-07 옥외기기 및 전기집진기기초(단가)_직접공사비 집계 2" xfId="707"/>
    <cellStyle name=" _CC-07 옥외기기 및 전기집진기기초(단가)_직접공사비 집계_1 당진78-연돌-공사설계서(REV.0 12.14-kopec)" xfId="708"/>
    <cellStyle name=" _CC-07 옥외기기 및 전기집진기기초(단가)_직접공사비 집계_1 당진78-연돌-공사설계서(REV.0 12.14-kopec) 2" xfId="709"/>
    <cellStyle name=" _CC-07 옥외기기 및 전기집진기기초(단가)_직접공사비 집계_1.0t 당진78-연돌-수량산출서(REV.0 12.27-kopec)" xfId="710"/>
    <cellStyle name=" _CC-07 옥외기기 및 전기집진기기초(단가)_직접공사비 집계_1.0t 당진78-연돌-수량산출서(REV.0 12.27-kopec) 2" xfId="711"/>
    <cellStyle name=" _CC-07 옥외기기 및 전기집진기기초(단가)_직접공사비 집계_CC-02 본관기초굴착 예상" xfId="712"/>
    <cellStyle name=" _CC-07 옥외기기 및 전기집진기기초(단가)_직접공사비 집계_CC-02 본관기초굴착 예상 2" xfId="713"/>
    <cellStyle name=" _CC-07 옥외기기 및 전기집진기기초(단가)_직접공사비 집계_CC-02 본관기초굴착 예상_1 당진78-연돌-공사설계서(REV.0 12.14-kopec)" xfId="714"/>
    <cellStyle name=" _CC-07 옥외기기 및 전기집진기기초(단가)_직접공사비 집계_CC-02 본관기초굴착 예상_1 당진78-연돌-공사설계서(REV.0 12.14-kopec) 2" xfId="715"/>
    <cellStyle name=" _CC-07 옥외기기 및 전기집진기기초(단가)_직접공사비 집계_CC-02 본관기초굴착 예상_1.0t 당진78-연돌-수량산출서(REV.0 12.27-kopec)" xfId="716"/>
    <cellStyle name=" _CC-07 옥외기기 및 전기집진기기초(단가)_직접공사비 집계_CC-02 본관기초굴착 예상_1.0t 당진78-연돌-수량산출서(REV.0 12.27-kopec) 2" xfId="717"/>
    <cellStyle name=" _CC-07 옥외기기 및 전기집진기기초(단가)_직접공사비 집계_CC-02 본관기초굴착 예상_당진78-연돌-개략공사비" xfId="718"/>
    <cellStyle name=" _CC-07 옥외기기 및 전기집진기기초(단가)_직접공사비 집계_CC-02 본관기초굴착 예상_당진78-연돌-개략공사비 2" xfId="719"/>
    <cellStyle name=" _CC-07 옥외기기 및 전기집진기기초(단가)_직접공사비 집계_CC-02 본관기초굴착 예상_연돌 현장타설말뚝(RCD)설계서" xfId="720"/>
    <cellStyle name=" _CC-07 옥외기기 및 전기집진기기초(단가)_직접공사비 집계_CC-02 본관기초굴착 예상_연돌 현장타설말뚝(RCD)설계서 2" xfId="721"/>
    <cellStyle name=" _CC-07 옥외기기 및 전기집진기기초(단가)_직접공사비 집계_당진78-연돌-개략공사비" xfId="722"/>
    <cellStyle name=" _CC-07 옥외기기 및 전기집진기기초(단가)_직접공사비 집계_당진78-연돌-개략공사비 2" xfId="723"/>
    <cellStyle name=" _CC-07 옥외기기 및 전기집진기기초(단가)_직접공사비 집계_본관기초 가실행" xfId="724"/>
    <cellStyle name=" _CC-07 옥외기기 및 전기집진기기초(단가)_직접공사비 집계_본관기초 가실행 2" xfId="725"/>
    <cellStyle name=" _CC-07 옥외기기 및 전기집진기기초(단가)_직접공사비 집계_본관기초 가실행_1 당진78-연돌-공사설계서(REV.0 12.14-kopec)" xfId="726"/>
    <cellStyle name=" _CC-07 옥외기기 및 전기집진기기초(단가)_직접공사비 집계_본관기초 가실행_1 당진78-연돌-공사설계서(REV.0 12.14-kopec) 2" xfId="727"/>
    <cellStyle name=" _CC-07 옥외기기 및 전기집진기기초(단가)_직접공사비 집계_본관기초 가실행_1.0t 당진78-연돌-수량산출서(REV.0 12.27-kopec)" xfId="728"/>
    <cellStyle name=" _CC-07 옥외기기 및 전기집진기기초(단가)_직접공사비 집계_본관기초 가실행_1.0t 당진78-연돌-수량산출서(REV.0 12.27-kopec) 2" xfId="729"/>
    <cellStyle name=" _CC-07 옥외기기 및 전기집진기기초(단가)_직접공사비 집계_본관기초 가실행_당진78-연돌-개략공사비" xfId="730"/>
    <cellStyle name=" _CC-07 옥외기기 및 전기집진기기초(단가)_직접공사비 집계_본관기초 가실행_당진78-연돌-개략공사비 2" xfId="731"/>
    <cellStyle name=" _CC-07 옥외기기 및 전기집진기기초(단가)_직접공사비 집계_본관기초 가실행_연돌 현장타설말뚝(RCD)설계서" xfId="732"/>
    <cellStyle name=" _CC-07 옥외기기 및 전기집진기기초(단가)_직접공사비 집계_본관기초 가실행_연돌 현장타설말뚝(RCD)설계서 2" xfId="733"/>
    <cellStyle name=" _CC-07 옥외기기 및 전기집진기기초(단가)_직접공사비 집계_본관기초굴착 예상도급" xfId="734"/>
    <cellStyle name=" _CC-07 옥외기기 및 전기집진기기초(단가)_직접공사비 집계_본관기초굴착 예상도급 2" xfId="735"/>
    <cellStyle name=" _CC-07 옥외기기 및 전기집진기기초(단가)_직접공사비 집계_본관기초굴착 예상도급_1 당진78-연돌-공사설계서(REV.0 12.14-kopec)" xfId="736"/>
    <cellStyle name=" _CC-07 옥외기기 및 전기집진기기초(단가)_직접공사비 집계_본관기초굴착 예상도급_1 당진78-연돌-공사설계서(REV.0 12.14-kopec) 2" xfId="737"/>
    <cellStyle name=" _CC-07 옥외기기 및 전기집진기기초(단가)_직접공사비 집계_본관기초굴착 예상도급_1.0t 당진78-연돌-수량산출서(REV.0 12.27-kopec)" xfId="738"/>
    <cellStyle name=" _CC-07 옥외기기 및 전기집진기기초(단가)_직접공사비 집계_본관기초굴착 예상도급_1.0t 당진78-연돌-수량산출서(REV.0 12.27-kopec) 2" xfId="739"/>
    <cellStyle name=" _CC-07 옥외기기 및 전기집진기기초(단가)_직접공사비 집계_본관기초굴착 예상도급_당진78-연돌-개략공사비" xfId="740"/>
    <cellStyle name=" _CC-07 옥외기기 및 전기집진기기초(단가)_직접공사비 집계_본관기초굴착 예상도급_당진78-연돌-개략공사비 2" xfId="741"/>
    <cellStyle name=" _CC-07 옥외기기 및 전기집진기기초(단가)_직접공사비 집계_본관기초굴착 예상도급_연돌 현장타설말뚝(RCD)설계서" xfId="742"/>
    <cellStyle name=" _CC-07 옥외기기 및 전기집진기기초(단가)_직접공사비 집계_본관기초굴착 예상도급_연돌 현장타설말뚝(RCD)설계서 2" xfId="743"/>
    <cellStyle name=" _CC-07 옥외기기 및 전기집진기기초(단가)_직접공사비 집계_연돌 현장타설말뚝(RCD)설계서" xfId="744"/>
    <cellStyle name=" _CC-07 옥외기기 및 전기집진기기초(단가)_직접공사비 집계_연돌 현장타설말뚝(RCD)설계서 2" xfId="745"/>
    <cellStyle name=" _CC-07 옥외기기 및 전기집진기기초(단가)_직접공사비 집계_한태견적의뢰" xfId="746"/>
    <cellStyle name=" _CC-07 옥외기기 및 전기집진기기초(단가)_직접공사비 집계_한태견적의뢰 2" xfId="747"/>
    <cellStyle name=" _CC-07 옥외기기 및 전기집진기기초(단가)_한태견적의뢰" xfId="748"/>
    <cellStyle name=" _CC-07 옥외기기 및 전기집진기기초(단가)_한태견적의뢰 2" xfId="749"/>
    <cellStyle name=" _CC-08 옥외탱크 기초(단가)" xfId="750"/>
    <cellStyle name=" _CC-08 옥외탱크 기초(단가) 2" xfId="751"/>
    <cellStyle name=" _CC-08 옥외탱크 기초(단가)_1 당진78-연돌-공사설계서(REV.0 12.14-kopec)" xfId="752"/>
    <cellStyle name=" _CC-08 옥외탱크 기초(단가)_1 당진78-연돌-공사설계서(REV.0 12.14-kopec) 2" xfId="753"/>
    <cellStyle name=" _CC-08 옥외탱크 기초(단가)_1.0t 당진78-연돌-수량산출서(REV.0 12.27-kopec)" xfId="754"/>
    <cellStyle name=" _CC-08 옥외탱크 기초(단가)_1.0t 당진78-연돌-수량산출서(REV.0 12.27-kopec) 2" xfId="755"/>
    <cellStyle name=" _CC-08 옥외탱크 기초(단가)_CC-02 본관기초굴착 예상" xfId="756"/>
    <cellStyle name=" _CC-08 옥외탱크 기초(단가)_CC-02 본관기초굴착 예상 2" xfId="757"/>
    <cellStyle name=" _CC-08 옥외탱크 기초(단가)_CC-02 본관기초굴착 예상_1 당진78-연돌-공사설계서(REV.0 12.14-kopec)" xfId="758"/>
    <cellStyle name=" _CC-08 옥외탱크 기초(단가)_CC-02 본관기초굴착 예상_1 당진78-연돌-공사설계서(REV.0 12.14-kopec) 2" xfId="759"/>
    <cellStyle name=" _CC-08 옥외탱크 기초(단가)_CC-02 본관기초굴착 예상_1.0t 당진78-연돌-수량산출서(REV.0 12.27-kopec)" xfId="760"/>
    <cellStyle name=" _CC-08 옥외탱크 기초(단가)_CC-02 본관기초굴착 예상_1.0t 당진78-연돌-수량산출서(REV.0 12.27-kopec) 2" xfId="761"/>
    <cellStyle name=" _CC-08 옥외탱크 기초(단가)_CC-02 본관기초굴착 예상_당진78-연돌-개략공사비" xfId="762"/>
    <cellStyle name=" _CC-08 옥외탱크 기초(단가)_CC-02 본관기초굴착 예상_당진78-연돌-개략공사비 2" xfId="763"/>
    <cellStyle name=" _CC-08 옥외탱크 기초(단가)_CC-02 본관기초굴착 예상_연돌 현장타설말뚝(RCD)설계서" xfId="764"/>
    <cellStyle name=" _CC-08 옥외탱크 기초(단가)_CC-02 본관기초굴착 예상_연돌 현장타설말뚝(RCD)설계서 2" xfId="765"/>
    <cellStyle name=" _CC-08 옥외탱크 기초(단가)_당진78-연돌-개략공사비" xfId="766"/>
    <cellStyle name=" _CC-08 옥외탱크 기초(단가)_당진78-연돌-개략공사비 2" xfId="767"/>
    <cellStyle name=" _CC-08 옥외탱크 기초(단가)_본관기초 가실행" xfId="768"/>
    <cellStyle name=" _CC-08 옥외탱크 기초(단가)_본관기초 가실행 2" xfId="769"/>
    <cellStyle name=" _CC-08 옥외탱크 기초(단가)_본관기초 가실행_1 당진78-연돌-공사설계서(REV.0 12.14-kopec)" xfId="770"/>
    <cellStyle name=" _CC-08 옥외탱크 기초(단가)_본관기초 가실행_1 당진78-연돌-공사설계서(REV.0 12.14-kopec) 2" xfId="771"/>
    <cellStyle name=" _CC-08 옥외탱크 기초(단가)_본관기초 가실행_1.0t 당진78-연돌-수량산출서(REV.0 12.27-kopec)" xfId="772"/>
    <cellStyle name=" _CC-08 옥외탱크 기초(단가)_본관기초 가실행_1.0t 당진78-연돌-수량산출서(REV.0 12.27-kopec) 2" xfId="773"/>
    <cellStyle name=" _CC-08 옥외탱크 기초(단가)_본관기초 가실행_당진78-연돌-개략공사비" xfId="774"/>
    <cellStyle name=" _CC-08 옥외탱크 기초(단가)_본관기초 가실행_당진78-연돌-개략공사비 2" xfId="775"/>
    <cellStyle name=" _CC-08 옥외탱크 기초(단가)_본관기초 가실행_연돌 현장타설말뚝(RCD)설계서" xfId="776"/>
    <cellStyle name=" _CC-08 옥외탱크 기초(단가)_본관기초 가실행_연돌 현장타설말뚝(RCD)설계서 2" xfId="777"/>
    <cellStyle name=" _CC-08 옥외탱크 기초(단가)_본관기초굴착 예상도급" xfId="778"/>
    <cellStyle name=" _CC-08 옥외탱크 기초(단가)_본관기초굴착 예상도급 2" xfId="779"/>
    <cellStyle name=" _CC-08 옥외탱크 기초(단가)_본관기초굴착 예상도급_1 당진78-연돌-공사설계서(REV.0 12.14-kopec)" xfId="780"/>
    <cellStyle name=" _CC-08 옥외탱크 기초(단가)_본관기초굴착 예상도급_1 당진78-연돌-공사설계서(REV.0 12.14-kopec) 2" xfId="781"/>
    <cellStyle name=" _CC-08 옥외탱크 기초(단가)_본관기초굴착 예상도급_1.0t 당진78-연돌-수량산출서(REV.0 12.27-kopec)" xfId="782"/>
    <cellStyle name=" _CC-08 옥외탱크 기초(단가)_본관기초굴착 예상도급_1.0t 당진78-연돌-수량산출서(REV.0 12.27-kopec) 2" xfId="783"/>
    <cellStyle name=" _CC-08 옥외탱크 기초(단가)_본관기초굴착 예상도급_당진78-연돌-개략공사비" xfId="784"/>
    <cellStyle name=" _CC-08 옥외탱크 기초(단가)_본관기초굴착 예상도급_당진78-연돌-개략공사비 2" xfId="785"/>
    <cellStyle name=" _CC-08 옥외탱크 기초(단가)_본관기초굴착 예상도급_연돌 현장타설말뚝(RCD)설계서" xfId="786"/>
    <cellStyle name=" _CC-08 옥외탱크 기초(단가)_본관기초굴착 예상도급_연돌 현장타설말뚝(RCD)설계서 2" xfId="787"/>
    <cellStyle name=" _CC-08 옥외탱크 기초(단가)_사무실포장가실행" xfId="788"/>
    <cellStyle name=" _CC-08 옥외탱크 기초(단가)_사무실포장가실행 2" xfId="789"/>
    <cellStyle name=" _CC-08 옥외탱크 기초(단가)_연돌 현장타설말뚝(RCD)설계서" xfId="790"/>
    <cellStyle name=" _CC-08 옥외탱크 기초(단가)_연돌 현장타설말뚝(RCD)설계서 2" xfId="791"/>
    <cellStyle name=" _CC-08 옥외탱크 기초(단가)_직접공사비 집계" xfId="792"/>
    <cellStyle name=" _CC-08 옥외탱크 기초(단가)_직접공사비 집계 2" xfId="793"/>
    <cellStyle name=" _CC-08 옥외탱크 기초(단가)_직접공사비 집계_1 당진78-연돌-공사설계서(REV.0 12.14-kopec)" xfId="794"/>
    <cellStyle name=" _CC-08 옥외탱크 기초(단가)_직접공사비 집계_1 당진78-연돌-공사설계서(REV.0 12.14-kopec) 2" xfId="795"/>
    <cellStyle name=" _CC-08 옥외탱크 기초(단가)_직접공사비 집계_1.0t 당진78-연돌-수량산출서(REV.0 12.27-kopec)" xfId="796"/>
    <cellStyle name=" _CC-08 옥외탱크 기초(단가)_직접공사비 집계_1.0t 당진78-연돌-수량산출서(REV.0 12.27-kopec) 2" xfId="797"/>
    <cellStyle name=" _CC-08 옥외탱크 기초(단가)_직접공사비 집계_CC-02 본관기초굴착 예상" xfId="798"/>
    <cellStyle name=" _CC-08 옥외탱크 기초(단가)_직접공사비 집계_CC-02 본관기초굴착 예상 2" xfId="799"/>
    <cellStyle name=" _CC-08 옥외탱크 기초(단가)_직접공사비 집계_CC-02 본관기초굴착 예상_1 당진78-연돌-공사설계서(REV.0 12.14-kopec)" xfId="800"/>
    <cellStyle name=" _CC-08 옥외탱크 기초(단가)_직접공사비 집계_CC-02 본관기초굴착 예상_1 당진78-연돌-공사설계서(REV.0 12.14-kopec) 2" xfId="801"/>
    <cellStyle name=" _CC-08 옥외탱크 기초(단가)_직접공사비 집계_CC-02 본관기초굴착 예상_1.0t 당진78-연돌-수량산출서(REV.0 12.27-kopec)" xfId="802"/>
    <cellStyle name=" _CC-08 옥외탱크 기초(단가)_직접공사비 집계_CC-02 본관기초굴착 예상_1.0t 당진78-연돌-수량산출서(REV.0 12.27-kopec) 2" xfId="803"/>
    <cellStyle name=" _CC-08 옥외탱크 기초(단가)_직접공사비 집계_CC-02 본관기초굴착 예상_당진78-연돌-개략공사비" xfId="804"/>
    <cellStyle name=" _CC-08 옥외탱크 기초(단가)_직접공사비 집계_CC-02 본관기초굴착 예상_당진78-연돌-개략공사비 2" xfId="805"/>
    <cellStyle name=" _CC-08 옥외탱크 기초(단가)_직접공사비 집계_CC-02 본관기초굴착 예상_연돌 현장타설말뚝(RCD)설계서" xfId="806"/>
    <cellStyle name=" _CC-08 옥외탱크 기초(단가)_직접공사비 집계_CC-02 본관기초굴착 예상_연돌 현장타설말뚝(RCD)설계서 2" xfId="807"/>
    <cellStyle name=" _CC-08 옥외탱크 기초(단가)_직접공사비 집계_당진78-연돌-개략공사비" xfId="808"/>
    <cellStyle name=" _CC-08 옥외탱크 기초(단가)_직접공사비 집계_당진78-연돌-개략공사비 2" xfId="809"/>
    <cellStyle name=" _CC-08 옥외탱크 기초(단가)_직접공사비 집계_본관기초 가실행" xfId="810"/>
    <cellStyle name=" _CC-08 옥외탱크 기초(단가)_직접공사비 집계_본관기초 가실행 2" xfId="811"/>
    <cellStyle name=" _CC-08 옥외탱크 기초(단가)_직접공사비 집계_본관기초 가실행_1 당진78-연돌-공사설계서(REV.0 12.14-kopec)" xfId="812"/>
    <cellStyle name=" _CC-08 옥외탱크 기초(단가)_직접공사비 집계_본관기초 가실행_1 당진78-연돌-공사설계서(REV.0 12.14-kopec) 2" xfId="813"/>
    <cellStyle name=" _CC-08 옥외탱크 기초(단가)_직접공사비 집계_본관기초 가실행_1.0t 당진78-연돌-수량산출서(REV.0 12.27-kopec)" xfId="814"/>
    <cellStyle name=" _CC-08 옥외탱크 기초(단가)_직접공사비 집계_본관기초 가실행_1.0t 당진78-연돌-수량산출서(REV.0 12.27-kopec) 2" xfId="815"/>
    <cellStyle name=" _CC-08 옥외탱크 기초(단가)_직접공사비 집계_본관기초 가실행_당진78-연돌-개략공사비" xfId="816"/>
    <cellStyle name=" _CC-08 옥외탱크 기초(단가)_직접공사비 집계_본관기초 가실행_당진78-연돌-개략공사비 2" xfId="817"/>
    <cellStyle name=" _CC-08 옥외탱크 기초(단가)_직접공사비 집계_본관기초 가실행_연돌 현장타설말뚝(RCD)설계서" xfId="818"/>
    <cellStyle name=" _CC-08 옥외탱크 기초(단가)_직접공사비 집계_본관기초 가실행_연돌 현장타설말뚝(RCD)설계서 2" xfId="819"/>
    <cellStyle name=" _CC-08 옥외탱크 기초(단가)_직접공사비 집계_본관기초굴착 예상도급" xfId="820"/>
    <cellStyle name=" _CC-08 옥외탱크 기초(단가)_직접공사비 집계_본관기초굴착 예상도급 2" xfId="821"/>
    <cellStyle name=" _CC-08 옥외탱크 기초(단가)_직접공사비 집계_본관기초굴착 예상도급_1 당진78-연돌-공사설계서(REV.0 12.14-kopec)" xfId="822"/>
    <cellStyle name=" _CC-08 옥외탱크 기초(단가)_직접공사비 집계_본관기초굴착 예상도급_1 당진78-연돌-공사설계서(REV.0 12.14-kopec) 2" xfId="823"/>
    <cellStyle name=" _CC-08 옥외탱크 기초(단가)_직접공사비 집계_본관기초굴착 예상도급_1.0t 당진78-연돌-수량산출서(REV.0 12.27-kopec)" xfId="824"/>
    <cellStyle name=" _CC-08 옥외탱크 기초(단가)_직접공사비 집계_본관기초굴착 예상도급_1.0t 당진78-연돌-수량산출서(REV.0 12.27-kopec) 2" xfId="825"/>
    <cellStyle name=" _CC-08 옥외탱크 기초(단가)_직접공사비 집계_본관기초굴착 예상도급_당진78-연돌-개략공사비" xfId="826"/>
    <cellStyle name=" _CC-08 옥외탱크 기초(단가)_직접공사비 집계_본관기초굴착 예상도급_당진78-연돌-개략공사비 2" xfId="827"/>
    <cellStyle name=" _CC-08 옥외탱크 기초(단가)_직접공사비 집계_본관기초굴착 예상도급_연돌 현장타설말뚝(RCD)설계서" xfId="828"/>
    <cellStyle name=" _CC-08 옥외탱크 기초(단가)_직접공사비 집계_본관기초굴착 예상도급_연돌 현장타설말뚝(RCD)설계서 2" xfId="829"/>
    <cellStyle name=" _CC-08 옥외탱크 기초(단가)_직접공사비 집계_연돌 현장타설말뚝(RCD)설계서" xfId="830"/>
    <cellStyle name=" _CC-08 옥외탱크 기초(단가)_직접공사비 집계_연돌 현장타설말뚝(RCD)설계서 2" xfId="831"/>
    <cellStyle name=" _CC-08 옥외탱크 기초(단가)_직접공사비 집계_한태견적의뢰" xfId="832"/>
    <cellStyle name=" _CC-08 옥외탱크 기초(단가)_직접공사비 집계_한태견적의뢰 2" xfId="833"/>
    <cellStyle name=" _CC-08 옥외탱크 기초(단가)_한태견적의뢰" xfId="834"/>
    <cellStyle name=" _CC-08 옥외탱크 기초(단가)_한태견적의뢰 2" xfId="835"/>
    <cellStyle name=" _CC-10 구내도로 및 배수(단가)" xfId="836"/>
    <cellStyle name=" _CC-10 구내도로 및 배수(단가) 2" xfId="837"/>
    <cellStyle name=" _CC-10 구내도로 및 배수(단가)_1 당진78-연돌-공사설계서(REV.0 12.14-kopec)" xfId="838"/>
    <cellStyle name=" _CC-10 구내도로 및 배수(단가)_1 당진78-연돌-공사설계서(REV.0 12.14-kopec) 2" xfId="839"/>
    <cellStyle name=" _CC-10 구내도로 및 배수(단가)_1.0t 당진78-연돌-수량산출서(REV.0 12.27-kopec)" xfId="840"/>
    <cellStyle name=" _CC-10 구내도로 및 배수(단가)_1.0t 당진78-연돌-수량산출서(REV.0 12.27-kopec) 2" xfId="841"/>
    <cellStyle name=" _CC-10 구내도로 및 배수(단가)_CC-02 본관기초굴착 예상" xfId="842"/>
    <cellStyle name=" _CC-10 구내도로 및 배수(단가)_CC-02 본관기초굴착 예상 2" xfId="843"/>
    <cellStyle name=" _CC-10 구내도로 및 배수(단가)_CC-02 본관기초굴착 예상_1 당진78-연돌-공사설계서(REV.0 12.14-kopec)" xfId="844"/>
    <cellStyle name=" _CC-10 구내도로 및 배수(단가)_CC-02 본관기초굴착 예상_1 당진78-연돌-공사설계서(REV.0 12.14-kopec) 2" xfId="845"/>
    <cellStyle name=" _CC-10 구내도로 및 배수(단가)_CC-02 본관기초굴착 예상_1.0t 당진78-연돌-수량산출서(REV.0 12.27-kopec)" xfId="846"/>
    <cellStyle name=" _CC-10 구내도로 및 배수(단가)_CC-02 본관기초굴착 예상_1.0t 당진78-연돌-수량산출서(REV.0 12.27-kopec) 2" xfId="847"/>
    <cellStyle name=" _CC-10 구내도로 및 배수(단가)_CC-02 본관기초굴착 예상_당진78-연돌-개략공사비" xfId="848"/>
    <cellStyle name=" _CC-10 구내도로 및 배수(단가)_CC-02 본관기초굴착 예상_당진78-연돌-개략공사비 2" xfId="849"/>
    <cellStyle name=" _CC-10 구내도로 및 배수(단가)_CC-02 본관기초굴착 예상_연돌 현장타설말뚝(RCD)설계서" xfId="850"/>
    <cellStyle name=" _CC-10 구내도로 및 배수(단가)_CC-02 본관기초굴착 예상_연돌 현장타설말뚝(RCD)설계서 2" xfId="851"/>
    <cellStyle name=" _CC-10 구내도로 및 배수(단가)_당진78-연돌-개략공사비" xfId="852"/>
    <cellStyle name=" _CC-10 구내도로 및 배수(단가)_당진78-연돌-개략공사비 2" xfId="853"/>
    <cellStyle name=" _CC-10 구내도로 및 배수(단가)_본관기초 가실행" xfId="854"/>
    <cellStyle name=" _CC-10 구내도로 및 배수(단가)_본관기초 가실행 2" xfId="855"/>
    <cellStyle name=" _CC-10 구내도로 및 배수(단가)_본관기초 가실행_1 당진78-연돌-공사설계서(REV.0 12.14-kopec)" xfId="856"/>
    <cellStyle name=" _CC-10 구내도로 및 배수(단가)_본관기초 가실행_1 당진78-연돌-공사설계서(REV.0 12.14-kopec) 2" xfId="857"/>
    <cellStyle name=" _CC-10 구내도로 및 배수(단가)_본관기초 가실행_1.0t 당진78-연돌-수량산출서(REV.0 12.27-kopec)" xfId="858"/>
    <cellStyle name=" _CC-10 구내도로 및 배수(단가)_본관기초 가실행_1.0t 당진78-연돌-수량산출서(REV.0 12.27-kopec) 2" xfId="859"/>
    <cellStyle name=" _CC-10 구내도로 및 배수(단가)_본관기초 가실행_당진78-연돌-개략공사비" xfId="860"/>
    <cellStyle name=" _CC-10 구내도로 및 배수(단가)_본관기초 가실행_당진78-연돌-개략공사비 2" xfId="861"/>
    <cellStyle name=" _CC-10 구내도로 및 배수(단가)_본관기초 가실행_연돌 현장타설말뚝(RCD)설계서" xfId="862"/>
    <cellStyle name=" _CC-10 구내도로 및 배수(단가)_본관기초 가실행_연돌 현장타설말뚝(RCD)설계서 2" xfId="863"/>
    <cellStyle name=" _CC-10 구내도로 및 배수(단가)_본관기초굴착 예상도급" xfId="864"/>
    <cellStyle name=" _CC-10 구내도로 및 배수(단가)_본관기초굴착 예상도급 2" xfId="865"/>
    <cellStyle name=" _CC-10 구내도로 및 배수(단가)_본관기초굴착 예상도급_1 당진78-연돌-공사설계서(REV.0 12.14-kopec)" xfId="866"/>
    <cellStyle name=" _CC-10 구내도로 및 배수(단가)_본관기초굴착 예상도급_1 당진78-연돌-공사설계서(REV.0 12.14-kopec) 2" xfId="867"/>
    <cellStyle name=" _CC-10 구내도로 및 배수(단가)_본관기초굴착 예상도급_1.0t 당진78-연돌-수량산출서(REV.0 12.27-kopec)" xfId="868"/>
    <cellStyle name=" _CC-10 구내도로 및 배수(단가)_본관기초굴착 예상도급_1.0t 당진78-연돌-수량산출서(REV.0 12.27-kopec) 2" xfId="869"/>
    <cellStyle name=" _CC-10 구내도로 및 배수(단가)_본관기초굴착 예상도급_당진78-연돌-개략공사비" xfId="870"/>
    <cellStyle name=" _CC-10 구내도로 및 배수(단가)_본관기초굴착 예상도급_당진78-연돌-개략공사비 2" xfId="871"/>
    <cellStyle name=" _CC-10 구내도로 및 배수(단가)_본관기초굴착 예상도급_연돌 현장타설말뚝(RCD)설계서" xfId="872"/>
    <cellStyle name=" _CC-10 구내도로 및 배수(단가)_본관기초굴착 예상도급_연돌 현장타설말뚝(RCD)설계서 2" xfId="873"/>
    <cellStyle name=" _CC-10 구내도로 및 배수(단가)_사무실포장가실행" xfId="874"/>
    <cellStyle name=" _CC-10 구내도로 및 배수(단가)_사무실포장가실행 2" xfId="875"/>
    <cellStyle name=" _CC-10 구내도로 및 배수(단가)_연돌 현장타설말뚝(RCD)설계서" xfId="876"/>
    <cellStyle name=" _CC-10 구내도로 및 배수(단가)_연돌 현장타설말뚝(RCD)설계서 2" xfId="877"/>
    <cellStyle name=" _CC-10 구내도로 및 배수(단가)_한태견적의뢰" xfId="878"/>
    <cellStyle name=" _CC-10 구내도로 및 배수(단가)_한태견적의뢰 2" xfId="879"/>
    <cellStyle name=" _pkg별설계가집계(태안7.8호기)" xfId="880"/>
    <cellStyle name=" _pkg별설계가집계(태안7.8호기) 2" xfId="881"/>
    <cellStyle name=" _가설공사설계서건축분(최종승인본)" xfId="882"/>
    <cellStyle name=" _간이포장품(050314)-수정" xfId="883"/>
    <cellStyle name=" _간지" xfId="884"/>
    <cellStyle name=" _간지_1" xfId="885"/>
    <cellStyle name=" _간지_1_PRP-500 TYPE" xfId="886"/>
    <cellStyle name=" _간지_1_공사비집계표(품의용)" xfId="887"/>
    <cellStyle name=" _간지_1_공사비집계표(품의용)_PRP-500 TYPE" xfId="888"/>
    <cellStyle name=" _간지_1_공사비집계표(품의용)_남부, 석산정거장(익진ENG 실행)" xfId="889"/>
    <cellStyle name=" _간지_1_공사비집계표(품의용)_남부, 석산정거장PRP-500(Double)내역포함" xfId="890"/>
    <cellStyle name=" _간지_1_공사비집계표(품의용)_양차장님(PRP, MOZART)" xfId="891"/>
    <cellStyle name=" _간지_1_공사비집계표(품의용)_양차장님(PRP, MOZART)_양차장님LINER 벽체단가(PRP, MOZART,사면절곡)" xfId="892"/>
    <cellStyle name=" _간지_1_남부, 석산정거장(익진ENG 실행)" xfId="893"/>
    <cellStyle name=" _간지_1_남부, 석산정거장PRP-500(Double)내역포함" xfId="894"/>
    <cellStyle name=" _간지_1_양차장님(PRP, MOZART)" xfId="895"/>
    <cellStyle name=" _간지_1_양차장님(PRP, MOZART)_양차장님LINER 벽체단가(PRP, MOZART,사면절곡)" xfId="896"/>
    <cellStyle name=" _간지_20030310114821780-E1C865BF" xfId="897"/>
    <cellStyle name=" _간지_20030310114821780-E1C865BF_AC-01 보일러 설계서 수정" xfId="898"/>
    <cellStyle name=" _간지_20030310114821780-E1C865BF_AC-01 보일러 설계서 수정_AC-14(최종수정)" xfId="899"/>
    <cellStyle name=" _간지_20030310114821780-E1C865BF_AC-01 보일러 설계서 수정_AC-14(최종수정)_Book1" xfId="900"/>
    <cellStyle name=" _간지_20030310114821780-E1C865BF_AC-01 보일러 설계서 수정_AC-14(최종수정)_고압전동기정비건물설계서(남동안)-1" xfId="901"/>
    <cellStyle name=" _간지_20030310114821780-E1C865BF_AC-01 보일러 설계서 수정_AC-14(최종수정)_발전설비 보수공사" xfId="902"/>
    <cellStyle name=" _간지_20030310114821780-E1C865BF_AC-01 보일러 설계서 수정_AC-14(최종수정)_발전설비 보수공사_Book1" xfId="903"/>
    <cellStyle name=" _간지_20030310114821780-E1C865BF_AC-01 보일러 설계서 수정_AC-14(최종수정)_발전설비 보수공사_고압전동기정비건물설계서(남동안)-1" xfId="904"/>
    <cellStyle name=" _간지_20030310114821780-E1C865BF_AC-01 보일러 설계서 수정_Book1" xfId="905"/>
    <cellStyle name=" _간지_20030310114821780-E1C865BF_AC-01 보일러 설계서 수정_고압전동기정비건물설계서(남동안)-1" xfId="906"/>
    <cellStyle name=" _간지_20030310114821780-E1C865BF_AC-01 본관기초(가설계서 9월단가)" xfId="907"/>
    <cellStyle name=" _간지_20030310114821780-E1C865BF_AC-01 본관기초(가설계서 9월단가)_AC-14(최종수정)" xfId="917"/>
    <cellStyle name=" _간지_20030310114821780-E1C865BF_AC-01 본관기초(가설계서 9월단가)_AC-14(최종수정)_Book1" xfId="918"/>
    <cellStyle name=" _간지_20030310114821780-E1C865BF_AC-01 본관기초(가설계서 9월단가)_AC-14(최종수정)_고압전동기정비건물설계서(남동안)-1" xfId="919"/>
    <cellStyle name=" _간지_20030310114821780-E1C865BF_AC-01 본관기초(가설계서 9월단가)_AC-14(최종수정)_발전설비 보수공사" xfId="920"/>
    <cellStyle name=" _간지_20030310114821780-E1C865BF_AC-01 본관기초(가설계서 9월단가)_AC-14(최종수정)_발전설비 보수공사_Book1" xfId="921"/>
    <cellStyle name=" _간지_20030310114821780-E1C865BF_AC-01 본관기초(가설계서 9월단가)_AC-14(최종수정)_발전설비 보수공사_고압전동기정비건물설계서(남동안)-1" xfId="922"/>
    <cellStyle name=" _간지_20030310114821780-E1C865BF_AC-01 본관기초(가설계서 9월단가)_Book1" xfId="923"/>
    <cellStyle name=" _간지_20030310114821780-E1C865BF_AC-01 본관기초(가설계서 9월단가)_고압전동기정비건물설계서(남동안)-1" xfId="924"/>
    <cellStyle name=" _간지_20030310114821780-E1C865BF_AC-01 본관기초(가설계서 9월단가)-2" xfId="908"/>
    <cellStyle name=" _간지_20030310114821780-E1C865BF_AC-01 본관기초(가설계서 9월단가)-2_AC-14(최종수정)" xfId="909"/>
    <cellStyle name=" _간지_20030310114821780-E1C865BF_AC-01 본관기초(가설계서 9월단가)-2_AC-14(최종수정)_Book1" xfId="910"/>
    <cellStyle name=" _간지_20030310114821780-E1C865BF_AC-01 본관기초(가설계서 9월단가)-2_AC-14(최종수정)_고압전동기정비건물설계서(남동안)-1" xfId="911"/>
    <cellStyle name=" _간지_20030310114821780-E1C865BF_AC-01 본관기초(가설계서 9월단가)-2_AC-14(최종수정)_발전설비 보수공사" xfId="912"/>
    <cellStyle name=" _간지_20030310114821780-E1C865BF_AC-01 본관기초(가설계서 9월단가)-2_AC-14(최종수정)_발전설비 보수공사_Book1" xfId="913"/>
    <cellStyle name=" _간지_20030310114821780-E1C865BF_AC-01 본관기초(가설계서 9월단가)-2_AC-14(최종수정)_발전설비 보수공사_고압전동기정비건물설계서(남동안)-1" xfId="914"/>
    <cellStyle name=" _간지_20030310114821780-E1C865BF_AC-01 본관기초(가설계서 9월단가)-2_Book1" xfId="915"/>
    <cellStyle name=" _간지_20030310114821780-E1C865BF_AC-01 본관기초(가설계서 9월단가)-2_고압전동기정비건물설계서(남동안)-1" xfId="916"/>
    <cellStyle name=" _간지_20030310114821780-E1C865BF_AC-14건설사무소환경개선공사설계서(제출)REV10" xfId="925"/>
    <cellStyle name=" _간지_20030310114821780-E1C865BF_AC-14건설사무소환경개선공사설계서(제출)REV10_AC-14(최종수정)" xfId="926"/>
    <cellStyle name=" _간지_20030310114821780-E1C865BF_AC-14건설사무소환경개선공사설계서(제출)REV10_AC-14(최종수정)_Book1" xfId="927"/>
    <cellStyle name=" _간지_20030310114821780-E1C865BF_AC-14건설사무소환경개선공사설계서(제출)REV10_AC-14(최종수정)_고압전동기정비건물설계서(남동안)-1" xfId="928"/>
    <cellStyle name=" _간지_20030310114821780-E1C865BF_AC-14건설사무소환경개선공사설계서(제출)REV10_AC-14(최종수정)_발전설비 보수공사" xfId="929"/>
    <cellStyle name=" _간지_20030310114821780-E1C865BF_AC-14건설사무소환경개선공사설계서(제출)REV10_AC-14(최종수정)_발전설비 보수공사_Book1" xfId="930"/>
    <cellStyle name=" _간지_20030310114821780-E1C865BF_AC-14건설사무소환경개선공사설계서(제출)REV10_AC-14(최종수정)_발전설비 보수공사_고압전동기정비건물설계서(남동안)-1" xfId="931"/>
    <cellStyle name=" _간지_20030310114821780-E1C865BF_AC-14건설사무소환경개선공사설계서(제출)REV10_Book1" xfId="932"/>
    <cellStyle name=" _간지_20030310114821780-E1C865BF_AC-14건설사무소환경개선공사설계서(제출)REV10_고압전동기정비건물설계서(남동안)-1" xfId="933"/>
    <cellStyle name=" _간지_20030310114821780-E1C865BF_Book1" xfId="934"/>
    <cellStyle name=" _간지_20030310114821780-E1C865BF_PRP-500 TYPE" xfId="935"/>
    <cellStyle name=" _간지_20030310114821780-E1C865BF_Songdo Convention Center 신축공사(060106제출수정본)" xfId="936"/>
    <cellStyle name=" _간지_20030310114821780-E1C865BF_고압전동기정비건물설계서(남동안)-1" xfId="937"/>
    <cellStyle name=" _간지_20030310114821780-E1C865BF_공사비집계표" xfId="938"/>
    <cellStyle name=" _간지_20030310114821780-E1C865BF_공사비집계표(품의용)" xfId="939"/>
    <cellStyle name=" _간지_20030310114821780-E1C865BF_공사비집계표(품의용)_PRP-500 TYPE" xfId="940"/>
    <cellStyle name=" _간지_20030310114821780-E1C865BF_공사비집계표(품의용)_남부, 석산정거장(익진ENG 실행)" xfId="941"/>
    <cellStyle name=" _간지_20030310114821780-E1C865BF_공사비집계표(품의용)_남부, 석산정거장PRP-500(Double)내역포함" xfId="942"/>
    <cellStyle name=" _간지_20030310114821780-E1C865BF_공사비집계표(품의용)_양차장님(PRP, MOZART)" xfId="943"/>
    <cellStyle name=" _간지_20030310114821780-E1C865BF_공사비집계표(품의용)_양차장님(PRP, MOZART)_양차장님LINER 벽체단가(PRP, MOZART,사면절곡)" xfId="944"/>
    <cellStyle name=" _간지_20030310114821780-E1C865BF_공사비집계표_AC-14(최종수정)" xfId="945"/>
    <cellStyle name=" _간지_20030310114821780-E1C865BF_공사비집계표_AC-14(최종수정)_Book1" xfId="946"/>
    <cellStyle name=" _간지_20030310114821780-E1C865BF_공사비집계표_AC-14(최종수정)_고압전동기정비건물설계서(남동안)-1" xfId="947"/>
    <cellStyle name=" _간지_20030310114821780-E1C865BF_공사비집계표_AC-14(최종수정)_발전설비 보수공사" xfId="948"/>
    <cellStyle name=" _간지_20030310114821780-E1C865BF_공사비집계표_AC-14(최종수정)_발전설비 보수공사_Book1" xfId="949"/>
    <cellStyle name=" _간지_20030310114821780-E1C865BF_공사비집계표_AC-14(최종수정)_발전설비 보수공사_고압전동기정비건물설계서(남동안)-1" xfId="950"/>
    <cellStyle name=" _간지_20030310114821780-E1C865BF_공사비집계표_Book1" xfId="951"/>
    <cellStyle name=" _간지_20030310114821780-E1C865BF_공사비집계표_고압전동기정비건물설계서(남동안)-1" xfId="952"/>
    <cellStyle name=" _간지_20030310114821780-E1C865BF_남부, 석산정거장(익진ENG 실행)" xfId="953"/>
    <cellStyle name=" _간지_20030310114821780-E1C865BF_남부, 석산정거장PRP-500(Double)내역포함" xfId="954"/>
    <cellStyle name=" _간지_20030310114821780-E1C865BF_발전설비 보수공사" xfId="955"/>
    <cellStyle name=" _간지_20030310114821780-E1C865BF_발전설비 보수공사_Book1" xfId="956"/>
    <cellStyle name=" _간지_20030310114821780-E1C865BF_발전설비 보수공사_고압전동기정비건물설계서(남동안)-1" xfId="957"/>
    <cellStyle name=" _간지_20030310114821780-E1C865BF_보일러판넬현장설명회(배부용)" xfId="958"/>
    <cellStyle name=" _간지_20030310114821780-E1C865BF_양차장님(PRP, MOZART)" xfId="959"/>
    <cellStyle name=" _간지_20030310114821780-E1C865BF_양차장님(PRP, MOZART)_양차장님LINER 벽체단가(PRP, MOZART,사면절곡)" xfId="960"/>
    <cellStyle name=" _간지_20030310114821780-E1C865BF_영흥#3,4 터빈발전기기초(AC-04)" xfId="961"/>
    <cellStyle name=" _간지_20030310114821780-E1C865BF_영흥#3,4 터빈발전기기초(AC-04)_고압전동기정비건물설계서(남동안)-1" xfId="962"/>
    <cellStyle name=" _간지_20030310114821780-E1C865BF_추가품셈1-박" xfId="963"/>
    <cellStyle name=" _간지_20030310114821780-E1C865BF_추가품셈1-박_PRP-500 TYPE" xfId="964"/>
    <cellStyle name=" _간지_20030310114821780-E1C865BF_추가품셈1-박_남부, 석산정거장(익진ENG 실행)" xfId="965"/>
    <cellStyle name=" _간지_20030310114821780-E1C865BF_추가품셈1-박_남부, 석산정거장PRP-500(Double)내역포함" xfId="966"/>
    <cellStyle name=" _간지_20030310114821780-E1C865BF_추가품셈1-박_양차장님(PRP, MOZART)" xfId="967"/>
    <cellStyle name=" _간지_20030310114821780-E1C865BF_추가품셈1-박_양차장님(PRP, MOZART)_양차장님LINER 벽체단가(PRP, MOZART,사면절곡)" xfId="968"/>
    <cellStyle name=" _간지_20030310150903590-E1C865BF" xfId="969"/>
    <cellStyle name=" _간지_20030310150903590-E1C865BF_AC-01 보일러 설계서 수정" xfId="970"/>
    <cellStyle name=" _간지_20030310150903590-E1C865BF_AC-01 보일러 설계서 수정_AC-14(최종수정)" xfId="971"/>
    <cellStyle name=" _간지_20030310150903590-E1C865BF_AC-01 보일러 설계서 수정_AC-14(최종수정)_Book1" xfId="972"/>
    <cellStyle name=" _간지_20030310150903590-E1C865BF_AC-01 보일러 설계서 수정_AC-14(최종수정)_고압전동기정비건물설계서(남동안)-1" xfId="973"/>
    <cellStyle name=" _간지_20030310150903590-E1C865BF_AC-01 보일러 설계서 수정_AC-14(최종수정)_발전설비 보수공사" xfId="974"/>
    <cellStyle name=" _간지_20030310150903590-E1C865BF_AC-01 보일러 설계서 수정_AC-14(최종수정)_발전설비 보수공사_Book1" xfId="975"/>
    <cellStyle name=" _간지_20030310150903590-E1C865BF_AC-01 보일러 설계서 수정_AC-14(최종수정)_발전설비 보수공사_고압전동기정비건물설계서(남동안)-1" xfId="976"/>
    <cellStyle name=" _간지_20030310150903590-E1C865BF_AC-01 보일러 설계서 수정_Book1" xfId="977"/>
    <cellStyle name=" _간지_20030310150903590-E1C865BF_AC-01 보일러 설계서 수정_고압전동기정비건물설계서(남동안)-1" xfId="978"/>
    <cellStyle name=" _간지_20030310150903590-E1C865BF_AC-01 본관기초(가설계서 9월단가)" xfId="979"/>
    <cellStyle name=" _간지_20030310150903590-E1C865BF_AC-01 본관기초(가설계서 9월단가)_AC-14(최종수정)" xfId="989"/>
    <cellStyle name=" _간지_20030310150903590-E1C865BF_AC-01 본관기초(가설계서 9월단가)_AC-14(최종수정)_Book1" xfId="990"/>
    <cellStyle name=" _간지_20030310150903590-E1C865BF_AC-01 본관기초(가설계서 9월단가)_AC-14(최종수정)_고압전동기정비건물설계서(남동안)-1" xfId="991"/>
    <cellStyle name=" _간지_20030310150903590-E1C865BF_AC-01 본관기초(가설계서 9월단가)_AC-14(최종수정)_발전설비 보수공사" xfId="992"/>
    <cellStyle name=" _간지_20030310150903590-E1C865BF_AC-01 본관기초(가설계서 9월단가)_AC-14(최종수정)_발전설비 보수공사_Book1" xfId="993"/>
    <cellStyle name=" _간지_20030310150903590-E1C865BF_AC-01 본관기초(가설계서 9월단가)_AC-14(최종수정)_발전설비 보수공사_고압전동기정비건물설계서(남동안)-1" xfId="994"/>
    <cellStyle name=" _간지_20030310150903590-E1C865BF_AC-01 본관기초(가설계서 9월단가)_Book1" xfId="995"/>
    <cellStyle name=" _간지_20030310150903590-E1C865BF_AC-01 본관기초(가설계서 9월단가)_고압전동기정비건물설계서(남동안)-1" xfId="996"/>
    <cellStyle name=" _간지_20030310150903590-E1C865BF_AC-01 본관기초(가설계서 9월단가)-2" xfId="980"/>
    <cellStyle name=" _간지_20030310150903590-E1C865BF_AC-01 본관기초(가설계서 9월단가)-2_AC-14(최종수정)" xfId="981"/>
    <cellStyle name=" _간지_20030310150903590-E1C865BF_AC-01 본관기초(가설계서 9월단가)-2_AC-14(최종수정)_Book1" xfId="982"/>
    <cellStyle name=" _간지_20030310150903590-E1C865BF_AC-01 본관기초(가설계서 9월단가)-2_AC-14(최종수정)_고압전동기정비건물설계서(남동안)-1" xfId="983"/>
    <cellStyle name=" _간지_20030310150903590-E1C865BF_AC-01 본관기초(가설계서 9월단가)-2_AC-14(최종수정)_발전설비 보수공사" xfId="984"/>
    <cellStyle name=" _간지_20030310150903590-E1C865BF_AC-01 본관기초(가설계서 9월단가)-2_AC-14(최종수정)_발전설비 보수공사_Book1" xfId="985"/>
    <cellStyle name=" _간지_20030310150903590-E1C865BF_AC-01 본관기초(가설계서 9월단가)-2_AC-14(최종수정)_발전설비 보수공사_고압전동기정비건물설계서(남동안)-1" xfId="986"/>
    <cellStyle name=" _간지_20030310150903590-E1C865BF_AC-01 본관기초(가설계서 9월단가)-2_Book1" xfId="987"/>
    <cellStyle name=" _간지_20030310150903590-E1C865BF_AC-01 본관기초(가설계서 9월단가)-2_고압전동기정비건물설계서(남동안)-1" xfId="988"/>
    <cellStyle name=" _간지_20030310150903590-E1C865BF_AC-14건설사무소환경개선공사설계서(제출)REV10" xfId="997"/>
    <cellStyle name=" _간지_20030310150903590-E1C865BF_AC-14건설사무소환경개선공사설계서(제출)REV10_AC-14(최종수정)" xfId="998"/>
    <cellStyle name=" _간지_20030310150903590-E1C865BF_AC-14건설사무소환경개선공사설계서(제출)REV10_AC-14(최종수정)_Book1" xfId="999"/>
    <cellStyle name=" _간지_20030310150903590-E1C865BF_AC-14건설사무소환경개선공사설계서(제출)REV10_AC-14(최종수정)_고압전동기정비건물설계서(남동안)-1" xfId="1000"/>
    <cellStyle name=" _간지_20030310150903590-E1C865BF_AC-14건설사무소환경개선공사설계서(제출)REV10_AC-14(최종수정)_발전설비 보수공사" xfId="1001"/>
    <cellStyle name=" _간지_20030310150903590-E1C865BF_AC-14건설사무소환경개선공사설계서(제출)REV10_AC-14(최종수정)_발전설비 보수공사_Book1" xfId="1002"/>
    <cellStyle name=" _간지_20030310150903590-E1C865BF_AC-14건설사무소환경개선공사설계서(제출)REV10_AC-14(최종수정)_발전설비 보수공사_고압전동기정비건물설계서(남동안)-1" xfId="1003"/>
    <cellStyle name=" _간지_20030310150903590-E1C865BF_AC-14건설사무소환경개선공사설계서(제출)REV10_Book1" xfId="1004"/>
    <cellStyle name=" _간지_20030310150903590-E1C865BF_AC-14건설사무소환경개선공사설계서(제출)REV10_고압전동기정비건물설계서(남동안)-1" xfId="1005"/>
    <cellStyle name=" _간지_20030310150903590-E1C865BF_Book1" xfId="1006"/>
    <cellStyle name=" _간지_20030310150903590-E1C865BF_PRP-500 TYPE" xfId="1007"/>
    <cellStyle name=" _간지_20030310150903590-E1C865BF_Songdo Convention Center 신축공사(060106제출수정본)" xfId="1008"/>
    <cellStyle name=" _간지_20030310150903590-E1C865BF_고압전동기정비건물설계서(남동안)-1" xfId="1009"/>
    <cellStyle name=" _간지_20030310150903590-E1C865BF_공사비집계표" xfId="1010"/>
    <cellStyle name=" _간지_20030310150903590-E1C865BF_공사비집계표(품의용)" xfId="1011"/>
    <cellStyle name=" _간지_20030310150903590-E1C865BF_공사비집계표(품의용)_PRP-500 TYPE" xfId="1012"/>
    <cellStyle name=" _간지_20030310150903590-E1C865BF_공사비집계표(품의용)_남부, 석산정거장(익진ENG 실행)" xfId="1013"/>
    <cellStyle name=" _간지_20030310150903590-E1C865BF_공사비집계표(품의용)_남부, 석산정거장PRP-500(Double)내역포함" xfId="1014"/>
    <cellStyle name=" _간지_20030310150903590-E1C865BF_공사비집계표(품의용)_양차장님(PRP, MOZART)" xfId="1015"/>
    <cellStyle name=" _간지_20030310150903590-E1C865BF_공사비집계표(품의용)_양차장님(PRP, MOZART)_양차장님LINER 벽체단가(PRP, MOZART,사면절곡)" xfId="1016"/>
    <cellStyle name=" _간지_20030310150903590-E1C865BF_공사비집계표_AC-14(최종수정)" xfId="1017"/>
    <cellStyle name=" _간지_20030310150903590-E1C865BF_공사비집계표_AC-14(최종수정)_Book1" xfId="1018"/>
    <cellStyle name=" _간지_20030310150903590-E1C865BF_공사비집계표_AC-14(최종수정)_고압전동기정비건물설계서(남동안)-1" xfId="1019"/>
    <cellStyle name=" _간지_20030310150903590-E1C865BF_공사비집계표_AC-14(최종수정)_발전설비 보수공사" xfId="1020"/>
    <cellStyle name=" _간지_20030310150903590-E1C865BF_공사비집계표_AC-14(최종수정)_발전설비 보수공사_Book1" xfId="1021"/>
    <cellStyle name=" _간지_20030310150903590-E1C865BF_공사비집계표_AC-14(최종수정)_발전설비 보수공사_고압전동기정비건물설계서(남동안)-1" xfId="1022"/>
    <cellStyle name=" _간지_20030310150903590-E1C865BF_공사비집계표_Book1" xfId="1023"/>
    <cellStyle name=" _간지_20030310150903590-E1C865BF_공사비집계표_고압전동기정비건물설계서(남동안)-1" xfId="1024"/>
    <cellStyle name=" _간지_20030310150903590-E1C865BF_남부, 석산정거장(익진ENG 실행)" xfId="1025"/>
    <cellStyle name=" _간지_20030310150903590-E1C865BF_남부, 석산정거장PRP-500(Double)내역포함" xfId="1026"/>
    <cellStyle name=" _간지_20030310150903590-E1C865BF_발전설비 보수공사" xfId="1027"/>
    <cellStyle name=" _간지_20030310150903590-E1C865BF_발전설비 보수공사_Book1" xfId="1028"/>
    <cellStyle name=" _간지_20030310150903590-E1C865BF_발전설비 보수공사_고압전동기정비건물설계서(남동안)-1" xfId="1029"/>
    <cellStyle name=" _간지_20030310150903590-E1C865BF_보일러판넬현장설명회(배부용)" xfId="1030"/>
    <cellStyle name=" _간지_20030310150903590-E1C865BF_양차장님(PRP, MOZART)" xfId="1031"/>
    <cellStyle name=" _간지_20030310150903590-E1C865BF_양차장님(PRP, MOZART)_양차장님LINER 벽체단가(PRP, MOZART,사면절곡)" xfId="1032"/>
    <cellStyle name=" _간지_20030310150903590-E1C865BF_영흥#3,4 터빈발전기기초(AC-04)" xfId="1033"/>
    <cellStyle name=" _간지_20030310150903590-E1C865BF_영흥#3,4 터빈발전기기초(AC-04)_고압전동기정비건물설계서(남동안)-1" xfId="1034"/>
    <cellStyle name=" _간지_20030310150903590-E1C865BF_추가품셈1-박" xfId="1035"/>
    <cellStyle name=" _간지_20030310150903590-E1C865BF_추가품셈1-박_PRP-500 TYPE" xfId="1036"/>
    <cellStyle name=" _간지_20030310150903590-E1C865BF_추가품셈1-박_남부, 석산정거장(익진ENG 실행)" xfId="1037"/>
    <cellStyle name=" _간지_20030310150903590-E1C865BF_추가품셈1-박_남부, 석산정거장PRP-500(Double)내역포함" xfId="1038"/>
    <cellStyle name=" _간지_20030310150903590-E1C865BF_추가품셈1-박_양차장님(PRP, MOZART)" xfId="1039"/>
    <cellStyle name=" _간지_20030310150903590-E1C865BF_추가품셈1-박_양차장님(PRP, MOZART)_양차장님LINER 벽체단가(PRP, MOZART,사면절곡)" xfId="1040"/>
    <cellStyle name=" _간지_AC-01 보일러 설계서 수정" xfId="1041"/>
    <cellStyle name=" _간지_AC-01 보일러 설계서 수정_AC-14(최종수정)" xfId="1042"/>
    <cellStyle name=" _간지_AC-01 보일러 설계서 수정_AC-14(최종수정)_Book1" xfId="1043"/>
    <cellStyle name=" _간지_AC-01 보일러 설계서 수정_AC-14(최종수정)_고압전동기정비건물설계서(남동안)-1" xfId="1044"/>
    <cellStyle name=" _간지_AC-01 보일러 설계서 수정_AC-14(최종수정)_발전설비 보수공사" xfId="1045"/>
    <cellStyle name=" _간지_AC-01 보일러 설계서 수정_AC-14(최종수정)_발전설비 보수공사_Book1" xfId="1046"/>
    <cellStyle name=" _간지_AC-01 보일러 설계서 수정_AC-14(최종수정)_발전설비 보수공사_고압전동기정비건물설계서(남동안)-1" xfId="1047"/>
    <cellStyle name=" _간지_AC-01 보일러 설계서 수정_Book1" xfId="1048"/>
    <cellStyle name=" _간지_AC-01 보일러 설계서 수정_고압전동기정비건물설계서(남동안)-1" xfId="1049"/>
    <cellStyle name=" _간지_AC-01 본관기초(가설계서 9월단가)" xfId="1050"/>
    <cellStyle name=" _간지_AC-01 본관기초(가설계서 9월단가)_AC-14(최종수정)" xfId="1060"/>
    <cellStyle name=" _간지_AC-01 본관기초(가설계서 9월단가)_AC-14(최종수정)_Book1" xfId="1061"/>
    <cellStyle name=" _간지_AC-01 본관기초(가설계서 9월단가)_AC-14(최종수정)_고압전동기정비건물설계서(남동안)-1" xfId="1062"/>
    <cellStyle name=" _간지_AC-01 본관기초(가설계서 9월단가)_AC-14(최종수정)_발전설비 보수공사" xfId="1063"/>
    <cellStyle name=" _간지_AC-01 본관기초(가설계서 9월단가)_AC-14(최종수정)_발전설비 보수공사_Book1" xfId="1064"/>
    <cellStyle name=" _간지_AC-01 본관기초(가설계서 9월단가)_AC-14(최종수정)_발전설비 보수공사_고압전동기정비건물설계서(남동안)-1" xfId="1065"/>
    <cellStyle name=" _간지_AC-01 본관기초(가설계서 9월단가)_Book1" xfId="1066"/>
    <cellStyle name=" _간지_AC-01 본관기초(가설계서 9월단가)_고압전동기정비건물설계서(남동안)-1" xfId="1067"/>
    <cellStyle name=" _간지_AC-01 본관기초(가설계서 9월단가)-2" xfId="1051"/>
    <cellStyle name=" _간지_AC-01 본관기초(가설계서 9월단가)-2_AC-14(최종수정)" xfId="1052"/>
    <cellStyle name=" _간지_AC-01 본관기초(가설계서 9월단가)-2_AC-14(최종수정)_Book1" xfId="1053"/>
    <cellStyle name=" _간지_AC-01 본관기초(가설계서 9월단가)-2_AC-14(최종수정)_고압전동기정비건물설계서(남동안)-1" xfId="1054"/>
    <cellStyle name=" _간지_AC-01 본관기초(가설계서 9월단가)-2_AC-14(최종수정)_발전설비 보수공사" xfId="1055"/>
    <cellStyle name=" _간지_AC-01 본관기초(가설계서 9월단가)-2_AC-14(최종수정)_발전설비 보수공사_Book1" xfId="1056"/>
    <cellStyle name=" _간지_AC-01 본관기초(가설계서 9월단가)-2_AC-14(최종수정)_발전설비 보수공사_고압전동기정비건물설계서(남동안)-1" xfId="1057"/>
    <cellStyle name=" _간지_AC-01 본관기초(가설계서 9월단가)-2_Book1" xfId="1058"/>
    <cellStyle name=" _간지_AC-01 본관기초(가설계서 9월단가)-2_고압전동기정비건물설계서(남동안)-1" xfId="1059"/>
    <cellStyle name=" _간지_AC-14건설사무소환경개선공사설계서(제출)REV10" xfId="1068"/>
    <cellStyle name=" _간지_AC-14건설사무소환경개선공사설계서(제출)REV10_AC-14(최종수정)" xfId="1069"/>
    <cellStyle name=" _간지_AC-14건설사무소환경개선공사설계서(제출)REV10_AC-14(최종수정)_Book1" xfId="1070"/>
    <cellStyle name=" _간지_AC-14건설사무소환경개선공사설계서(제출)REV10_AC-14(최종수정)_고압전동기정비건물설계서(남동안)-1" xfId="1071"/>
    <cellStyle name=" _간지_AC-14건설사무소환경개선공사설계서(제출)REV10_AC-14(최종수정)_발전설비 보수공사" xfId="1072"/>
    <cellStyle name=" _간지_AC-14건설사무소환경개선공사설계서(제출)REV10_AC-14(최종수정)_발전설비 보수공사_Book1" xfId="1073"/>
    <cellStyle name=" _간지_AC-14건설사무소환경개선공사설계서(제출)REV10_AC-14(최종수정)_발전설비 보수공사_고압전동기정비건물설계서(남동안)-1" xfId="1074"/>
    <cellStyle name=" _간지_AC-14건설사무소환경개선공사설계서(제출)REV10_Book1" xfId="1075"/>
    <cellStyle name=" _간지_AC-14건설사무소환경개선공사설계서(제출)REV10_고압전동기정비건물설계서(남동안)-1" xfId="1076"/>
    <cellStyle name=" _간지_Book1" xfId="1077"/>
    <cellStyle name=" _간지_PRP-500 TYPE" xfId="1078"/>
    <cellStyle name=" _간지_Songdo Convention Center 신축공사(060106제출수정본)" xfId="1079"/>
    <cellStyle name=" _간지_고압전동기정비건물설계서(남동안)-1" xfId="1080"/>
    <cellStyle name=" _간지_공사비집계표" xfId="1081"/>
    <cellStyle name=" _간지_공사비집계표(품의용)" xfId="1082"/>
    <cellStyle name=" _간지_공사비집계표(품의용)_PRP-500 TYPE" xfId="1083"/>
    <cellStyle name=" _간지_공사비집계표(품의용)_남부, 석산정거장(익진ENG 실행)" xfId="1084"/>
    <cellStyle name=" _간지_공사비집계표(품의용)_남부, 석산정거장PRP-500(Double)내역포함" xfId="1085"/>
    <cellStyle name=" _간지_공사비집계표(품의용)_양차장님(PRP, MOZART)" xfId="1086"/>
    <cellStyle name=" _간지_공사비집계표(품의용)_양차장님(PRP, MOZART)_양차장님LINER 벽체단가(PRP, MOZART,사면절곡)" xfId="1087"/>
    <cellStyle name=" _간지_공사비집계표_AC-14(최종수정)" xfId="1088"/>
    <cellStyle name=" _간지_공사비집계표_AC-14(최종수정)_Book1" xfId="1089"/>
    <cellStyle name=" _간지_공사비집계표_AC-14(최종수정)_고압전동기정비건물설계서(남동안)-1" xfId="1090"/>
    <cellStyle name=" _간지_공사비집계표_AC-14(최종수정)_발전설비 보수공사" xfId="1091"/>
    <cellStyle name=" _간지_공사비집계표_AC-14(최종수정)_발전설비 보수공사_Book1" xfId="1092"/>
    <cellStyle name=" _간지_공사비집계표_AC-14(최종수정)_발전설비 보수공사_고압전동기정비건물설계서(남동안)-1" xfId="1093"/>
    <cellStyle name=" _간지_공사비집계표_Book1" xfId="1094"/>
    <cellStyle name=" _간지_공사비집계표_고압전동기정비건물설계서(남동안)-1" xfId="1095"/>
    <cellStyle name=" _간지_남부, 석산정거장(익진ENG 실행)" xfId="1096"/>
    <cellStyle name=" _간지_남부, 석산정거장PRP-500(Double)내역포함" xfId="1097"/>
    <cellStyle name=" _간지_발전설비 보수공사" xfId="1098"/>
    <cellStyle name=" _간지_발전설비 보수공사_Book1" xfId="1099"/>
    <cellStyle name=" _간지_발전설비 보수공사_고압전동기정비건물설계서(남동안)-1" xfId="1100"/>
    <cellStyle name=" _간지_보일러판넬현장설명회(배부용)" xfId="1101"/>
    <cellStyle name=" _간지_양차장님(PRP, MOZART)" xfId="1102"/>
    <cellStyle name=" _간지_양차장님(PRP, MOZART)_양차장님LINER 벽체단가(PRP, MOZART,사면절곡)" xfId="1103"/>
    <cellStyle name=" _간지_영흥#3,4 터빈발전기기초(AC-04)" xfId="1104"/>
    <cellStyle name=" _간지_영흥#3,4 터빈발전기기초(AC-04)_고압전동기정비건물설계서(남동안)-1" xfId="1105"/>
    <cellStyle name=" _간지_영흥(별표)" xfId="1106"/>
    <cellStyle name=" _간지_영흥(별표)_고압전동기정비건물설계서(남동안)-1" xfId="1107"/>
    <cellStyle name=" _간지_영흥(별표)_보일러판넬현장설명회(배부용)" xfId="1108"/>
    <cellStyle name=" _간지_옥외탱크및기기기초(단가)" xfId="1109"/>
    <cellStyle name=" _간지_옥외탱크및기기기초(단가)_AC-01 보일러 설계서 수정" xfId="1110"/>
    <cellStyle name=" _간지_옥외탱크및기기기초(단가)_AC-01 보일러 설계서 수정_AC-14(최종수정)" xfId="1111"/>
    <cellStyle name=" _간지_옥외탱크및기기기초(단가)_AC-01 보일러 설계서 수정_AC-14(최종수정)_Book1" xfId="1112"/>
    <cellStyle name=" _간지_옥외탱크및기기기초(단가)_AC-01 보일러 설계서 수정_AC-14(최종수정)_고압전동기정비건물설계서(남동안)-1" xfId="1113"/>
    <cellStyle name=" _간지_옥외탱크및기기기초(단가)_AC-01 보일러 설계서 수정_AC-14(최종수정)_발전설비 보수공사" xfId="1114"/>
    <cellStyle name=" _간지_옥외탱크및기기기초(단가)_AC-01 보일러 설계서 수정_AC-14(최종수정)_발전설비 보수공사_Book1" xfId="1115"/>
    <cellStyle name=" _간지_옥외탱크및기기기초(단가)_AC-01 보일러 설계서 수정_AC-14(최종수정)_발전설비 보수공사_고압전동기정비건물설계서(남동안)-1" xfId="1116"/>
    <cellStyle name=" _간지_옥외탱크및기기기초(단가)_AC-01 보일러 설계서 수정_Book1" xfId="1117"/>
    <cellStyle name=" _간지_옥외탱크및기기기초(단가)_AC-01 보일러 설계서 수정_고압전동기정비건물설계서(남동안)-1" xfId="1118"/>
    <cellStyle name=" _간지_옥외탱크및기기기초(단가)_AC-01 본관기초(가설계서 9월단가)" xfId="1119"/>
    <cellStyle name=" _간지_옥외탱크및기기기초(단가)_AC-01 본관기초(가설계서 9월단가)_AC-14(최종수정)" xfId="1129"/>
    <cellStyle name=" _간지_옥외탱크및기기기초(단가)_AC-01 본관기초(가설계서 9월단가)_AC-14(최종수정)_Book1" xfId="1130"/>
    <cellStyle name=" _간지_옥외탱크및기기기초(단가)_AC-01 본관기초(가설계서 9월단가)_AC-14(최종수정)_고압전동기정비건물설계서(남동안)-1" xfId="1131"/>
    <cellStyle name=" _간지_옥외탱크및기기기초(단가)_AC-01 본관기초(가설계서 9월단가)_AC-14(최종수정)_발전설비 보수공사" xfId="1132"/>
    <cellStyle name=" _간지_옥외탱크및기기기초(단가)_AC-01 본관기초(가설계서 9월단가)_AC-14(최종수정)_발전설비 보수공사_Book1" xfId="1133"/>
    <cellStyle name=" _간지_옥외탱크및기기기초(단가)_AC-01 본관기초(가설계서 9월단가)_AC-14(최종수정)_발전설비 보수공사_고압전동기정비건물설계서(남동안)-1" xfId="1134"/>
    <cellStyle name=" _간지_옥외탱크및기기기초(단가)_AC-01 본관기초(가설계서 9월단가)_Book1" xfId="1135"/>
    <cellStyle name=" _간지_옥외탱크및기기기초(단가)_AC-01 본관기초(가설계서 9월단가)_고압전동기정비건물설계서(남동안)-1" xfId="1136"/>
    <cellStyle name=" _간지_옥외탱크및기기기초(단가)_AC-01 본관기초(가설계서 9월단가)-2" xfId="1120"/>
    <cellStyle name=" _간지_옥외탱크및기기기초(단가)_AC-01 본관기초(가설계서 9월단가)-2_AC-14(최종수정)" xfId="1121"/>
    <cellStyle name=" _간지_옥외탱크및기기기초(단가)_AC-01 본관기초(가설계서 9월단가)-2_AC-14(최종수정)_Book1" xfId="1122"/>
    <cellStyle name=" _간지_옥외탱크및기기기초(단가)_AC-01 본관기초(가설계서 9월단가)-2_AC-14(최종수정)_고압전동기정비건물설계서(남동안)-1" xfId="1123"/>
    <cellStyle name=" _간지_옥외탱크및기기기초(단가)_AC-01 본관기초(가설계서 9월단가)-2_AC-14(최종수정)_발전설비 보수공사" xfId="1124"/>
    <cellStyle name=" _간지_옥외탱크및기기기초(단가)_AC-01 본관기초(가설계서 9월단가)-2_AC-14(최종수정)_발전설비 보수공사_Book1" xfId="1125"/>
    <cellStyle name=" _간지_옥외탱크및기기기초(단가)_AC-01 본관기초(가설계서 9월단가)-2_AC-14(최종수정)_발전설비 보수공사_고압전동기정비건물설계서(남동안)-1" xfId="1126"/>
    <cellStyle name=" _간지_옥외탱크및기기기초(단가)_AC-01 본관기초(가설계서 9월단가)-2_Book1" xfId="1127"/>
    <cellStyle name=" _간지_옥외탱크및기기기초(단가)_AC-01 본관기초(가설계서 9월단가)-2_고압전동기정비건물설계서(남동안)-1" xfId="1128"/>
    <cellStyle name=" _간지_옥외탱크및기기기초(단가)_AC-14건설사무소환경개선공사설계서(제출)REV10" xfId="1137"/>
    <cellStyle name=" _간지_옥외탱크및기기기초(단가)_AC-14건설사무소환경개선공사설계서(제출)REV10_AC-14(최종수정)" xfId="1138"/>
    <cellStyle name=" _간지_옥외탱크및기기기초(단가)_AC-14건설사무소환경개선공사설계서(제출)REV10_AC-14(최종수정)_Book1" xfId="1139"/>
    <cellStyle name=" _간지_옥외탱크및기기기초(단가)_AC-14건설사무소환경개선공사설계서(제출)REV10_AC-14(최종수정)_고압전동기정비건물설계서(남동안)-1" xfId="1140"/>
    <cellStyle name=" _간지_옥외탱크및기기기초(단가)_AC-14건설사무소환경개선공사설계서(제출)REV10_AC-14(최종수정)_발전설비 보수공사" xfId="1141"/>
    <cellStyle name=" _간지_옥외탱크및기기기초(단가)_AC-14건설사무소환경개선공사설계서(제출)REV10_AC-14(최종수정)_발전설비 보수공사_Book1" xfId="1142"/>
    <cellStyle name=" _간지_옥외탱크및기기기초(단가)_AC-14건설사무소환경개선공사설계서(제출)REV10_AC-14(최종수정)_발전설비 보수공사_고압전동기정비건물설계서(남동안)-1" xfId="1143"/>
    <cellStyle name=" _간지_옥외탱크및기기기초(단가)_AC-14건설사무소환경개선공사설계서(제출)REV10_Book1" xfId="1144"/>
    <cellStyle name=" _간지_옥외탱크및기기기초(단가)_AC-14건설사무소환경개선공사설계서(제출)REV10_고압전동기정비건물설계서(남동안)-1" xfId="1145"/>
    <cellStyle name=" _간지_옥외탱크및기기기초(단가)_Book1" xfId="1146"/>
    <cellStyle name=" _간지_옥외탱크및기기기초(단가)_PRP-500 TYPE" xfId="1147"/>
    <cellStyle name=" _간지_옥외탱크및기기기초(단가)_Songdo Convention Center 신축공사(060106제출수정본)" xfId="1148"/>
    <cellStyle name=" _간지_옥외탱크및기기기초(단가)_고압전동기정비건물설계서(남동안)-1" xfId="1149"/>
    <cellStyle name=" _간지_옥외탱크및기기기초(단가)_공사비집계표" xfId="1150"/>
    <cellStyle name=" _간지_옥외탱크및기기기초(단가)_공사비집계표(품의용)" xfId="1151"/>
    <cellStyle name=" _간지_옥외탱크및기기기초(단가)_공사비집계표(품의용)_PRP-500 TYPE" xfId="1152"/>
    <cellStyle name=" _간지_옥외탱크및기기기초(단가)_공사비집계표(품의용)_남부, 석산정거장(익진ENG 실행)" xfId="1153"/>
    <cellStyle name=" _간지_옥외탱크및기기기초(단가)_공사비집계표(품의용)_남부, 석산정거장PRP-500(Double)내역포함" xfId="1154"/>
    <cellStyle name=" _간지_옥외탱크및기기기초(단가)_공사비집계표(품의용)_양차장님(PRP, MOZART)" xfId="1155"/>
    <cellStyle name=" _간지_옥외탱크및기기기초(단가)_공사비집계표(품의용)_양차장님(PRP, MOZART)_양차장님LINER 벽체단가(PRP, MOZART,사면절곡)" xfId="1156"/>
    <cellStyle name=" _간지_옥외탱크및기기기초(단가)_공사비집계표_AC-14(최종수정)" xfId="1157"/>
    <cellStyle name=" _간지_옥외탱크및기기기초(단가)_공사비집계표_AC-14(최종수정)_Book1" xfId="1158"/>
    <cellStyle name=" _간지_옥외탱크및기기기초(단가)_공사비집계표_AC-14(최종수정)_고압전동기정비건물설계서(남동안)-1" xfId="1159"/>
    <cellStyle name=" _간지_옥외탱크및기기기초(단가)_공사비집계표_AC-14(최종수정)_발전설비 보수공사" xfId="1160"/>
    <cellStyle name=" _간지_옥외탱크및기기기초(단가)_공사비집계표_AC-14(최종수정)_발전설비 보수공사_Book1" xfId="1161"/>
    <cellStyle name=" _간지_옥외탱크및기기기초(단가)_공사비집계표_AC-14(최종수정)_발전설비 보수공사_고압전동기정비건물설계서(남동안)-1" xfId="1162"/>
    <cellStyle name=" _간지_옥외탱크및기기기초(단가)_공사비집계표_Book1" xfId="1163"/>
    <cellStyle name=" _간지_옥외탱크및기기기초(단가)_공사비집계표_고압전동기정비건물설계서(남동안)-1" xfId="1164"/>
    <cellStyle name=" _간지_옥외탱크및기기기초(단가)_남부, 석산정거장(익진ENG 실행)" xfId="1165"/>
    <cellStyle name=" _간지_옥외탱크및기기기초(단가)_남부, 석산정거장PRP-500(Double)내역포함" xfId="1166"/>
    <cellStyle name=" _간지_옥외탱크및기기기초(단가)_발전설비 보수공사" xfId="1167"/>
    <cellStyle name=" _간지_옥외탱크및기기기초(단가)_발전설비 보수공사_Book1" xfId="1168"/>
    <cellStyle name=" _간지_옥외탱크및기기기초(단가)_발전설비 보수공사_고압전동기정비건물설계서(남동안)-1" xfId="1169"/>
    <cellStyle name=" _간지_옥외탱크및기기기초(단가)_보일러판넬현장설명회(배부용)" xfId="1170"/>
    <cellStyle name=" _간지_옥외탱크및기기기초(단가)_양차장님(PRP, MOZART)" xfId="1171"/>
    <cellStyle name=" _간지_옥외탱크및기기기초(단가)_양차장님(PRP, MOZART)_양차장님LINER 벽체단가(PRP, MOZART,사면절곡)" xfId="1172"/>
    <cellStyle name=" _간지_옥외탱크및기기기초(단가)_영흥#3,4 터빈발전기기초(AC-04)" xfId="1173"/>
    <cellStyle name=" _간지_옥외탱크및기기기초(단가)_영흥#3,4 터빈발전기기초(AC-04)_고압전동기정비건물설계서(남동안)-1" xfId="1174"/>
    <cellStyle name=" _간지_옥외탱크및기기기초(단가)_추가품셈1-박" xfId="1175"/>
    <cellStyle name=" _간지_옥외탱크및기기기초(단가)_추가품셈1-박_PRP-500 TYPE" xfId="1176"/>
    <cellStyle name=" _간지_옥외탱크및기기기초(단가)_추가품셈1-박_남부, 석산정거장(익진ENG 실행)" xfId="1177"/>
    <cellStyle name=" _간지_옥외탱크및기기기초(단가)_추가품셈1-박_남부, 석산정거장PRP-500(Double)내역포함" xfId="1178"/>
    <cellStyle name=" _간지_옥외탱크및기기기초(단가)_추가품셈1-박_양차장님(PRP, MOZART)" xfId="1179"/>
    <cellStyle name=" _간지_옥외탱크및기기기초(단가)_추가품셈1-박_양차장님(PRP, MOZART)_양차장님LINER 벽체단가(PRP, MOZART,사면절곡)" xfId="1180"/>
    <cellStyle name=" _간지_전기설비기초-FF" xfId="1181"/>
    <cellStyle name=" _간지_전기설비기초-FF_고압전동기정비건물설계서(남동안)-1" xfId="1182"/>
    <cellStyle name=" _간지_전기설비기초-FF_보일러판넬현장설명회(배부용)" xfId="1183"/>
    <cellStyle name=" _간지_추가품셈1" xfId="1184"/>
    <cellStyle name=" _간지_추가품셈1_325전기설비기초" xfId="1191"/>
    <cellStyle name=" _간지_추가품셈1_325전기설비기초_PRP-500 TYPE" xfId="1192"/>
    <cellStyle name=" _간지_추가품셈1_325전기설비기초_공사비집계표(품의용)" xfId="1193"/>
    <cellStyle name=" _간지_추가품셈1_325전기설비기초_공사비집계표(품의용)_PRP-500 TYPE" xfId="1194"/>
    <cellStyle name=" _간지_추가품셈1_325전기설비기초_공사비집계표(품의용)_남부, 석산정거장(익진ENG 실행)" xfId="1195"/>
    <cellStyle name=" _간지_추가품셈1_325전기설비기초_공사비집계표(품의용)_남부, 석산정거장PRP-500(Double)내역포함" xfId="1196"/>
    <cellStyle name=" _간지_추가품셈1_325전기설비기초_공사비집계표(품의용)_양차장님(PRP, MOZART)" xfId="1197"/>
    <cellStyle name=" _간지_추가품셈1_325전기설비기초_공사비집계표(품의용)_양차장님(PRP, MOZART)_양차장님LINER 벽체단가(PRP, MOZART,사면절곡)" xfId="1198"/>
    <cellStyle name=" _간지_추가품셈1_325전기설비기초_남부, 석산정거장(익진ENG 실행)" xfId="1199"/>
    <cellStyle name=" _간지_추가품셈1_325전기설비기초_남부, 석산정거장PRP-500(Double)내역포함" xfId="1200"/>
    <cellStyle name=" _간지_추가품셈1_325전기설비기초_양차장님(PRP, MOZART)" xfId="1201"/>
    <cellStyle name=" _간지_추가품셈1_325전기설비기초_양차장님(PRP, MOZART)_양차장님LINER 벽체단가(PRP, MOZART,사면절곡)" xfId="1202"/>
    <cellStyle name=" _간지_추가품셈1_329전기설비기초-비교" xfId="1203"/>
    <cellStyle name=" _간지_추가품셈1_329전기설비기초-비교_PRP-500 TYPE" xfId="1204"/>
    <cellStyle name=" _간지_추가품셈1_329전기설비기초-비교_남부, 석산정거장(익진ENG 실행)" xfId="1205"/>
    <cellStyle name=" _간지_추가품셈1_329전기설비기초-비교_남부, 석산정거장PRP-500(Double)내역포함" xfId="1206"/>
    <cellStyle name=" _간지_추가품셈1_329전기설비기초-비교_양차장님(PRP, MOZART)" xfId="1207"/>
    <cellStyle name=" _간지_추가품셈1_329전기설비기초-비교_양차장님(PRP, MOZART)_양차장님LINER 벽체단가(PRP, MOZART,사면절곡)" xfId="1208"/>
    <cellStyle name=" _간지_추가품셈1_AC-01 보일러 설계서 수정" xfId="1209"/>
    <cellStyle name=" _간지_추가품셈1_AC-01 보일러 설계서 수정_AC-14(최종수정)" xfId="1210"/>
    <cellStyle name=" _간지_추가품셈1_AC-01 보일러 설계서 수정_AC-14(최종수정)_Book1" xfId="1211"/>
    <cellStyle name=" _간지_추가품셈1_AC-01 보일러 설계서 수정_AC-14(최종수정)_고압전동기정비건물설계서(남동안)-1" xfId="1212"/>
    <cellStyle name=" _간지_추가품셈1_AC-01 보일러 설계서 수정_AC-14(최종수정)_발전설비 보수공사" xfId="1213"/>
    <cellStyle name=" _간지_추가품셈1_AC-01 보일러 설계서 수정_AC-14(최종수정)_발전설비 보수공사_Book1" xfId="1214"/>
    <cellStyle name=" _간지_추가품셈1_AC-01 보일러 설계서 수정_AC-14(최종수정)_발전설비 보수공사_고압전동기정비건물설계서(남동안)-1" xfId="1215"/>
    <cellStyle name=" _간지_추가품셈1_AC-01 보일러 설계서 수정_Book1" xfId="1216"/>
    <cellStyle name=" _간지_추가품셈1_AC-01 보일러 설계서 수정_고압전동기정비건물설계서(남동안)-1" xfId="1217"/>
    <cellStyle name=" _간지_추가품셈1_AC-01 본관기초(가설계서 9월단가)" xfId="1218"/>
    <cellStyle name=" _간지_추가품셈1_AC-01 본관기초(가설계서 9월단가)_AC-14(최종수정)" xfId="1228"/>
    <cellStyle name=" _간지_추가품셈1_AC-01 본관기초(가설계서 9월단가)_AC-14(최종수정)_Book1" xfId="1229"/>
    <cellStyle name=" _간지_추가품셈1_AC-01 본관기초(가설계서 9월단가)_AC-14(최종수정)_고압전동기정비건물설계서(남동안)-1" xfId="1230"/>
    <cellStyle name=" _간지_추가품셈1_AC-01 본관기초(가설계서 9월단가)_AC-14(최종수정)_발전설비 보수공사" xfId="1231"/>
    <cellStyle name=" _간지_추가품셈1_AC-01 본관기초(가설계서 9월단가)_AC-14(최종수정)_발전설비 보수공사_Book1" xfId="1232"/>
    <cellStyle name=" _간지_추가품셈1_AC-01 본관기초(가설계서 9월단가)_AC-14(최종수정)_발전설비 보수공사_고압전동기정비건물설계서(남동안)-1" xfId="1233"/>
    <cellStyle name=" _간지_추가품셈1_AC-01 본관기초(가설계서 9월단가)_Book1" xfId="1234"/>
    <cellStyle name=" _간지_추가품셈1_AC-01 본관기초(가설계서 9월단가)_고압전동기정비건물설계서(남동안)-1" xfId="1235"/>
    <cellStyle name=" _간지_추가품셈1_AC-01 본관기초(가설계서 9월단가)-2" xfId="1219"/>
    <cellStyle name=" _간지_추가품셈1_AC-01 본관기초(가설계서 9월단가)-2_AC-14(최종수정)" xfId="1220"/>
    <cellStyle name=" _간지_추가품셈1_AC-01 본관기초(가설계서 9월단가)-2_AC-14(최종수정)_Book1" xfId="1221"/>
    <cellStyle name=" _간지_추가품셈1_AC-01 본관기초(가설계서 9월단가)-2_AC-14(최종수정)_고압전동기정비건물설계서(남동안)-1" xfId="1222"/>
    <cellStyle name=" _간지_추가품셈1_AC-01 본관기초(가설계서 9월단가)-2_AC-14(최종수정)_발전설비 보수공사" xfId="1223"/>
    <cellStyle name=" _간지_추가품셈1_AC-01 본관기초(가설계서 9월단가)-2_AC-14(최종수정)_발전설비 보수공사_Book1" xfId="1224"/>
    <cellStyle name=" _간지_추가품셈1_AC-01 본관기초(가설계서 9월단가)-2_AC-14(최종수정)_발전설비 보수공사_고압전동기정비건물설계서(남동안)-1" xfId="1225"/>
    <cellStyle name=" _간지_추가품셈1_AC-01 본관기초(가설계서 9월단가)-2_Book1" xfId="1226"/>
    <cellStyle name=" _간지_추가품셈1_AC-01 본관기초(가설계서 9월단가)-2_고압전동기정비건물설계서(남동안)-1" xfId="1227"/>
    <cellStyle name=" _간지_추가품셈1_AC-14건설사무소환경개선공사설계서(제출)REV10" xfId="1236"/>
    <cellStyle name=" _간지_추가품셈1_AC-14건설사무소환경개선공사설계서(제출)REV10_AC-14(최종수정)" xfId="1237"/>
    <cellStyle name=" _간지_추가품셈1_AC-14건설사무소환경개선공사설계서(제출)REV10_AC-14(최종수정)_Book1" xfId="1238"/>
    <cellStyle name=" _간지_추가품셈1_AC-14건설사무소환경개선공사설계서(제출)REV10_AC-14(최종수정)_고압전동기정비건물설계서(남동안)-1" xfId="1239"/>
    <cellStyle name=" _간지_추가품셈1_AC-14건설사무소환경개선공사설계서(제출)REV10_AC-14(최종수정)_발전설비 보수공사" xfId="1240"/>
    <cellStyle name=" _간지_추가품셈1_AC-14건설사무소환경개선공사설계서(제출)REV10_AC-14(최종수정)_발전설비 보수공사_Book1" xfId="1241"/>
    <cellStyle name=" _간지_추가품셈1_AC-14건설사무소환경개선공사설계서(제출)REV10_AC-14(최종수정)_발전설비 보수공사_고압전동기정비건물설계서(남동안)-1" xfId="1242"/>
    <cellStyle name=" _간지_추가품셈1_AC-14건설사무소환경개선공사설계서(제출)REV10_Book1" xfId="1243"/>
    <cellStyle name=" _간지_추가품셈1_AC-14건설사무소환경개선공사설계서(제출)REV10_고압전동기정비건물설계서(남동안)-1" xfId="1244"/>
    <cellStyle name=" _간지_추가품셈1_Book1" xfId="1245"/>
    <cellStyle name=" _간지_추가품셈1_PRP-500 TYPE" xfId="1246"/>
    <cellStyle name=" _간지_추가품셈1_Songdo Convention Center 신축공사(060106제출수정본)" xfId="1247"/>
    <cellStyle name=" _간지_추가품셈1_고압전동기정비건물설계서(남동안)-1" xfId="1248"/>
    <cellStyle name=" _간지_추가품셈1_공사비집계표" xfId="1249"/>
    <cellStyle name=" _간지_추가품셈1_공사비집계표(품의용)" xfId="1250"/>
    <cellStyle name=" _간지_추가품셈1_공사비집계표(품의용)_PRP-500 TYPE" xfId="1251"/>
    <cellStyle name=" _간지_추가품셈1_공사비집계표(품의용)_남부, 석산정거장(익진ENG 실행)" xfId="1252"/>
    <cellStyle name=" _간지_추가품셈1_공사비집계표(품의용)_남부, 석산정거장PRP-500(Double)내역포함" xfId="1253"/>
    <cellStyle name=" _간지_추가품셈1_공사비집계표(품의용)_양차장님(PRP, MOZART)" xfId="1254"/>
    <cellStyle name=" _간지_추가품셈1_공사비집계표(품의용)_양차장님(PRP, MOZART)_양차장님LINER 벽체단가(PRP, MOZART,사면절곡)" xfId="1255"/>
    <cellStyle name=" _간지_추가품셈1_공사비집계표_AC-14(최종수정)" xfId="1256"/>
    <cellStyle name=" _간지_추가품셈1_공사비집계표_AC-14(최종수정)_Book1" xfId="1257"/>
    <cellStyle name=" _간지_추가품셈1_공사비집계표_AC-14(최종수정)_고압전동기정비건물설계서(남동안)-1" xfId="1258"/>
    <cellStyle name=" _간지_추가품셈1_공사비집계표_AC-14(최종수정)_발전설비 보수공사" xfId="1259"/>
    <cellStyle name=" _간지_추가품셈1_공사비집계표_AC-14(최종수정)_발전설비 보수공사_Book1" xfId="1260"/>
    <cellStyle name=" _간지_추가품셈1_공사비집계표_AC-14(최종수정)_발전설비 보수공사_고압전동기정비건물설계서(남동안)-1" xfId="1261"/>
    <cellStyle name=" _간지_추가품셈1_공사비집계표_Book1" xfId="1262"/>
    <cellStyle name=" _간지_추가품셈1_공사비집계표_고압전동기정비건물설계서(남동안)-1" xfId="1263"/>
    <cellStyle name=" _간지_추가품셈1_남부, 석산정거장(익진ENG 실행)" xfId="1264"/>
    <cellStyle name=" _간지_추가품셈1_남부, 석산정거장PRP-500(Double)내역포함" xfId="1265"/>
    <cellStyle name=" _간지_추가품셈1_발전설비 보수공사" xfId="1266"/>
    <cellStyle name=" _간지_추가품셈1_발전설비 보수공사_Book1" xfId="1267"/>
    <cellStyle name=" _간지_추가품셈1_발전설비 보수공사_고압전동기정비건물설계서(남동안)-1" xfId="1268"/>
    <cellStyle name=" _간지_추가품셈1_보일러판넬현장설명회(배부용)" xfId="1269"/>
    <cellStyle name=" _간지_추가품셈1_사급및확정분공통품" xfId="1270"/>
    <cellStyle name=" _간지_추가품셈1_사급및확정분공통품_고압전동기정비건물설계서(남동안)-1" xfId="1271"/>
    <cellStyle name=" _간지_추가품셈1_사급및확정분공통품_보일러판넬현장설명회(배부용)" xfId="1272"/>
    <cellStyle name=" _간지_추가품셈1_양차장님(PRP, MOZART)" xfId="1273"/>
    <cellStyle name=" _간지_추가품셈1_양차장님(PRP, MOZART)_양차장님LINER 벽체단가(PRP, MOZART,사면절곡)" xfId="1274"/>
    <cellStyle name=" _간지_추가품셈1_영흥#3,4 터빈발전기기초(AC-04)" xfId="1275"/>
    <cellStyle name=" _간지_추가품셈1_영흥#3,4 터빈발전기기초(AC-04)_고압전동기정비건물설계서(남동안)-1" xfId="1276"/>
    <cellStyle name=" _간지_추가품셈1_영흥34품셈" xfId="1277"/>
    <cellStyle name=" _간지_추가품셈1_영흥34품셈_고압전동기정비건물설계서(남동안)-1" xfId="1278"/>
    <cellStyle name=" _간지_추가품셈1_영흥34품셈_보일러판넬현장설명회(배부용)" xfId="1279"/>
    <cellStyle name=" _간지_추가품셈1_옥외탱크기초(단가)" xfId="1280"/>
    <cellStyle name=" _간지_추가품셈1_옥외탱크기초(단가)_PRP-500 TYPE" xfId="1281"/>
    <cellStyle name=" _간지_추가품셈1_옥외탱크기초(단가)_공사비집계표(품의용)" xfId="1282"/>
    <cellStyle name=" _간지_추가품셈1_옥외탱크기초(단가)_공사비집계표(품의용)_PRP-500 TYPE" xfId="1283"/>
    <cellStyle name=" _간지_추가품셈1_옥외탱크기초(단가)_공사비집계표(품의용)_남부, 석산정거장(익진ENG 실행)" xfId="1284"/>
    <cellStyle name=" _간지_추가품셈1_옥외탱크기초(단가)_공사비집계표(품의용)_남부, 석산정거장PRP-500(Double)내역포함" xfId="1285"/>
    <cellStyle name=" _간지_추가품셈1_옥외탱크기초(단가)_공사비집계표(품의용)_양차장님(PRP, MOZART)" xfId="1286"/>
    <cellStyle name=" _간지_추가품셈1_옥외탱크기초(단가)_공사비집계표(품의용)_양차장님(PRP, MOZART)_양차장님LINER 벽체단가(PRP, MOZART,사면절곡)" xfId="1287"/>
    <cellStyle name=" _간지_추가품셈1_옥외탱크기초(단가)_남부, 석산정거장(익진ENG 실행)" xfId="1288"/>
    <cellStyle name=" _간지_추가품셈1_옥외탱크기초(단가)_남부, 석산정거장PRP-500(Double)내역포함" xfId="1289"/>
    <cellStyle name=" _간지_추가품셈1_옥외탱크기초(단가)_양차장님(PRP, MOZART)" xfId="1290"/>
    <cellStyle name=" _간지_추가품셈1_옥외탱크기초(단가)_양차장님(PRP, MOZART)_양차장님LINER 벽체단가(PRP, MOZART,사면절곡)" xfId="1291"/>
    <cellStyle name=" _간지_추가품셈1_옥외탱크기초-비교" xfId="1292"/>
    <cellStyle name=" _간지_추가품셈1_옥외탱크기초-비교_PRP-500 TYPE" xfId="1293"/>
    <cellStyle name=" _간지_추가품셈1_옥외탱크기초-비교_남부, 석산정거장(익진ENG 실행)" xfId="1294"/>
    <cellStyle name=" _간지_추가품셈1_옥외탱크기초-비교_남부, 석산정거장PRP-500(Double)내역포함" xfId="1295"/>
    <cellStyle name=" _간지_추가품셈1_옥외탱크기초-비교_양차장님(PRP, MOZART)" xfId="1296"/>
    <cellStyle name=" _간지_추가품셈1_옥외탱크기초-비교_양차장님(PRP, MOZART)_양차장님LINER 벽체단가(PRP, MOZART,사면절곡)" xfId="1297"/>
    <cellStyle name=" _간지_추가품셈1-박" xfId="1185"/>
    <cellStyle name=" _간지_추가품셈1-박_PRP-500 TYPE" xfId="1186"/>
    <cellStyle name=" _간지_추가품셈1-박_남부, 석산정거장(익진ENG 실행)" xfId="1187"/>
    <cellStyle name=" _간지_추가품셈1-박_남부, 석산정거장PRP-500(Double)내역포함" xfId="1188"/>
    <cellStyle name=" _간지_추가품셈1-박_양차장님(PRP, MOZART)" xfId="1189"/>
    <cellStyle name=" _간지_추가품셈1-박_양차장님(PRP, MOZART)_양차장님LINER 벽체단가(PRP, MOZART,사면절곡)" xfId="1190"/>
    <cellStyle name=" _간지_콘크리트품및 품질관리비" xfId="1298"/>
    <cellStyle name=" _간지_콘크리트품및 품질관리비_329전기설비기초-비교" xfId="1299"/>
    <cellStyle name=" _간지_콘크리트품및 품질관리비_329전기설비기초-비교_PRP-500 TYPE" xfId="1300"/>
    <cellStyle name=" _간지_콘크리트품및 품질관리비_329전기설비기초-비교_남부, 석산정거장(익진ENG 실행)" xfId="1301"/>
    <cellStyle name=" _간지_콘크리트품및 품질관리비_329전기설비기초-비교_남부, 석산정거장PRP-500(Double)내역포함" xfId="1302"/>
    <cellStyle name=" _간지_콘크리트품및 품질관리비_329전기설비기초-비교_양차장님(PRP, MOZART)" xfId="1303"/>
    <cellStyle name=" _간지_콘크리트품및 품질관리비_329전기설비기초-비교_양차장님(PRP, MOZART)_양차장님LINER 벽체단가(PRP, MOZART,사면절곡)" xfId="1304"/>
    <cellStyle name=" _간지_콘크리트품및 품질관리비_PRP-500 TYPE" xfId="1305"/>
    <cellStyle name=" _간지_콘크리트품및 품질관리비_Songdo Convention Center 신축공사(060106제출수정본)" xfId="1306"/>
    <cellStyle name=" _간지_콘크리트품및 품질관리비_고압전동기정비건물설계서(남동안)-1" xfId="1307"/>
    <cellStyle name=" _간지_콘크리트품및 품질관리비_공사비집계표(품의용)" xfId="1308"/>
    <cellStyle name=" _간지_콘크리트품및 품질관리비_공사비집계표(품의용)_PRP-500 TYPE" xfId="1309"/>
    <cellStyle name=" _간지_콘크리트품및 품질관리비_공사비집계표(품의용)_남부, 석산정거장(익진ENG 실행)" xfId="1310"/>
    <cellStyle name=" _간지_콘크리트품및 품질관리비_공사비집계표(품의용)_남부, 석산정거장PRP-500(Double)내역포함" xfId="1311"/>
    <cellStyle name=" _간지_콘크리트품및 품질관리비_공사비집계표(품의용)_양차장님(PRP, MOZART)" xfId="1312"/>
    <cellStyle name=" _간지_콘크리트품및 품질관리비_공사비집계표(품의용)_양차장님(PRP, MOZART)_양차장님LINER 벽체단가(PRP, MOZART,사면절곡)" xfId="1313"/>
    <cellStyle name=" _간지_콘크리트품및 품질관리비_남부, 석산정거장(익진ENG 실행)" xfId="1314"/>
    <cellStyle name=" _간지_콘크리트품및 품질관리비_남부, 석산정거장PRP-500(Double)내역포함" xfId="1315"/>
    <cellStyle name=" _간지_콘크리트품및 품질관리비_냉각수배수로-비교" xfId="1316"/>
    <cellStyle name=" _간지_콘크리트품및 품질관리비_냉각수배수로-비교_PRP-500 TYPE" xfId="1317"/>
    <cellStyle name=" _간지_콘크리트품및 품질관리비_냉각수배수로-비교_남부, 석산정거장(익진ENG 실행)" xfId="1318"/>
    <cellStyle name=" _간지_콘크리트품및 품질관리비_냉각수배수로-비교_남부, 석산정거장PRP-500(Double)내역포함" xfId="1319"/>
    <cellStyle name=" _간지_콘크리트품및 품질관리비_냉각수배수로-비교_양차장님(PRP, MOZART)" xfId="1320"/>
    <cellStyle name=" _간지_콘크리트품및 품질관리비_냉각수배수로-비교_양차장님(PRP, MOZART)_양차장님LINER 벽체단가(PRP, MOZART,사면절곡)" xfId="1321"/>
    <cellStyle name=" _간지_콘크리트품및 품질관리비_냉각수취수펌프구조물-비교" xfId="1322"/>
    <cellStyle name=" _간지_콘크리트품및 품질관리비_냉각수취수펌프구조물-비교_PRP-500 TYPE" xfId="1323"/>
    <cellStyle name=" _간지_콘크리트품및 품질관리비_냉각수취수펌프구조물-비교_남부, 석산정거장(익진ENG 실행)" xfId="1324"/>
    <cellStyle name=" _간지_콘크리트품및 품질관리비_냉각수취수펌프구조물-비교_남부, 석산정거장PRP-500(Double)내역포함" xfId="1325"/>
    <cellStyle name=" _간지_콘크리트품및 품질관리비_냉각수취수펌프구조물-비교_양차장님(PRP, MOZART)" xfId="1326"/>
    <cellStyle name=" _간지_콘크리트품및 품질관리비_냉각수취수펌프구조물-비교_양차장님(PRP, MOZART)_양차장님LINER 벽체단가(PRP, MOZART,사면절곡)" xfId="1327"/>
    <cellStyle name=" _간지_콘크리트품및 품질관리비_보일러판넬현장설명회(배부용)" xfId="1328"/>
    <cellStyle name=" _간지_콘크리트품및 품질관리비_양차장님(PRP, MOZART)" xfId="1329"/>
    <cellStyle name=" _간지_콘크리트품및 품질관리비_양차장님(PRP, MOZART)_양차장님LINER 벽체단가(PRP, MOZART,사면절곡)" xfId="1330"/>
    <cellStyle name=" _간지_콘크리트품및 품질관리비_조경(final)-비교" xfId="1331"/>
    <cellStyle name=" _간지_콘크리트품및 품질관리비_조경(final)-비교_PRP-500 TYPE" xfId="1332"/>
    <cellStyle name=" _간지_콘크리트품및 품질관리비_조경(final)-비교_남부, 석산정거장(익진ENG 실행)" xfId="1333"/>
    <cellStyle name=" _간지_콘크리트품및 품질관리비_조경(final)-비교_남부, 석산정거장PRP-500(Double)내역포함" xfId="1334"/>
    <cellStyle name=" _간지_콘크리트품및 품질관리비_조경(final)-비교_양차장님(PRP, MOZART)" xfId="1335"/>
    <cellStyle name=" _간지_콘크리트품및 품질관리비_조경(final)-비교_양차장님(PRP, MOZART)_양차장님LINER 벽체단가(PRP, MOZART,사면절곡)" xfId="1336"/>
    <cellStyle name=" _간지_품셈" xfId="1337"/>
    <cellStyle name=" _간지_품셈_329전기설비기초-비교" xfId="1338"/>
    <cellStyle name=" _간지_품셈_329전기설비기초-비교_PRP-500 TYPE" xfId="1339"/>
    <cellStyle name=" _간지_품셈_329전기설비기초-비교_남부, 석산정거장(익진ENG 실행)" xfId="1340"/>
    <cellStyle name=" _간지_품셈_329전기설비기초-비교_남부, 석산정거장PRP-500(Double)내역포함" xfId="1341"/>
    <cellStyle name=" _간지_품셈_329전기설비기초-비교_양차장님(PRP, MOZART)" xfId="1342"/>
    <cellStyle name=" _간지_품셈_329전기설비기초-비교_양차장님(PRP, MOZART)_양차장님LINER 벽체단가(PRP, MOZART,사면절곡)" xfId="1343"/>
    <cellStyle name=" _간지_품셈_PRP-500 TYPE" xfId="1344"/>
    <cellStyle name=" _간지_품셈_Songdo Convention Center 신축공사(060106제출수정본)" xfId="1345"/>
    <cellStyle name=" _간지_품셈_고압전동기정비건물설계서(남동안)-1" xfId="1346"/>
    <cellStyle name=" _간지_품셈_공사비집계표(품의용)" xfId="1347"/>
    <cellStyle name=" _간지_품셈_공사비집계표(품의용)_PRP-500 TYPE" xfId="1348"/>
    <cellStyle name=" _간지_품셈_공사비집계표(품의용)_남부, 석산정거장(익진ENG 실행)" xfId="1349"/>
    <cellStyle name=" _간지_품셈_공사비집계표(품의용)_남부, 석산정거장PRP-500(Double)내역포함" xfId="1350"/>
    <cellStyle name=" _간지_품셈_공사비집계표(품의용)_양차장님(PRP, MOZART)" xfId="1351"/>
    <cellStyle name=" _간지_품셈_공사비집계표(품의용)_양차장님(PRP, MOZART)_양차장님LINER 벽체단가(PRP, MOZART,사면절곡)" xfId="1352"/>
    <cellStyle name=" _간지_품셈_남부, 석산정거장(익진ENG 실행)" xfId="1353"/>
    <cellStyle name=" _간지_품셈_남부, 석산정거장PRP-500(Double)내역포함" xfId="1354"/>
    <cellStyle name=" _간지_품셈_냉각수배수로-비교" xfId="1355"/>
    <cellStyle name=" _간지_품셈_냉각수배수로-비교_PRP-500 TYPE" xfId="1356"/>
    <cellStyle name=" _간지_품셈_냉각수배수로-비교_남부, 석산정거장(익진ENG 실행)" xfId="1357"/>
    <cellStyle name=" _간지_품셈_냉각수배수로-비교_남부, 석산정거장PRP-500(Double)내역포함" xfId="1358"/>
    <cellStyle name=" _간지_품셈_냉각수배수로-비교_양차장님(PRP, MOZART)" xfId="1359"/>
    <cellStyle name=" _간지_품셈_냉각수배수로-비교_양차장님(PRP, MOZART)_양차장님LINER 벽체단가(PRP, MOZART,사면절곡)" xfId="1360"/>
    <cellStyle name=" _간지_품셈_냉각수취수펌프구조물-비교" xfId="1361"/>
    <cellStyle name=" _간지_품셈_냉각수취수펌프구조물-비교_PRP-500 TYPE" xfId="1362"/>
    <cellStyle name=" _간지_품셈_냉각수취수펌프구조물-비교_남부, 석산정거장(익진ENG 실행)" xfId="1363"/>
    <cellStyle name=" _간지_품셈_냉각수취수펌프구조물-비교_남부, 석산정거장PRP-500(Double)내역포함" xfId="1364"/>
    <cellStyle name=" _간지_품셈_냉각수취수펌프구조물-비교_양차장님(PRP, MOZART)" xfId="1365"/>
    <cellStyle name=" _간지_품셈_냉각수취수펌프구조물-비교_양차장님(PRP, MOZART)_양차장님LINER 벽체단가(PRP, MOZART,사면절곡)" xfId="1366"/>
    <cellStyle name=" _간지_품셈_보일러판넬현장설명회(배부용)" xfId="1367"/>
    <cellStyle name=" _간지_품셈_양차장님(PRP, MOZART)" xfId="1368"/>
    <cellStyle name=" _간지_품셈_양차장님(PRP, MOZART)_양차장님LINER 벽체단가(PRP, MOZART,사면절곡)" xfId="1369"/>
    <cellStyle name=" _간지_품셈_조경(final)-비교" xfId="1370"/>
    <cellStyle name=" _간지_품셈_조경(final)-비교_PRP-500 TYPE" xfId="1371"/>
    <cellStyle name=" _간지_품셈_조경(final)-비교_남부, 석산정거장(익진ENG 실행)" xfId="1372"/>
    <cellStyle name=" _간지_품셈_조경(final)-비교_남부, 석산정거장PRP-500(Double)내역포함" xfId="1373"/>
    <cellStyle name=" _간지_품셈_조경(final)-비교_양차장님(PRP, MOZART)" xfId="1374"/>
    <cellStyle name=" _간지_품셈_조경(final)-비교_양차장님(PRP, MOZART)_양차장님LINER 벽체단가(PRP, MOZART,사면절곡)" xfId="1375"/>
    <cellStyle name=" _건설사무소 환경개선공사 설계서" xfId="1376"/>
    <cellStyle name=" _건축주기성청구서1회분" xfId="1377"/>
    <cellStyle name=" _경민기계" xfId="1378"/>
    <cellStyle name=" _공내역서" xfId="1379"/>
    <cellStyle name=" _구내도로 및 배수(단가)" xfId="1380"/>
    <cellStyle name=" _구내도로 및 배수-비교" xfId="1381"/>
    <cellStyle name=" _굴착품(건축)" xfId="1382"/>
    <cellStyle name=" _굴착품(건축)_1-온배수 양식장 가설계서" xfId="1383"/>
    <cellStyle name=" _굴착품(건축)_경상정비 가설계서(12.07)" xfId="1384"/>
    <cellStyle name=" _굴착품(건축)_경상정비 설계서(최종결재본)" xfId="1385"/>
    <cellStyle name=" _굴착품(건축)_경상정비 설계서(최종분11월19)" xfId="1386"/>
    <cellStyle name=" _굴착품(건축)_고압전동기정비건물설계서(남동안)-1" xfId="1387"/>
    <cellStyle name=" _굴착품(건축)_부품" xfId="1388"/>
    <cellStyle name=" _기계공작실 수량산출서(현장)" xfId="1389"/>
    <cellStyle name=" _기성청구(사정)_20041019_AC-01" xfId="1390"/>
    <cellStyle name=" _기성청구1차" xfId="1391"/>
    <cellStyle name=" _기성청구2차" xfId="1392"/>
    <cellStyle name=" _냉각수배수로-비교" xfId="1393"/>
    <cellStyle name=" _냉각수취수펌프구조물-비교" xfId="1394"/>
    <cellStyle name=" _당진78-연돌-개략공사비" xfId="1395"/>
    <cellStyle name=" _당진화력7,8호기(건설사업소-다우조형물)" xfId="1396"/>
    <cellStyle name=" _대표공종내역" xfId="1397"/>
    <cellStyle name=" _대표공종내역_AC-01 보일러 설계서 수정" xfId="1398"/>
    <cellStyle name=" _대표공종내역_AC-01 보일러 설계서 수정_AC-14(최종수정)" xfId="1399"/>
    <cellStyle name=" _대표공종내역_AC-01 보일러 설계서 수정_AC-14(최종수정)_Book1" xfId="1400"/>
    <cellStyle name=" _대표공종내역_AC-01 보일러 설계서 수정_AC-14(최종수정)_고압전동기정비건물설계서(남동안)-1" xfId="1401"/>
    <cellStyle name=" _대표공종내역_AC-01 보일러 설계서 수정_AC-14(최종수정)_발전설비 보수공사" xfId="1402"/>
    <cellStyle name=" _대표공종내역_AC-01 보일러 설계서 수정_AC-14(최종수정)_발전설비 보수공사_Book1" xfId="1403"/>
    <cellStyle name=" _대표공종내역_AC-01 보일러 설계서 수정_AC-14(최종수정)_발전설비 보수공사_고압전동기정비건물설계서(남동안)-1" xfId="1404"/>
    <cellStyle name=" _대표공종내역_AC-01 보일러 설계서 수정_Book1" xfId="1405"/>
    <cellStyle name=" _대표공종내역_AC-01 보일러 설계서 수정_고압전동기정비건물설계서(남동안)-1" xfId="1406"/>
    <cellStyle name=" _대표공종내역_AC-01 본관기초(가설계서 9월단가)" xfId="1407"/>
    <cellStyle name=" _대표공종내역_AC-01 본관기초(가설계서 9월단가)_AC-14(최종수정)" xfId="1417"/>
    <cellStyle name=" _대표공종내역_AC-01 본관기초(가설계서 9월단가)_AC-14(최종수정)_Book1" xfId="1418"/>
    <cellStyle name=" _대표공종내역_AC-01 본관기초(가설계서 9월단가)_AC-14(최종수정)_고압전동기정비건물설계서(남동안)-1" xfId="1419"/>
    <cellStyle name=" _대표공종내역_AC-01 본관기초(가설계서 9월단가)_AC-14(최종수정)_발전설비 보수공사" xfId="1420"/>
    <cellStyle name=" _대표공종내역_AC-01 본관기초(가설계서 9월단가)_AC-14(최종수정)_발전설비 보수공사_Book1" xfId="1421"/>
    <cellStyle name=" _대표공종내역_AC-01 본관기초(가설계서 9월단가)_AC-14(최종수정)_발전설비 보수공사_고압전동기정비건물설계서(남동안)-1" xfId="1422"/>
    <cellStyle name=" _대표공종내역_AC-01 본관기초(가설계서 9월단가)_Book1" xfId="1423"/>
    <cellStyle name=" _대표공종내역_AC-01 본관기초(가설계서 9월단가)_고압전동기정비건물설계서(남동안)-1" xfId="1424"/>
    <cellStyle name=" _대표공종내역_AC-01 본관기초(가설계서 9월단가)-2" xfId="1408"/>
    <cellStyle name=" _대표공종내역_AC-01 본관기초(가설계서 9월단가)-2_AC-14(최종수정)" xfId="1409"/>
    <cellStyle name=" _대표공종내역_AC-01 본관기초(가설계서 9월단가)-2_AC-14(최종수정)_Book1" xfId="1410"/>
    <cellStyle name=" _대표공종내역_AC-01 본관기초(가설계서 9월단가)-2_AC-14(최종수정)_고압전동기정비건물설계서(남동안)-1" xfId="1411"/>
    <cellStyle name=" _대표공종내역_AC-01 본관기초(가설계서 9월단가)-2_AC-14(최종수정)_발전설비 보수공사" xfId="1412"/>
    <cellStyle name=" _대표공종내역_AC-01 본관기초(가설계서 9월단가)-2_AC-14(최종수정)_발전설비 보수공사_Book1" xfId="1413"/>
    <cellStyle name=" _대표공종내역_AC-01 본관기초(가설계서 9월단가)-2_AC-14(최종수정)_발전설비 보수공사_고압전동기정비건물설계서(남동안)-1" xfId="1414"/>
    <cellStyle name=" _대표공종내역_AC-01 본관기초(가설계서 9월단가)-2_Book1" xfId="1415"/>
    <cellStyle name=" _대표공종내역_AC-01 본관기초(가설계서 9월단가)-2_고압전동기정비건물설계서(남동안)-1" xfId="1416"/>
    <cellStyle name=" _대표공종내역_AC-14건설사무소환경개선공사설계서(제출)REV10" xfId="1425"/>
    <cellStyle name=" _대표공종내역_AC-14건설사무소환경개선공사설계서(제출)REV10_AC-14(최종수정)" xfId="1426"/>
    <cellStyle name=" _대표공종내역_AC-14건설사무소환경개선공사설계서(제출)REV10_AC-14(최종수정)_Book1" xfId="1427"/>
    <cellStyle name=" _대표공종내역_AC-14건설사무소환경개선공사설계서(제출)REV10_AC-14(최종수정)_발전설비 보수공사" xfId="1428"/>
    <cellStyle name=" _대표공종내역_AC-14건설사무소환경개선공사설계서(제출)REV10_AC-14(최종수정)_발전설비 보수공사_Book1" xfId="1429"/>
    <cellStyle name=" _대표공종내역_AC-14건설사무소환경개선공사설계서(제출)REV10_Book1" xfId="1430"/>
    <cellStyle name=" _대표공종내역_Book1" xfId="1431"/>
    <cellStyle name=" _대표공종내역_PRP-500 TYPE" xfId="1432"/>
    <cellStyle name=" _대표공종내역_Songdo Convention Center 신축공사(060106제출수정본)" xfId="1433"/>
    <cellStyle name=" _대표공종내역_고압전동기정비건물설계서(남동안)-1" xfId="1434"/>
    <cellStyle name=" _대표공종내역_공사비집계표" xfId="1435"/>
    <cellStyle name=" _대표공종내역_공사비집계표(품의용)" xfId="1436"/>
    <cellStyle name=" _대표공종내역_공사비집계표(품의용)_PRP-500 TYPE" xfId="1437"/>
    <cellStyle name=" _대표공종내역_공사비집계표(품의용)_남부, 석산정거장(익진ENG 실행)" xfId="1438"/>
    <cellStyle name=" _대표공종내역_공사비집계표(품의용)_남부, 석산정거장PRP-500(Double)내역포함" xfId="1439"/>
    <cellStyle name=" _대표공종내역_공사비집계표(품의용)_양차장님(PRP, MOZART)" xfId="1440"/>
    <cellStyle name=" _대표공종내역_공사비집계표(품의용)_양차장님(PRP, MOZART)_양차장님LINER 벽체단가(PRP, MOZART,사면절곡)" xfId="1441"/>
    <cellStyle name=" _대표공종내역_공사비집계표_AC-14(최종수정)" xfId="1442"/>
    <cellStyle name=" _대표공종내역_공사비집계표_AC-14(최종수정)_Book1" xfId="1443"/>
    <cellStyle name=" _대표공종내역_공사비집계표_AC-14(최종수정)_고압전동기정비건물설계서(남동안)-1" xfId="1444"/>
    <cellStyle name=" _대표공종내역_공사비집계표_AC-14(최종수정)_발전설비 보수공사" xfId="1445"/>
    <cellStyle name=" _대표공종내역_공사비집계표_AC-14(최종수정)_발전설비 보수공사_Book1" xfId="1446"/>
    <cellStyle name=" _대표공종내역_공사비집계표_AC-14(최종수정)_발전설비 보수공사_고압전동기정비건물설계서(남동안)-1" xfId="1447"/>
    <cellStyle name=" _대표공종내역_공사비집계표_Book1" xfId="1448"/>
    <cellStyle name=" _대표공종내역_공사비집계표_고압전동기정비건물설계서(남동안)-1" xfId="1449"/>
    <cellStyle name=" _대표공종내역_남부, 석산정거장(익진ENG 실행)" xfId="1450"/>
    <cellStyle name=" _대표공종내역_남부, 석산정거장PRP-500(Double)내역포함" xfId="1451"/>
    <cellStyle name=" _대표공종내역_발전설비 보수공사" xfId="1452"/>
    <cellStyle name=" _대표공종내역_발전설비 보수공사_Book1" xfId="1453"/>
    <cellStyle name=" _대표공종내역_발전설비 보수공사_고압전동기정비건물설계서(남동안)-1" xfId="1454"/>
    <cellStyle name=" _대표공종내역_보일러판넬현장설명회(배부용)" xfId="1455"/>
    <cellStyle name=" _대표공종내역_양차장님(PRP, MOZART)" xfId="1456"/>
    <cellStyle name=" _대표공종내역_양차장님(PRP, MOZART)_양차장님LINER 벽체단가(PRP, MOZART,사면절곡)" xfId="1457"/>
    <cellStyle name=" _대표공종내역_영흥#3,4 터빈발전기기초(AC-04)" xfId="1458"/>
    <cellStyle name=" _대표공종내역_영흥#3,4 터빈발전기기초(AC-04)_고압전동기정비건물설계서(남동안)-1" xfId="1459"/>
    <cellStyle name=" _대표공종내역_추가품셈1-박" xfId="1460"/>
    <cellStyle name=" _대표공종내역_추가품셈1-박_PRP-500 TYPE" xfId="1461"/>
    <cellStyle name=" _대표공종내역_추가품셈1-박_남부, 석산정거장(익진ENG 실행)" xfId="1462"/>
    <cellStyle name=" _대표공종내역_추가품셈1-박_남부, 석산정거장PRP-500(Double)내역포함" xfId="1463"/>
    <cellStyle name=" _대표공종내역_추가품셈1-박_양차장님(PRP, MOZART)" xfId="1464"/>
    <cellStyle name=" _대표공종내역_추가품셈1-박_양차장님(PRP, MOZART)_양차장님LINER 벽체단가(PRP, MOZART,사면절곡)" xfId="1465"/>
    <cellStyle name=" _모락스(엠에스 디스트리파크) 기계설비(송부용)" xfId="1466"/>
    <cellStyle name=" _변전소개략공사비(0726)" xfId="1467"/>
    <cellStyle name=" _본관기초 가실행" xfId="1468"/>
    <cellStyle name=" _본관기초 가실행_1 당진78-연돌-공사설계서(REV.0 12.14-kopec)" xfId="1469"/>
    <cellStyle name=" _본관기초 가실행_1.0t 당진78-연돌-수량산출서(REV.0 12.27-kopec)" xfId="1470"/>
    <cellStyle name=" _본관기초 가실행_당진78-연돌-개략공사비" xfId="1471"/>
    <cellStyle name=" _본관기초 가실행_연돌 현장타설말뚝(RCD)설계서" xfId="1472"/>
    <cellStyle name=" _본관기초(가설계서)-9월단가" xfId="1473"/>
    <cellStyle name=" _본관기초(가설계서)-9월단가_1-온배수 양식장 가설계서" xfId="1474"/>
    <cellStyle name=" _본관기초(가설계서)-9월단가_AC-01 보일러 설계서 수정" xfId="1475"/>
    <cellStyle name=" _본관기초(가설계서)-9월단가_AC-01 보일러 설계서 수정_1-온배수 양식장 가설계서" xfId="1476"/>
    <cellStyle name=" _본관기초(가설계서)-9월단가_AC-01 보일러 설계서 수정_AC-14(최종수정)" xfId="1477"/>
    <cellStyle name=" _본관기초(가설계서)-9월단가_AC-01 보일러 설계서 수정_AC-14(최종수정)_1-온배수 양식장 가설계서" xfId="1478"/>
    <cellStyle name=" _본관기초(가설계서)-9월단가_AC-01 보일러 설계서 수정_AC-14(최종수정)_Book1" xfId="1479"/>
    <cellStyle name=" _본관기초(가설계서)-9월단가_AC-01 보일러 설계서 수정_AC-14(최종수정)_경상정비 가설계서(12.07)" xfId="1480"/>
    <cellStyle name=" _본관기초(가설계서)-9월단가_AC-01 보일러 설계서 수정_AC-14(최종수정)_경상정비 설계서(최종결재본)" xfId="1481"/>
    <cellStyle name=" _본관기초(가설계서)-9월단가_AC-01 보일러 설계서 수정_AC-14(최종수정)_경상정비 설계서(최종분11월19)" xfId="1482"/>
    <cellStyle name=" _본관기초(가설계서)-9월단가_AC-01 보일러 설계서 수정_AC-14(최종수정)_발전설비 보수공사" xfId="1483"/>
    <cellStyle name=" _본관기초(가설계서)-9월단가_AC-01 보일러 설계서 수정_AC-14(최종수정)_발전설비 보수공사_1-온배수 양식장 가설계서" xfId="1484"/>
    <cellStyle name=" _본관기초(가설계서)-9월단가_AC-01 보일러 설계서 수정_AC-14(최종수정)_발전설비 보수공사_Book1" xfId="1485"/>
    <cellStyle name=" _본관기초(가설계서)-9월단가_AC-01 보일러 설계서 수정_AC-14(최종수정)_발전설비 보수공사_경상정비 가설계서(12.07)" xfId="1486"/>
    <cellStyle name=" _본관기초(가설계서)-9월단가_AC-01 보일러 설계서 수정_AC-14(최종수정)_발전설비 보수공사_경상정비 설계서(최종결재본)" xfId="1487"/>
    <cellStyle name=" _본관기초(가설계서)-9월단가_AC-01 보일러 설계서 수정_AC-14(최종수정)_발전설비 보수공사_경상정비 설계서(최종분11월19)" xfId="1488"/>
    <cellStyle name=" _본관기초(가설계서)-9월단가_AC-01 보일러 설계서 수정_AC-14(최종수정)_발전설비 보수공사_부품" xfId="1489"/>
    <cellStyle name=" _본관기초(가설계서)-9월단가_AC-01 보일러 설계서 수정_AC-14(최종수정)_부품" xfId="1490"/>
    <cellStyle name=" _본관기초(가설계서)-9월단가_AC-01 보일러 설계서 수정_Book1" xfId="1491"/>
    <cellStyle name=" _본관기초(가설계서)-9월단가_AC-01 보일러 설계서 수정_경상정비 가설계서(12.07)" xfId="1492"/>
    <cellStyle name=" _본관기초(가설계서)-9월단가_AC-01 보일러 설계서 수정_경상정비 설계서(최종결재본)" xfId="1493"/>
    <cellStyle name=" _본관기초(가설계서)-9월단가_AC-01 보일러 설계서 수정_경상정비 설계서(최종분11월19)" xfId="1494"/>
    <cellStyle name=" _본관기초(가설계서)-9월단가_AC-01 보일러 설계서 수정_부품" xfId="1495"/>
    <cellStyle name=" _본관기초(가설계서)-9월단가_AC-01 본관기초(가설계서 9월단가)" xfId="1496"/>
    <cellStyle name=" _본관기초(가설계서)-9월단가_AC-01 본관기초(가설계서 9월단가)_1-온배수 양식장 가설계서" xfId="1518"/>
    <cellStyle name=" _본관기초(가설계서)-9월단가_AC-01 본관기초(가설계서 9월단가)_AC-14(최종수정)" xfId="1519"/>
    <cellStyle name=" _본관기초(가설계서)-9월단가_AC-01 본관기초(가설계서 9월단가)_AC-14(최종수정)_1-온배수 양식장 가설계서" xfId="1520"/>
    <cellStyle name=" _본관기초(가설계서)-9월단가_AC-01 본관기초(가설계서 9월단가)_AC-14(최종수정)_Book1" xfId="1521"/>
    <cellStyle name=" _본관기초(가설계서)-9월단가_AC-01 본관기초(가설계서 9월단가)_AC-14(최종수정)_경상정비 가설계서(12.07)" xfId="1522"/>
    <cellStyle name=" _본관기초(가설계서)-9월단가_AC-01 본관기초(가설계서 9월단가)_AC-14(최종수정)_경상정비 설계서(최종결재본)" xfId="1523"/>
    <cellStyle name=" _본관기초(가설계서)-9월단가_AC-01 본관기초(가설계서 9월단가)_AC-14(최종수정)_경상정비 설계서(최종분11월19)" xfId="1524"/>
    <cellStyle name=" _본관기초(가설계서)-9월단가_AC-01 본관기초(가설계서 9월단가)_AC-14(최종수정)_발전설비 보수공사" xfId="1525"/>
    <cellStyle name=" _본관기초(가설계서)-9월단가_AC-01 본관기초(가설계서 9월단가)_AC-14(최종수정)_발전설비 보수공사_1-온배수 양식장 가설계서" xfId="1526"/>
    <cellStyle name=" _본관기초(가설계서)-9월단가_AC-01 본관기초(가설계서 9월단가)_AC-14(최종수정)_발전설비 보수공사_Book1" xfId="1527"/>
    <cellStyle name=" _본관기초(가설계서)-9월단가_AC-01 본관기초(가설계서 9월단가)_AC-14(최종수정)_발전설비 보수공사_경상정비 가설계서(12.07)" xfId="1528"/>
    <cellStyle name=" _본관기초(가설계서)-9월단가_AC-01 본관기초(가설계서 9월단가)_AC-14(최종수정)_발전설비 보수공사_경상정비 설계서(최종결재본)" xfId="1529"/>
    <cellStyle name=" _본관기초(가설계서)-9월단가_AC-01 본관기초(가설계서 9월단가)_AC-14(최종수정)_발전설비 보수공사_경상정비 설계서(최종분11월19)" xfId="1530"/>
    <cellStyle name=" _본관기초(가설계서)-9월단가_AC-01 본관기초(가설계서 9월단가)_AC-14(최종수정)_발전설비 보수공사_부품" xfId="1531"/>
    <cellStyle name=" _본관기초(가설계서)-9월단가_AC-01 본관기초(가설계서 9월단가)_AC-14(최종수정)_부품" xfId="1532"/>
    <cellStyle name=" _본관기초(가설계서)-9월단가_AC-01 본관기초(가설계서 9월단가)_Book1" xfId="1533"/>
    <cellStyle name=" _본관기초(가설계서)-9월단가_AC-01 본관기초(가설계서 9월단가)_경상정비 가설계서(12.07)" xfId="1534"/>
    <cellStyle name=" _본관기초(가설계서)-9월단가_AC-01 본관기초(가설계서 9월단가)_경상정비 설계서(최종결재본)" xfId="1535"/>
    <cellStyle name=" _본관기초(가설계서)-9월단가_AC-01 본관기초(가설계서 9월단가)_경상정비 설계서(최종분11월19)" xfId="1536"/>
    <cellStyle name=" _본관기초(가설계서)-9월단가_AC-01 본관기초(가설계서 9월단가)_부품" xfId="1537"/>
    <cellStyle name=" _본관기초(가설계서)-9월단가_AC-01 본관기초(가설계서 9월단가)-2" xfId="1497"/>
    <cellStyle name=" _본관기초(가설계서)-9월단가_AC-01 본관기초(가설계서 9월단가)-2_1-온배수 양식장 가설계서" xfId="1498"/>
    <cellStyle name=" _본관기초(가설계서)-9월단가_AC-01 본관기초(가설계서 9월단가)-2_AC-14(최종수정)" xfId="1499"/>
    <cellStyle name=" _본관기초(가설계서)-9월단가_AC-01 본관기초(가설계서 9월단가)-2_AC-14(최종수정)_1-온배수 양식장 가설계서" xfId="1500"/>
    <cellStyle name=" _본관기초(가설계서)-9월단가_AC-01 본관기초(가설계서 9월단가)-2_AC-14(최종수정)_Book1" xfId="1501"/>
    <cellStyle name=" _본관기초(가설계서)-9월단가_AC-01 본관기초(가설계서 9월단가)-2_AC-14(최종수정)_경상정비 가설계서(12.07)" xfId="1502"/>
    <cellStyle name=" _본관기초(가설계서)-9월단가_AC-01 본관기초(가설계서 9월단가)-2_AC-14(최종수정)_경상정비 설계서(최종결재본)" xfId="1503"/>
    <cellStyle name=" _본관기초(가설계서)-9월단가_AC-01 본관기초(가설계서 9월단가)-2_AC-14(최종수정)_경상정비 설계서(최종분11월19)" xfId="1504"/>
    <cellStyle name=" _본관기초(가설계서)-9월단가_AC-01 본관기초(가설계서 9월단가)-2_AC-14(최종수정)_발전설비 보수공사" xfId="1505"/>
    <cellStyle name=" _본관기초(가설계서)-9월단가_AC-01 본관기초(가설계서 9월단가)-2_AC-14(최종수정)_발전설비 보수공사_1-온배수 양식장 가설계서" xfId="1506"/>
    <cellStyle name=" _본관기초(가설계서)-9월단가_AC-01 본관기초(가설계서 9월단가)-2_AC-14(최종수정)_발전설비 보수공사_Book1" xfId="1507"/>
    <cellStyle name=" _본관기초(가설계서)-9월단가_AC-01 본관기초(가설계서 9월단가)-2_AC-14(최종수정)_발전설비 보수공사_경상정비 가설계서(12.07)" xfId="1508"/>
    <cellStyle name=" _본관기초(가설계서)-9월단가_AC-01 본관기초(가설계서 9월단가)-2_AC-14(최종수정)_발전설비 보수공사_경상정비 설계서(최종결재본)" xfId="1509"/>
    <cellStyle name=" _본관기초(가설계서)-9월단가_AC-01 본관기초(가설계서 9월단가)-2_AC-14(최종수정)_발전설비 보수공사_경상정비 설계서(최종분11월19)" xfId="1510"/>
    <cellStyle name=" _본관기초(가설계서)-9월단가_AC-01 본관기초(가설계서 9월단가)-2_AC-14(최종수정)_발전설비 보수공사_부품" xfId="1511"/>
    <cellStyle name=" _본관기초(가설계서)-9월단가_AC-01 본관기초(가설계서 9월단가)-2_AC-14(최종수정)_부품" xfId="1512"/>
    <cellStyle name=" _본관기초(가설계서)-9월단가_AC-01 본관기초(가설계서 9월단가)-2_Book1" xfId="1513"/>
    <cellStyle name=" _본관기초(가설계서)-9월단가_AC-01 본관기초(가설계서 9월단가)-2_경상정비 가설계서(12.07)" xfId="1514"/>
    <cellStyle name=" _본관기초(가설계서)-9월단가_AC-01 본관기초(가설계서 9월단가)-2_경상정비 설계서(최종결재본)" xfId="1515"/>
    <cellStyle name=" _본관기초(가설계서)-9월단가_AC-01 본관기초(가설계서 9월단가)-2_경상정비 설계서(최종분11월19)" xfId="1516"/>
    <cellStyle name=" _본관기초(가설계서)-9월단가_AC-01 본관기초(가설계서 9월단가)-2_부품" xfId="1517"/>
    <cellStyle name=" _본관기초(가설계서)-9월단가_AC-14건설사무소환경개선공사설계서(제출)REV10" xfId="1538"/>
    <cellStyle name=" _본관기초(가설계서)-9월단가_AC-14건설사무소환경개선공사설계서(제출)REV10_1-온배수 양식장 가설계서" xfId="1539"/>
    <cellStyle name=" _본관기초(가설계서)-9월단가_AC-14건설사무소환경개선공사설계서(제출)REV10_AC-14(최종수정)" xfId="1540"/>
    <cellStyle name=" _본관기초(가설계서)-9월단가_AC-14건설사무소환경개선공사설계서(제출)REV10_AC-14(최종수정)_1-온배수 양식장 가설계서" xfId="1541"/>
    <cellStyle name=" _본관기초(가설계서)-9월단가_AC-14건설사무소환경개선공사설계서(제출)REV10_AC-14(최종수정)_Book1" xfId="1542"/>
    <cellStyle name=" _본관기초(가설계서)-9월단가_AC-14건설사무소환경개선공사설계서(제출)REV10_AC-14(최종수정)_경상정비 가설계서(12.07)" xfId="1543"/>
    <cellStyle name=" _본관기초(가설계서)-9월단가_AC-14건설사무소환경개선공사설계서(제출)REV10_AC-14(최종수정)_경상정비 설계서(최종결재본)" xfId="1544"/>
    <cellStyle name=" _본관기초(가설계서)-9월단가_AC-14건설사무소환경개선공사설계서(제출)REV10_AC-14(최종수정)_경상정비 설계서(최종분11월19)" xfId="1545"/>
    <cellStyle name=" _본관기초(가설계서)-9월단가_AC-14건설사무소환경개선공사설계서(제출)REV10_AC-14(최종수정)_발전설비 보수공사" xfId="1546"/>
    <cellStyle name=" _본관기초(가설계서)-9월단가_AC-14건설사무소환경개선공사설계서(제출)REV10_AC-14(최종수정)_발전설비 보수공사_1-온배수 양식장 가설계서" xfId="1547"/>
    <cellStyle name=" _본관기초(가설계서)-9월단가_AC-14건설사무소환경개선공사설계서(제출)REV10_AC-14(최종수정)_발전설비 보수공사_Book1" xfId="1548"/>
    <cellStyle name=" _본관기초(가설계서)-9월단가_AC-14건설사무소환경개선공사설계서(제출)REV10_AC-14(최종수정)_발전설비 보수공사_경상정비 가설계서(12.07)" xfId="1549"/>
    <cellStyle name=" _본관기초(가설계서)-9월단가_AC-14건설사무소환경개선공사설계서(제출)REV10_AC-14(최종수정)_발전설비 보수공사_경상정비 설계서(최종결재본)" xfId="1550"/>
    <cellStyle name=" _본관기초(가설계서)-9월단가_AC-14건설사무소환경개선공사설계서(제출)REV10_AC-14(최종수정)_발전설비 보수공사_경상정비 설계서(최종분11월19)" xfId="1551"/>
    <cellStyle name=" _본관기초(가설계서)-9월단가_AC-14건설사무소환경개선공사설계서(제출)REV10_AC-14(최종수정)_발전설비 보수공사_부품" xfId="1552"/>
    <cellStyle name=" _본관기초(가설계서)-9월단가_AC-14건설사무소환경개선공사설계서(제출)REV10_AC-14(최종수정)_부품" xfId="1553"/>
    <cellStyle name=" _본관기초(가설계서)-9월단가_AC-14건설사무소환경개선공사설계서(제출)REV10_Book1" xfId="1554"/>
    <cellStyle name=" _본관기초(가설계서)-9월단가_AC-14건설사무소환경개선공사설계서(제출)REV10_경상정비 가설계서(12.07)" xfId="1555"/>
    <cellStyle name=" _본관기초(가설계서)-9월단가_AC-14건설사무소환경개선공사설계서(제출)REV10_경상정비 설계서(최종결재본)" xfId="1556"/>
    <cellStyle name=" _본관기초(가설계서)-9월단가_AC-14건설사무소환경개선공사설계서(제출)REV10_경상정비 설계서(최종분11월19)" xfId="1557"/>
    <cellStyle name=" _본관기초(가설계서)-9월단가_AC-14건설사무소환경개선공사설계서(제출)REV10_부품" xfId="1558"/>
    <cellStyle name=" _본관기초(가설계서)-9월단가_Book1" xfId="1559"/>
    <cellStyle name=" _본관기초(가설계서)-9월단가_경상정비 가설계서(12.07)" xfId="1560"/>
    <cellStyle name=" _본관기초(가설계서)-9월단가_경상정비 설계서(최종결재본)" xfId="1561"/>
    <cellStyle name=" _본관기초(가설계서)-9월단가_경상정비 설계서(최종분11월19)" xfId="1562"/>
    <cellStyle name=" _본관기초(가설계서)-9월단가_공사비집계표" xfId="1563"/>
    <cellStyle name=" _본관기초(가설계서)-9월단가_공사비집계표_1-온배수 양식장 가설계서" xfId="1564"/>
    <cellStyle name=" _본관기초(가설계서)-9월단가_공사비집계표_AC-14(최종수정)" xfId="1565"/>
    <cellStyle name=" _본관기초(가설계서)-9월단가_공사비집계표_AC-14(최종수정)_1-온배수 양식장 가설계서" xfId="1566"/>
    <cellStyle name=" _본관기초(가설계서)-9월단가_공사비집계표_AC-14(최종수정)_Book1" xfId="1567"/>
    <cellStyle name=" _본관기초(가설계서)-9월단가_공사비집계표_AC-14(최종수정)_경상정비 가설계서(12.07)" xfId="1568"/>
    <cellStyle name=" _본관기초(가설계서)-9월단가_공사비집계표_AC-14(최종수정)_경상정비 설계서(최종결재본)" xfId="1569"/>
    <cellStyle name=" _본관기초(가설계서)-9월단가_공사비집계표_AC-14(최종수정)_경상정비 설계서(최종분11월19)" xfId="1570"/>
    <cellStyle name=" _본관기초(가설계서)-9월단가_공사비집계표_AC-14(최종수정)_발전설비 보수공사" xfId="1571"/>
    <cellStyle name=" _본관기초(가설계서)-9월단가_공사비집계표_AC-14(최종수정)_발전설비 보수공사_1-온배수 양식장 가설계서" xfId="1572"/>
    <cellStyle name=" _본관기초(가설계서)-9월단가_공사비집계표_AC-14(최종수정)_발전설비 보수공사_Book1" xfId="1573"/>
    <cellStyle name=" _본관기초(가설계서)-9월단가_공사비집계표_AC-14(최종수정)_발전설비 보수공사_경상정비 가설계서(12.07)" xfId="1574"/>
    <cellStyle name=" _본관기초(가설계서)-9월단가_공사비집계표_AC-14(최종수정)_발전설비 보수공사_경상정비 설계서(최종결재본)" xfId="1575"/>
    <cellStyle name=" _본관기초(가설계서)-9월단가_공사비집계표_AC-14(최종수정)_발전설비 보수공사_경상정비 설계서(최종분11월19)" xfId="1576"/>
    <cellStyle name=" _본관기초(가설계서)-9월단가_공사비집계표_AC-14(최종수정)_발전설비 보수공사_부품" xfId="1577"/>
    <cellStyle name=" _본관기초(가설계서)-9월단가_공사비집계표_AC-14(최종수정)_부품" xfId="1578"/>
    <cellStyle name=" _본관기초(가설계서)-9월단가_공사비집계표_Book1" xfId="1579"/>
    <cellStyle name=" _본관기초(가설계서)-9월단가_공사비집계표_경상정비 가설계서(12.07)" xfId="1580"/>
    <cellStyle name=" _본관기초(가설계서)-9월단가_공사비집계표_경상정비 설계서(최종결재본)" xfId="1581"/>
    <cellStyle name=" _본관기초(가설계서)-9월단가_공사비집계표_경상정비 설계서(최종분11월19)" xfId="1582"/>
    <cellStyle name=" _본관기초(가설계서)-9월단가_공사비집계표_부품" xfId="1583"/>
    <cellStyle name=" _본관기초(가설계서)-9월단가_발전설비 보수공사" xfId="1584"/>
    <cellStyle name=" _본관기초(가설계서)-9월단가_발전설비 보수공사_1-온배수 양식장 가설계서" xfId="1585"/>
    <cellStyle name=" _본관기초(가설계서)-9월단가_발전설비 보수공사_Book1" xfId="1586"/>
    <cellStyle name=" _본관기초(가설계서)-9월단가_발전설비 보수공사_경상정비 가설계서(12.07)" xfId="1587"/>
    <cellStyle name=" _본관기초(가설계서)-9월단가_발전설비 보수공사_경상정비 설계서(최종결재본)" xfId="1588"/>
    <cellStyle name=" _본관기초(가설계서)-9월단가_발전설비 보수공사_경상정비 설계서(최종분11월19)" xfId="1589"/>
    <cellStyle name=" _본관기초(가설계서)-9월단가_발전설비 보수공사_부품" xfId="1590"/>
    <cellStyle name=" _본관기초(가설계서)-9월단가_부품" xfId="1591"/>
    <cellStyle name=" _본관기초굴착 예상도급" xfId="1592"/>
    <cellStyle name=" _본관기초굴착 예상도급_1 당진78-연돌-공사설계서(REV.0 12.14-kopec)" xfId="1593"/>
    <cellStyle name=" _본관기초굴착 예상도급_1.0t 당진78-연돌-수량산출서(REV.0 12.27-kopec)" xfId="1594"/>
    <cellStyle name=" _본관기초굴착 예상도급_당진78-연돌-개략공사비" xfId="1595"/>
    <cellStyle name=" _본관기초굴착 예상도급_연돌 현장타설말뚝(RCD)설계서" xfId="1596"/>
    <cellStyle name=" _본관기초굴착(단가)" xfId="1597"/>
    <cellStyle name=" _본관기초굴착(단가)-비교" xfId="1598"/>
    <cellStyle name=" _부대입찰내역" xfId="1599"/>
    <cellStyle name=" _부대입찰내역_1 당진78-연돌-공사설계서(REV.0 12.14-kopec)" xfId="1600"/>
    <cellStyle name=" _부대입찰내역_1.0t 당진78-연돌-수량산출서(REV.0 12.27-kopec)" xfId="1601"/>
    <cellStyle name=" _부대입찰내역_CC-02 본관기초굴착 예상" xfId="1602"/>
    <cellStyle name=" _부대입찰내역_CC-02 본관기초굴착 예상_1 당진78-연돌-공사설계서(REV.0 12.14-kopec)" xfId="1603"/>
    <cellStyle name=" _부대입찰내역_CC-02 본관기초굴착 예상_1.0t 당진78-연돌-수량산출서(REV.0 12.27-kopec)" xfId="1604"/>
    <cellStyle name=" _부대입찰내역_CC-02 본관기초굴착 예상_당진78-연돌-개략공사비" xfId="1605"/>
    <cellStyle name=" _부대입찰내역_CC-02 본관기초굴착 예상_연돌 현장타설말뚝(RCD)설계서" xfId="1606"/>
    <cellStyle name=" _부대입찰내역_당진78-연돌-개략공사비" xfId="1607"/>
    <cellStyle name=" _부대입찰내역_본관기초 가실행" xfId="1608"/>
    <cellStyle name=" _부대입찰내역_본관기초 가실행_1 당진78-연돌-공사설계서(REV.0 12.14-kopec)" xfId="1609"/>
    <cellStyle name=" _부대입찰내역_본관기초 가실행_1.0t 당진78-연돌-수량산출서(REV.0 12.27-kopec)" xfId="1610"/>
    <cellStyle name=" _부대입찰내역_본관기초 가실행_당진78-연돌-개략공사비" xfId="1611"/>
    <cellStyle name=" _부대입찰내역_본관기초 가실행_연돌 현장타설말뚝(RCD)설계서" xfId="1612"/>
    <cellStyle name=" _부대입찰내역_본관기초굴착 예상도급" xfId="1613"/>
    <cellStyle name=" _부대입찰내역_본관기초굴착 예상도급_1 당진78-연돌-공사설계서(REV.0 12.14-kopec)" xfId="1614"/>
    <cellStyle name=" _부대입찰내역_본관기초굴착 예상도급_1.0t 당진78-연돌-수량산출서(REV.0 12.27-kopec)" xfId="1615"/>
    <cellStyle name=" _부대입찰내역_본관기초굴착 예상도급_당진78-연돌-개략공사비" xfId="1616"/>
    <cellStyle name=" _부대입찰내역_본관기초굴착 예상도급_연돌 현장타설말뚝(RCD)설계서" xfId="1617"/>
    <cellStyle name=" _부대입찰내역_사무실포장가실행" xfId="1618"/>
    <cellStyle name=" _부대입찰내역_연돌 현장타설말뚝(RCD)설계서" xfId="1619"/>
    <cellStyle name=" _부대입찰내역_직접공사비 집계" xfId="1620"/>
    <cellStyle name=" _부대입찰내역_직접공사비 집계_1 당진78-연돌-공사설계서(REV.0 12.14-kopec)" xfId="1621"/>
    <cellStyle name=" _부대입찰내역_직접공사비 집계_1.0t 당진78-연돌-수량산출서(REV.0 12.27-kopec)" xfId="1622"/>
    <cellStyle name=" _부대입찰내역_직접공사비 집계_CC-02 본관기초굴착 예상" xfId="1623"/>
    <cellStyle name=" _부대입찰내역_직접공사비 집계_CC-02 본관기초굴착 예상_1 당진78-연돌-공사설계서(REV.0 12.14-kopec)" xfId="1624"/>
    <cellStyle name=" _부대입찰내역_직접공사비 집계_CC-02 본관기초굴착 예상_1.0t 당진78-연돌-수량산출서(REV.0 12.27-kopec)" xfId="1625"/>
    <cellStyle name=" _부대입찰내역_직접공사비 집계_CC-02 본관기초굴착 예상_당진78-연돌-개략공사비" xfId="1626"/>
    <cellStyle name=" _부대입찰내역_직접공사비 집계_CC-02 본관기초굴착 예상_연돌 현장타설말뚝(RCD)설계서" xfId="1627"/>
    <cellStyle name=" _부대입찰내역_직접공사비 집계_당진78-연돌-개략공사비" xfId="1628"/>
    <cellStyle name=" _부대입찰내역_직접공사비 집계_본관기초 가실행" xfId="1629"/>
    <cellStyle name=" _부대입찰내역_직접공사비 집계_본관기초 가실행_1 당진78-연돌-공사설계서(REV.0 12.14-kopec)" xfId="1630"/>
    <cellStyle name=" _부대입찰내역_직접공사비 집계_본관기초 가실행_1.0t 당진78-연돌-수량산출서(REV.0 12.27-kopec)" xfId="1631"/>
    <cellStyle name=" _부대입찰내역_직접공사비 집계_본관기초 가실행_당진78-연돌-개략공사비" xfId="1632"/>
    <cellStyle name=" _부대입찰내역_직접공사비 집계_본관기초 가실행_연돌 현장타설말뚝(RCD)설계서" xfId="1633"/>
    <cellStyle name=" _부대입찰내역_직접공사비 집계_본관기초굴착 예상도급" xfId="1634"/>
    <cellStyle name=" _부대입찰내역_직접공사비 집계_본관기초굴착 예상도급_1 당진78-연돌-공사설계서(REV.0 12.14-kopec)" xfId="1635"/>
    <cellStyle name=" _부대입찰내역_직접공사비 집계_본관기초굴착 예상도급_1.0t 당진78-연돌-수량산출서(REV.0 12.27-kopec)" xfId="1636"/>
    <cellStyle name=" _부대입찰내역_직접공사비 집계_본관기초굴착 예상도급_당진78-연돌-개략공사비" xfId="1637"/>
    <cellStyle name=" _부대입찰내역_직접공사비 집계_본관기초굴착 예상도급_연돌 현장타설말뚝(RCD)설계서" xfId="1638"/>
    <cellStyle name=" _부대입찰내역_직접공사비 집계_연돌 현장타설말뚝(RCD)설계서" xfId="1639"/>
    <cellStyle name=" _부대입찰내역_직접공사비 집계_한태견적의뢰" xfId="1640"/>
    <cellStyle name=" _부대입찰내역_한태견적의뢰" xfId="1641"/>
    <cellStyle name=" _부진" xfId="1642"/>
    <cellStyle name=" _사급자재단가산출" xfId="1643"/>
    <cellStyle name=" _사급자재단가산출_325전기설비기초" xfId="1644"/>
    <cellStyle name=" _사급자재단가산출_325전기설비기초_PRP-500 TYPE" xfId="1645"/>
    <cellStyle name=" _사급자재단가산출_325전기설비기초_공사비집계표(품의용)" xfId="1646"/>
    <cellStyle name=" _사급자재단가산출_325전기설비기초_공사비집계표(품의용)_PRP-500 TYPE" xfId="1647"/>
    <cellStyle name=" _사급자재단가산출_325전기설비기초_공사비집계표(품의용)_남부, 석산정거장(익진ENG 실행)" xfId="1648"/>
    <cellStyle name=" _사급자재단가산출_325전기설비기초_공사비집계표(품의용)_남부, 석산정거장PRP-500(Double)내역포함" xfId="1649"/>
    <cellStyle name=" _사급자재단가산출_325전기설비기초_공사비집계표(품의용)_양차장님(PRP, MOZART)" xfId="1650"/>
    <cellStyle name=" _사급자재단가산출_325전기설비기초_공사비집계표(품의용)_양차장님(PRP, MOZART)_양차장님LINER 벽체단가(PRP, MOZART,사면절곡)" xfId="1651"/>
    <cellStyle name=" _사급자재단가산출_325전기설비기초_남부, 석산정거장(익진ENG 실행)" xfId="1652"/>
    <cellStyle name=" _사급자재단가산출_325전기설비기초_남부, 석산정거장PRP-500(Double)내역포함" xfId="1653"/>
    <cellStyle name=" _사급자재단가산출_325전기설비기초_양차장님(PRP, MOZART)" xfId="1654"/>
    <cellStyle name=" _사급자재단가산출_325전기설비기초_양차장님(PRP, MOZART)_양차장님LINER 벽체단가(PRP, MOZART,사면절곡)" xfId="1655"/>
    <cellStyle name=" _사급자재단가산출_329전기설비기초-비교" xfId="1656"/>
    <cellStyle name=" _사급자재단가산출_329전기설비기초-비교_PRP-500 TYPE" xfId="1657"/>
    <cellStyle name=" _사급자재단가산출_329전기설비기초-비교_남부, 석산정거장(익진ENG 실행)" xfId="1658"/>
    <cellStyle name=" _사급자재단가산출_329전기설비기초-비교_남부, 석산정거장PRP-500(Double)내역포함" xfId="1659"/>
    <cellStyle name=" _사급자재단가산출_329전기설비기초-비교_양차장님(PRP, MOZART)" xfId="1660"/>
    <cellStyle name=" _사급자재단가산출_329전기설비기초-비교_양차장님(PRP, MOZART)_양차장님LINER 벽체단가(PRP, MOZART,사면절곡)" xfId="1661"/>
    <cellStyle name=" _사급자재단가산출_AC-01 보일러 설계서 수정" xfId="1662"/>
    <cellStyle name=" _사급자재단가산출_AC-01 보일러 설계서 수정_AC-14(최종수정)" xfId="1663"/>
    <cellStyle name=" _사급자재단가산출_AC-01 보일러 설계서 수정_AC-14(최종수정)_Book1" xfId="1664"/>
    <cellStyle name=" _사급자재단가산출_AC-01 보일러 설계서 수정_AC-14(최종수정)_발전설비 보수공사" xfId="1665"/>
    <cellStyle name=" _사급자재단가산출_AC-01 보일러 설계서 수정_AC-14(최종수정)_발전설비 보수공사_Book1" xfId="1666"/>
    <cellStyle name=" _사급자재단가산출_AC-01 보일러 설계서 수정_Book1" xfId="1667"/>
    <cellStyle name=" _사급자재단가산출_AC-01 본관기초(가설계서 9월단가)" xfId="1668"/>
    <cellStyle name=" _사급자재단가산출_AC-01 본관기초(가설계서 9월단가)_AC-14(최종수정)" xfId="1675"/>
    <cellStyle name=" _사급자재단가산출_AC-01 본관기초(가설계서 9월단가)_AC-14(최종수정)_Book1" xfId="1676"/>
    <cellStyle name=" _사급자재단가산출_AC-01 본관기초(가설계서 9월단가)_AC-14(최종수정)_발전설비 보수공사" xfId="1677"/>
    <cellStyle name=" _사급자재단가산출_AC-01 본관기초(가설계서 9월단가)_AC-14(최종수정)_발전설비 보수공사_Book1" xfId="1678"/>
    <cellStyle name=" _사급자재단가산출_AC-01 본관기초(가설계서 9월단가)_Book1" xfId="1679"/>
    <cellStyle name=" _사급자재단가산출_AC-01 본관기초(가설계서 9월단가)-2" xfId="1669"/>
    <cellStyle name=" _사급자재단가산출_AC-01 본관기초(가설계서 9월단가)-2_AC-14(최종수정)" xfId="1670"/>
    <cellStyle name=" _사급자재단가산출_AC-01 본관기초(가설계서 9월단가)-2_AC-14(최종수정)_Book1" xfId="1671"/>
    <cellStyle name=" _사급자재단가산출_AC-01 본관기초(가설계서 9월단가)-2_AC-14(최종수정)_발전설비 보수공사" xfId="1672"/>
    <cellStyle name=" _사급자재단가산출_AC-01 본관기초(가설계서 9월단가)-2_AC-14(최종수정)_발전설비 보수공사_Book1" xfId="1673"/>
    <cellStyle name=" _사급자재단가산출_AC-01 본관기초(가설계서 9월단가)-2_Book1" xfId="1674"/>
    <cellStyle name=" _사급자재단가산출_AC-14건설사무소환경개선공사설계서(제출)REV10" xfId="1680"/>
    <cellStyle name=" _사급자재단가산출_AC-14건설사무소환경개선공사설계서(제출)REV10_AC-14(최종수정)" xfId="1681"/>
    <cellStyle name=" _사급자재단가산출_AC-14건설사무소환경개선공사설계서(제출)REV10_AC-14(최종수정)_Book1" xfId="1682"/>
    <cellStyle name=" _사급자재단가산출_AC-14건설사무소환경개선공사설계서(제출)REV10_AC-14(최종수정)_발전설비 보수공사" xfId="1683"/>
    <cellStyle name=" _사급자재단가산출_AC-14건설사무소환경개선공사설계서(제출)REV10_AC-14(최종수정)_발전설비 보수공사_Book1" xfId="1684"/>
    <cellStyle name=" _사급자재단가산출_AC-14건설사무소환경개선공사설계서(제출)REV10_Book1" xfId="1685"/>
    <cellStyle name=" _사급자재단가산출_Book1" xfId="1686"/>
    <cellStyle name=" _사급자재단가산출_PRP-500 TYPE" xfId="1687"/>
    <cellStyle name=" _사급자재단가산출_Songdo Convention Center 신축공사(060106제출수정본)" xfId="1688"/>
    <cellStyle name=" _사급자재단가산출_공사비집계표" xfId="1689"/>
    <cellStyle name=" _사급자재단가산출_공사비집계표(품의용)" xfId="1690"/>
    <cellStyle name=" _사급자재단가산출_공사비집계표(품의용)_PRP-500 TYPE" xfId="1691"/>
    <cellStyle name=" _사급자재단가산출_공사비집계표(품의용)_남부, 석산정거장(익진ENG 실행)" xfId="1692"/>
    <cellStyle name=" _사급자재단가산출_공사비집계표(품의용)_남부, 석산정거장PRP-500(Double)내역포함" xfId="1693"/>
    <cellStyle name=" _사급자재단가산출_공사비집계표(품의용)_양차장님(PRP, MOZART)" xfId="1694"/>
    <cellStyle name=" _사급자재단가산출_공사비집계표(품의용)_양차장님(PRP, MOZART)_양차장님LINER 벽체단가(PRP, MOZART,사면절곡)" xfId="1695"/>
    <cellStyle name=" _사급자재단가산출_공사비집계표_AC-14(최종수정)" xfId="1696"/>
    <cellStyle name=" _사급자재단가산출_공사비집계표_AC-14(최종수정)_Book1" xfId="1697"/>
    <cellStyle name=" _사급자재단가산출_공사비집계표_AC-14(최종수정)_발전설비 보수공사" xfId="1698"/>
    <cellStyle name=" _사급자재단가산출_공사비집계표_AC-14(최종수정)_발전설비 보수공사_Book1" xfId="1699"/>
    <cellStyle name=" _사급자재단가산출_공사비집계표_Book1" xfId="1700"/>
    <cellStyle name=" _사급자재단가산출_남부, 석산정거장(익진ENG 실행)" xfId="1701"/>
    <cellStyle name=" _사급자재단가산출_남부, 석산정거장PRP-500(Double)내역포함" xfId="1702"/>
    <cellStyle name=" _사급자재단가산출_대표공종 분류내역" xfId="1703"/>
    <cellStyle name=" _사급자재단가산출_대표공종 분류내역_PRP-500 TYPE" xfId="1704"/>
    <cellStyle name=" _사급자재단가산출_대표공종 분류내역_공사비집계표(품의용)" xfId="1705"/>
    <cellStyle name=" _사급자재단가산출_대표공종 분류내역_공사비집계표(품의용)_PRP-500 TYPE" xfId="1706"/>
    <cellStyle name=" _사급자재단가산출_대표공종 분류내역_공사비집계표(품의용)_남부, 석산정거장(익진ENG 실행)" xfId="1707"/>
    <cellStyle name=" _사급자재단가산출_대표공종 분류내역_공사비집계표(품의용)_남부, 석산정거장PRP-500(Double)내역포함" xfId="1708"/>
    <cellStyle name=" _사급자재단가산출_대표공종 분류내역_공사비집계표(품의용)_양차장님(PRP, MOZART)" xfId="1709"/>
    <cellStyle name=" _사급자재단가산출_대표공종 분류내역_공사비집계표(품의용)_양차장님(PRP, MOZART)_양차장님LINER 벽체단가(PRP, MOZART,사면절곡)" xfId="1710"/>
    <cellStyle name=" _사급자재단가산출_대표공종 분류내역_남부, 석산정거장(익진ENG 실행)" xfId="1711"/>
    <cellStyle name=" _사급자재단가산출_대표공종 분류내역_남부, 석산정거장PRP-500(Double)내역포함" xfId="1712"/>
    <cellStyle name=" _사급자재단가산출_대표공종 분류내역_냉각수배수로-비교" xfId="1713"/>
    <cellStyle name=" _사급자재단가산출_대표공종 분류내역_냉각수배수로-비교_PRP-500 TYPE" xfId="1714"/>
    <cellStyle name=" _사급자재단가산출_대표공종 분류내역_냉각수배수로-비교_남부, 석산정거장(익진ENG 실행)" xfId="1715"/>
    <cellStyle name=" _사급자재단가산출_대표공종 분류내역_냉각수배수로-비교_남부, 석산정거장PRP-500(Double)내역포함" xfId="1716"/>
    <cellStyle name=" _사급자재단가산출_대표공종 분류내역_냉각수배수로-비교_양차장님(PRP, MOZART)" xfId="1717"/>
    <cellStyle name=" _사급자재단가산출_대표공종 분류내역_냉각수배수로-비교_양차장님(PRP, MOZART)_양차장님LINER 벽체단가(PRP, MOZART,사면절곡)" xfId="1718"/>
    <cellStyle name=" _사급자재단가산출_대표공종 분류내역_냉각수취수펌프구조물-비교" xfId="1719"/>
    <cellStyle name=" _사급자재단가산출_대표공종 분류내역_냉각수취수펌프구조물-비교_PRP-500 TYPE" xfId="1720"/>
    <cellStyle name=" _사급자재단가산출_대표공종 분류내역_냉각수취수펌프구조물-비교_남부, 석산정거장(익진ENG 실행)" xfId="1721"/>
    <cellStyle name=" _사급자재단가산출_대표공종 분류내역_냉각수취수펌프구조물-비교_남부, 석산정거장PRP-500(Double)내역포함" xfId="1722"/>
    <cellStyle name=" _사급자재단가산출_대표공종 분류내역_냉각수취수펌프구조물-비교_양차장님(PRP, MOZART)" xfId="1723"/>
    <cellStyle name=" _사급자재단가산출_대표공종 분류내역_냉각수취수펌프구조물-비교_양차장님(PRP, MOZART)_양차장님LINER 벽체단가(PRP, MOZART,사면절곡)" xfId="1724"/>
    <cellStyle name=" _사급자재단가산출_대표공종 분류내역_양차장님(PRP, MOZART)" xfId="1725"/>
    <cellStyle name=" _사급자재단가산출_대표공종 분류내역_양차장님(PRP, MOZART)_양차장님LINER 벽체단가(PRP, MOZART,사면절곡)" xfId="1726"/>
    <cellStyle name=" _사급자재단가산출_대표공종분류" xfId="1727"/>
    <cellStyle name=" _사급자재단가산출_대표공종분류_PRP-500 TYPE" xfId="1728"/>
    <cellStyle name=" _사급자재단가산출_대표공종분류_공사비집계표(품의용)" xfId="1729"/>
    <cellStyle name=" _사급자재단가산출_대표공종분류_공사비집계표(품의용)_PRP-500 TYPE" xfId="1730"/>
    <cellStyle name=" _사급자재단가산출_대표공종분류_공사비집계표(품의용)_남부, 석산정거장(익진ENG 실행)" xfId="1731"/>
    <cellStyle name=" _사급자재단가산출_대표공종분류_공사비집계표(품의용)_남부, 석산정거장PRP-500(Double)내역포함" xfId="1732"/>
    <cellStyle name=" _사급자재단가산출_대표공종분류_공사비집계표(품의용)_양차장님(PRP, MOZART)" xfId="1733"/>
    <cellStyle name=" _사급자재단가산출_대표공종분류_공사비집계표(품의용)_양차장님(PRP, MOZART)_양차장님LINER 벽체단가(PRP, MOZART,사면절곡)" xfId="1734"/>
    <cellStyle name=" _사급자재단가산출_대표공종분류_남부, 석산정거장(익진ENG 실행)" xfId="1735"/>
    <cellStyle name=" _사급자재단가산출_대표공종분류_남부, 석산정거장PRP-500(Double)내역포함" xfId="1736"/>
    <cellStyle name=" _사급자재단가산출_대표공종분류_양차장님(PRP, MOZART)" xfId="1737"/>
    <cellStyle name=" _사급자재단가산출_대표공종분류_양차장님(PRP, MOZART)_양차장님LINER 벽체단가(PRP, MOZART,사면절곡)" xfId="1738"/>
    <cellStyle name=" _사급자재단가산출_발전설비 보수공사" xfId="1739"/>
    <cellStyle name=" _사급자재단가산출_발전설비 보수공사_Book1" xfId="1740"/>
    <cellStyle name=" _사급자재단가산출_보일러판넬현장설명회(배부용)" xfId="1741"/>
    <cellStyle name=" _사급자재단가산출_본관기초굴착(단가)" xfId="1742"/>
    <cellStyle name=" _사급자재단가산출_본관기초굴착(단가)_PRP-500 TYPE" xfId="1743"/>
    <cellStyle name=" _사급자재단가산출_본관기초굴착(단가)_남부, 석산정거장(익진ENG 실행)" xfId="1744"/>
    <cellStyle name=" _사급자재단가산출_본관기초굴착(단가)_남부, 석산정거장PRP-500(Double)내역포함" xfId="1745"/>
    <cellStyle name=" _사급자재단가산출_본관기초굴착(단가)_양차장님(PRP, MOZART)" xfId="1746"/>
    <cellStyle name=" _사급자재단가산출_본관기초굴착(단가)_양차장님(PRP, MOZART)_양차장님LINER 벽체단가(PRP, MOZART,사면절곡)" xfId="1747"/>
    <cellStyle name=" _사급자재단가산출_사급및확정분공통품" xfId="1748"/>
    <cellStyle name=" _사급자재단가산출_사급및확정분공통품_보일러판넬현장설명회(배부용)" xfId="1749"/>
    <cellStyle name=" _사급자재단가산출_사급자재총괄표" xfId="1750"/>
    <cellStyle name=" _사급자재단가산출_사급자재총괄표_PRP-500 TYPE" xfId="1751"/>
    <cellStyle name=" _사급자재단가산출_사급자재총괄표_공사비집계표(품의용)" xfId="1752"/>
    <cellStyle name=" _사급자재단가산출_사급자재총괄표_공사비집계표(품의용)_PRP-500 TYPE" xfId="1753"/>
    <cellStyle name=" _사급자재단가산출_사급자재총괄표_공사비집계표(품의용)_남부, 석산정거장(익진ENG 실행)" xfId="1754"/>
    <cellStyle name=" _사급자재단가산출_사급자재총괄표_공사비집계표(품의용)_남부, 석산정거장PRP-500(Double)내역포함" xfId="1755"/>
    <cellStyle name=" _사급자재단가산출_사급자재총괄표_공사비집계표(품의용)_양차장님(PRP, MOZART)" xfId="1756"/>
    <cellStyle name=" _사급자재단가산출_사급자재총괄표_공사비집계표(품의용)_양차장님(PRP, MOZART)_양차장님LINER 벽체단가(PRP, MOZART,사면절곡)" xfId="1757"/>
    <cellStyle name=" _사급자재단가산출_사급자재총괄표_남부, 석산정거장(익진ENG 실행)" xfId="1758"/>
    <cellStyle name=" _사급자재단가산출_사급자재총괄표_남부, 석산정거장PRP-500(Double)내역포함" xfId="1759"/>
    <cellStyle name=" _사급자재단가산출_사급자재총괄표_양차장님(PRP, MOZART)" xfId="1760"/>
    <cellStyle name=" _사급자재단가산출_사급자재총괄표_양차장님(PRP, MOZART)_양차장님LINER 벽체단가(PRP, MOZART,사면절곡)" xfId="1761"/>
    <cellStyle name=" _사급자재단가산출_설계개요" xfId="1762"/>
    <cellStyle name=" _사급자재단가산출_설계개요_PRP-500 TYPE" xfId="1763"/>
    <cellStyle name=" _사급자재단가산출_설계개요_공사비집계표(품의용)" xfId="1764"/>
    <cellStyle name=" _사급자재단가산출_설계개요_공사비집계표(품의용)_PRP-500 TYPE" xfId="1765"/>
    <cellStyle name=" _사급자재단가산출_설계개요_공사비집계표(품의용)_남부, 석산정거장(익진ENG 실행)" xfId="1766"/>
    <cellStyle name=" _사급자재단가산출_설계개요_공사비집계표(품의용)_남부, 석산정거장PRP-500(Double)내역포함" xfId="1767"/>
    <cellStyle name=" _사급자재단가산출_설계개요_공사비집계표(품의용)_양차장님(PRP, MOZART)" xfId="1768"/>
    <cellStyle name=" _사급자재단가산출_설계개요_공사비집계표(품의용)_양차장님(PRP, MOZART)_양차장님LINER 벽체단가(PRP, MOZART,사면절곡)" xfId="1769"/>
    <cellStyle name=" _사급자재단가산출_설계개요_남부, 석산정거장(익진ENG 실행)" xfId="1770"/>
    <cellStyle name=" _사급자재단가산출_설계개요_남부, 석산정거장PRP-500(Double)내역포함" xfId="1771"/>
    <cellStyle name=" _사급자재단가산출_설계개요_냉각수배수로-비교" xfId="1772"/>
    <cellStyle name=" _사급자재단가산출_설계개요_냉각수배수로-비교_PRP-500 TYPE" xfId="1773"/>
    <cellStyle name=" _사급자재단가산출_설계개요_냉각수배수로-비교_남부, 석산정거장(익진ENG 실행)" xfId="1774"/>
    <cellStyle name=" _사급자재단가산출_설계개요_냉각수배수로-비교_남부, 석산정거장PRP-500(Double)내역포함" xfId="1775"/>
    <cellStyle name=" _사급자재단가산출_설계개요_냉각수배수로-비교_양차장님(PRP, MOZART)" xfId="1776"/>
    <cellStyle name=" _사급자재단가산출_설계개요_냉각수배수로-비교_양차장님(PRP, MOZART)_양차장님LINER 벽체단가(PRP, MOZART,사면절곡)" xfId="1777"/>
    <cellStyle name=" _사급자재단가산출_설계개요_냉각수취수펌프구조물-비교" xfId="1778"/>
    <cellStyle name=" _사급자재단가산출_설계개요_냉각수취수펌프구조물-비교_PRP-500 TYPE" xfId="1779"/>
    <cellStyle name=" _사급자재단가산출_설계개요_냉각수취수펌프구조물-비교_남부, 석산정거장(익진ENG 실행)" xfId="1780"/>
    <cellStyle name=" _사급자재단가산출_설계개요_냉각수취수펌프구조물-비교_남부, 석산정거장PRP-500(Double)내역포함" xfId="1781"/>
    <cellStyle name=" _사급자재단가산출_설계개요_냉각수취수펌프구조물-비교_양차장님(PRP, MOZART)" xfId="1782"/>
    <cellStyle name=" _사급자재단가산출_설계개요_냉각수취수펌프구조물-비교_양차장님(PRP, MOZART)_양차장님LINER 벽체단가(PRP, MOZART,사면절곡)" xfId="1783"/>
    <cellStyle name=" _사급자재단가산출_설계개요_양차장님(PRP, MOZART)" xfId="1784"/>
    <cellStyle name=" _사급자재단가산출_설계개요_양차장님(PRP, MOZART)_양차장님LINER 벽체단가(PRP, MOZART,사면절곡)" xfId="1785"/>
    <cellStyle name=" _사급자재단가산출_설계명세서" xfId="1786"/>
    <cellStyle name=" _사급자재단가산출_설계명세서_325전기설비기초" xfId="1787"/>
    <cellStyle name=" _사급자재단가산출_설계명세서_325전기설비기초_PRP-500 TYPE" xfId="1788"/>
    <cellStyle name=" _사급자재단가산출_설계명세서_325전기설비기초_공사비집계표(품의용)" xfId="1789"/>
    <cellStyle name=" _사급자재단가산출_설계명세서_325전기설비기초_공사비집계표(품의용)_PRP-500 TYPE" xfId="1790"/>
    <cellStyle name=" _사급자재단가산출_설계명세서_325전기설비기초_공사비집계표(품의용)_남부, 석산정거장(익진ENG 실행)" xfId="1791"/>
    <cellStyle name=" _사급자재단가산출_설계명세서_325전기설비기초_공사비집계표(품의용)_남부, 석산정거장PRP-500(Double)내역포함" xfId="1792"/>
    <cellStyle name=" _사급자재단가산출_설계명세서_325전기설비기초_공사비집계표(품의용)_양차장님(PRP, MOZART)" xfId="1793"/>
    <cellStyle name=" _사급자재단가산출_설계명세서_325전기설비기초_공사비집계표(품의용)_양차장님(PRP, MOZART)_양차장님LINER 벽체단가(PRP, MOZART,사면절곡)" xfId="1794"/>
    <cellStyle name=" _사급자재단가산출_설계명세서_325전기설비기초_남부, 석산정거장(익진ENG 실행)" xfId="1795"/>
    <cellStyle name=" _사급자재단가산출_설계명세서_325전기설비기초_남부, 석산정거장PRP-500(Double)내역포함" xfId="1796"/>
    <cellStyle name=" _사급자재단가산출_설계명세서_325전기설비기초_양차장님(PRP, MOZART)" xfId="1797"/>
    <cellStyle name=" _사급자재단가산출_설계명세서_325전기설비기초_양차장님(PRP, MOZART)_양차장님LINER 벽체단가(PRP, MOZART,사면절곡)" xfId="1798"/>
    <cellStyle name=" _사급자재단가산출_설계명세서_PRP-500 TYPE" xfId="1799"/>
    <cellStyle name=" _사급자재단가산출_설계명세서_공사비집계표(품의용)" xfId="1800"/>
    <cellStyle name=" _사급자재단가산출_설계명세서_공사비집계표(품의용)_PRP-500 TYPE" xfId="1801"/>
    <cellStyle name=" _사급자재단가산출_설계명세서_공사비집계표(품의용)_남부, 석산정거장(익진ENG 실행)" xfId="1802"/>
    <cellStyle name=" _사급자재단가산출_설계명세서_공사비집계표(품의용)_남부, 석산정거장PRP-500(Double)내역포함" xfId="1803"/>
    <cellStyle name=" _사급자재단가산출_설계명세서_공사비집계표(품의용)_양차장님(PRP, MOZART)" xfId="1804"/>
    <cellStyle name=" _사급자재단가산출_설계명세서_공사비집계표(품의용)_양차장님(PRP, MOZART)_양차장님LINER 벽체단가(PRP, MOZART,사면절곡)" xfId="1805"/>
    <cellStyle name=" _사급자재단가산출_설계명세서_남부, 석산정거장(익진ENG 실행)" xfId="1806"/>
    <cellStyle name=" _사급자재단가산출_설계명세서_남부, 석산정거장PRP-500(Double)내역포함" xfId="1807"/>
    <cellStyle name=" _사급자재단가산출_설계명세서_냉각수배수로-비교" xfId="1808"/>
    <cellStyle name=" _사급자재단가산출_설계명세서_냉각수배수로-비교_PRP-500 TYPE" xfId="1809"/>
    <cellStyle name=" _사급자재단가산출_설계명세서_냉각수배수로-비교_남부, 석산정거장(익진ENG 실행)" xfId="1810"/>
    <cellStyle name=" _사급자재단가산출_설계명세서_냉각수배수로-비교_남부, 석산정거장PRP-500(Double)내역포함" xfId="1811"/>
    <cellStyle name=" _사급자재단가산출_설계명세서_냉각수배수로-비교_양차장님(PRP, MOZART)" xfId="1812"/>
    <cellStyle name=" _사급자재단가산출_설계명세서_냉각수배수로-비교_양차장님(PRP, MOZART)_양차장님LINER 벽체단가(PRP, MOZART,사면절곡)" xfId="1813"/>
    <cellStyle name=" _사급자재단가산출_설계명세서_냉각수취수펌프구조물-비교" xfId="1814"/>
    <cellStyle name=" _사급자재단가산출_설계명세서_냉각수취수펌프구조물-비교_PRP-500 TYPE" xfId="1815"/>
    <cellStyle name=" _사급자재단가산출_설계명세서_냉각수취수펌프구조물-비교_남부, 석산정거장(익진ENG 실행)" xfId="1816"/>
    <cellStyle name=" _사급자재단가산출_설계명세서_냉각수취수펌프구조물-비교_남부, 석산정거장PRP-500(Double)내역포함" xfId="1817"/>
    <cellStyle name=" _사급자재단가산출_설계명세서_냉각수취수펌프구조물-비교_양차장님(PRP, MOZART)" xfId="1818"/>
    <cellStyle name=" _사급자재단가산출_설계명세서_냉각수취수펌프구조물-비교_양차장님(PRP, MOZART)_양차장님LINER 벽체단가(PRP, MOZART,사면절곡)" xfId="1819"/>
    <cellStyle name=" _사급자재단가산출_설계명세서_설계개요" xfId="1820"/>
    <cellStyle name=" _사급자재단가산출_설계명세서_설계개요_PRP-500 TYPE" xfId="1821"/>
    <cellStyle name=" _사급자재단가산출_설계명세서_설계개요_공사비집계표(품의용)" xfId="1822"/>
    <cellStyle name=" _사급자재단가산출_설계명세서_설계개요_공사비집계표(품의용)_PRP-500 TYPE" xfId="1823"/>
    <cellStyle name=" _사급자재단가산출_설계명세서_설계개요_공사비집계표(품의용)_남부, 석산정거장(익진ENG 실행)" xfId="1824"/>
    <cellStyle name=" _사급자재단가산출_설계명세서_설계개요_공사비집계표(품의용)_남부, 석산정거장PRP-500(Double)내역포함" xfId="1825"/>
    <cellStyle name=" _사급자재단가산출_설계명세서_설계개요_공사비집계표(품의용)_양차장님(PRP, MOZART)" xfId="1826"/>
    <cellStyle name=" _사급자재단가산출_설계명세서_설계개요_공사비집계표(품의용)_양차장님(PRP, MOZART)_양차장님LINER 벽체단가(PRP, MOZART,사면절곡)" xfId="1827"/>
    <cellStyle name=" _사급자재단가산출_설계명세서_설계개요_남부, 석산정거장(익진ENG 실행)" xfId="1828"/>
    <cellStyle name=" _사급자재단가산출_설계명세서_설계개요_남부, 석산정거장PRP-500(Double)내역포함" xfId="1829"/>
    <cellStyle name=" _사급자재단가산출_설계명세서_설계개요_양차장님(PRP, MOZART)" xfId="1830"/>
    <cellStyle name=" _사급자재단가산출_설계명세서_설계개요_양차장님(PRP, MOZART)_양차장님LINER 벽체단가(PRP, MOZART,사면절곡)" xfId="1831"/>
    <cellStyle name=" _사급자재단가산출_설계명세서_양차장님(PRP, MOZART)" xfId="1832"/>
    <cellStyle name=" _사급자재단가산출_설계명세서_양차장님(PRP, MOZART)_양차장님LINER 벽체단가(PRP, MOZART,사면절곡)" xfId="1833"/>
    <cellStyle name=" _사급자재단가산출_양차장님(PRP, MOZART)" xfId="1834"/>
    <cellStyle name=" _사급자재단가산출_양차장님(PRP, MOZART)_양차장님LINER 벽체단가(PRP, MOZART,사면절곡)" xfId="1835"/>
    <cellStyle name=" _사급자재단가산출_영흥#3,4 터빈발전기기초(AC-04)" xfId="1836"/>
    <cellStyle name=" _사급자재단가산출_영흥34품셈" xfId="1837"/>
    <cellStyle name=" _사급자재단가산출_영흥34품셈_보일러판넬현장설명회(배부용)" xfId="1838"/>
    <cellStyle name=" _사급자재단가산출_옥외탱크기초(단가)" xfId="1839"/>
    <cellStyle name=" _사급자재단가산출_옥외탱크기초(단가)_PRP-500 TYPE" xfId="1840"/>
    <cellStyle name=" _사급자재단가산출_옥외탱크기초(단가)_공사비집계표(품의용)" xfId="1841"/>
    <cellStyle name=" _사급자재단가산출_옥외탱크기초(단가)_공사비집계표(품의용)_PRP-500 TYPE" xfId="1842"/>
    <cellStyle name=" _사급자재단가산출_옥외탱크기초(단가)_공사비집계표(품의용)_남부, 석산정거장(익진ENG 실행)" xfId="1843"/>
    <cellStyle name=" _사급자재단가산출_옥외탱크기초(단가)_공사비집계표(품의용)_남부, 석산정거장PRP-500(Double)내역포함" xfId="1844"/>
    <cellStyle name=" _사급자재단가산출_옥외탱크기초(단가)_공사비집계표(품의용)_양차장님(PRP, MOZART)" xfId="1845"/>
    <cellStyle name=" _사급자재단가산출_옥외탱크기초(단가)_공사비집계표(품의용)_양차장님(PRP, MOZART)_양차장님LINER 벽체단가(PRP, MOZART,사면절곡)" xfId="1846"/>
    <cellStyle name=" _사급자재단가산출_옥외탱크기초(단가)_남부, 석산정거장(익진ENG 실행)" xfId="1847"/>
    <cellStyle name=" _사급자재단가산출_옥외탱크기초(단가)_남부, 석산정거장PRP-500(Double)내역포함" xfId="1848"/>
    <cellStyle name=" _사급자재단가산출_옥외탱크기초(단가)_양차장님(PRP, MOZART)" xfId="1849"/>
    <cellStyle name=" _사급자재단가산출_옥외탱크기초(단가)_양차장님(PRP, MOZART)_양차장님LINER 벽체단가(PRP, MOZART,사면절곡)" xfId="1850"/>
    <cellStyle name=" _사급자재단가산출_옥외탱크기초-비교" xfId="1851"/>
    <cellStyle name=" _사급자재단가산출_옥외탱크기초-비교_PRP-500 TYPE" xfId="1852"/>
    <cellStyle name=" _사급자재단가산출_옥외탱크기초-비교_남부, 석산정거장(익진ENG 실행)" xfId="1853"/>
    <cellStyle name=" _사급자재단가산출_옥외탱크기초-비교_남부, 석산정거장PRP-500(Double)내역포함" xfId="1854"/>
    <cellStyle name=" _사급자재단가산출_옥외탱크기초-비교_양차장님(PRP, MOZART)" xfId="1855"/>
    <cellStyle name=" _사급자재단가산출_옥외탱크기초-비교_양차장님(PRP, MOZART)_양차장님LINER 벽체단가(PRP, MOZART,사면절곡)" xfId="1856"/>
    <cellStyle name=" _사급자재단가산출_옥외탱크및기기기초(단가)" xfId="1857"/>
    <cellStyle name=" _사급자재단가산출_옥외탱크및기기기초(단가)_329전기설비기초-비교" xfId="1858"/>
    <cellStyle name=" _사급자재단가산출_옥외탱크및기기기초(단가)_329전기설비기초-비교_PRP-500 TYPE" xfId="1859"/>
    <cellStyle name=" _사급자재단가산출_옥외탱크및기기기초(단가)_329전기설비기초-비교_남부, 석산정거장(익진ENG 실행)" xfId="1860"/>
    <cellStyle name=" _사급자재단가산출_옥외탱크및기기기초(단가)_329전기설비기초-비교_남부, 석산정거장PRP-500(Double)내역포함" xfId="1861"/>
    <cellStyle name=" _사급자재단가산출_옥외탱크및기기기초(단가)_329전기설비기초-비교_양차장님(PRP, MOZART)" xfId="1862"/>
    <cellStyle name=" _사급자재단가산출_옥외탱크및기기기초(단가)_329전기설비기초-비교_양차장님(PRP, MOZART)_양차장님LINER 벽체단가(PRP, MOZART,사면절곡)" xfId="1863"/>
    <cellStyle name=" _사급자재단가산출_옥외탱크및기기기초(단가)_PRP-500 TYPE" xfId="1864"/>
    <cellStyle name=" _사급자재단가산출_옥외탱크및기기기초(단가)_공사비집계표(품의용)" xfId="1865"/>
    <cellStyle name=" _사급자재단가산출_옥외탱크및기기기초(단가)_공사비집계표(품의용)_PRP-500 TYPE" xfId="1866"/>
    <cellStyle name=" _사급자재단가산출_옥외탱크및기기기초(단가)_공사비집계표(품의용)_남부, 석산정거장(익진ENG 실행)" xfId="1867"/>
    <cellStyle name=" _사급자재단가산출_옥외탱크및기기기초(단가)_공사비집계표(품의용)_남부, 석산정거장PRP-500(Double)내역포함" xfId="1868"/>
    <cellStyle name=" _사급자재단가산출_옥외탱크및기기기초(단가)_공사비집계표(품의용)_양차장님(PRP, MOZART)" xfId="1869"/>
    <cellStyle name=" _사급자재단가산출_옥외탱크및기기기초(단가)_공사비집계표(품의용)_양차장님(PRP, MOZART)_양차장님LINER 벽체단가(PRP, MOZART,사면절곡)" xfId="1870"/>
    <cellStyle name=" _사급자재단가산출_옥외탱크및기기기초(단가)_남부, 석산정거장(익진ENG 실행)" xfId="1871"/>
    <cellStyle name=" _사급자재단가산출_옥외탱크및기기기초(단가)_남부, 석산정거장PRP-500(Double)내역포함" xfId="1872"/>
    <cellStyle name=" _사급자재단가산출_옥외탱크및기기기초(단가)_석탄취급설비기초-비교" xfId="1873"/>
    <cellStyle name=" _사급자재단가산출_옥외탱크및기기기초(단가)_석탄취급설비기초-비교_PRP-500 TYPE" xfId="1874"/>
    <cellStyle name=" _사급자재단가산출_옥외탱크및기기기초(단가)_석탄취급설비기초-비교_남부, 석산정거장(익진ENG 실행)" xfId="1875"/>
    <cellStyle name=" _사급자재단가산출_옥외탱크및기기기초(단가)_석탄취급설비기초-비교_남부, 석산정거장PRP-500(Double)내역포함" xfId="1876"/>
    <cellStyle name=" _사급자재단가산출_옥외탱크및기기기초(단가)_석탄취급설비기초-비교_양차장님(PRP, MOZART)" xfId="1877"/>
    <cellStyle name=" _사급자재단가산출_옥외탱크및기기기초(단가)_석탄취급설비기초-비교_양차장님(PRP, MOZART)_양차장님LINER 벽체단가(PRP, MOZART,사면절곡)" xfId="1878"/>
    <cellStyle name=" _사급자재단가산출_옥외탱크및기기기초(단가)_양차장님(PRP, MOZART)" xfId="1879"/>
    <cellStyle name=" _사급자재단가산출_옥외탱크및기기기초(단가)_양차장님(PRP, MOZART)_양차장님LINER 벽체단가(PRP, MOZART,사면절곡)" xfId="1880"/>
    <cellStyle name=" _사급자재단가산출_조경(final)-비교" xfId="1881"/>
    <cellStyle name=" _사급자재단가산출_조경(final)-비교_PRP-500 TYPE" xfId="1882"/>
    <cellStyle name=" _사급자재단가산출_조경(final)-비교_남부, 석산정거장(익진ENG 실행)" xfId="1883"/>
    <cellStyle name=" _사급자재단가산출_조경(final)-비교_남부, 석산정거장PRP-500(Double)내역포함" xfId="1884"/>
    <cellStyle name=" _사급자재단가산출_조경(final)-비교_양차장님(PRP, MOZART)" xfId="1885"/>
    <cellStyle name=" _사급자재단가산출_조경(final)-비교_양차장님(PRP, MOZART)_양차장님LINER 벽체단가(PRP, MOZART,사면절곡)" xfId="1886"/>
    <cellStyle name=" _사급자재단가산출_추가품셈1" xfId="1887"/>
    <cellStyle name=" _사급자재단가산출_추가품셈1_AC-01 보일러 설계서 수정" xfId="1894"/>
    <cellStyle name=" _사급자재단가산출_추가품셈1_AC-01 보일러 설계서 수정_AC-14(최종수정)" xfId="1895"/>
    <cellStyle name=" _사급자재단가산출_추가품셈1_AC-01 보일러 설계서 수정_AC-14(최종수정)_Book1" xfId="1896"/>
    <cellStyle name=" _사급자재단가산출_추가품셈1_AC-01 보일러 설계서 수정_AC-14(최종수정)_발전설비 보수공사" xfId="1897"/>
    <cellStyle name=" _사급자재단가산출_추가품셈1_AC-01 보일러 설계서 수정_AC-14(최종수정)_발전설비 보수공사_Book1" xfId="1898"/>
    <cellStyle name=" _사급자재단가산출_추가품셈1_AC-01 보일러 설계서 수정_Book1" xfId="1899"/>
    <cellStyle name=" _사급자재단가산출_추가품셈1_AC-01 본관기초(가설계서 9월단가)" xfId="1900"/>
    <cellStyle name=" _사급자재단가산출_추가품셈1_AC-01 본관기초(가설계서 9월단가)_AC-14(최종수정)" xfId="1907"/>
    <cellStyle name=" _사급자재단가산출_추가품셈1_AC-01 본관기초(가설계서 9월단가)_AC-14(최종수정)_Book1" xfId="1908"/>
    <cellStyle name=" _사급자재단가산출_추가품셈1_AC-01 본관기초(가설계서 9월단가)_AC-14(최종수정)_발전설비 보수공사" xfId="1909"/>
    <cellStyle name=" _사급자재단가산출_추가품셈1_AC-01 본관기초(가설계서 9월단가)_AC-14(최종수정)_발전설비 보수공사_Book1" xfId="1910"/>
    <cellStyle name=" _사급자재단가산출_추가품셈1_AC-01 본관기초(가설계서 9월단가)_Book1" xfId="1911"/>
    <cellStyle name=" _사급자재단가산출_추가품셈1_AC-01 본관기초(가설계서 9월단가)-2" xfId="1901"/>
    <cellStyle name=" _사급자재단가산출_추가품셈1_AC-01 본관기초(가설계서 9월단가)-2_AC-14(최종수정)" xfId="1902"/>
    <cellStyle name=" _사급자재단가산출_추가품셈1_AC-01 본관기초(가설계서 9월단가)-2_AC-14(최종수정)_Book1" xfId="1903"/>
    <cellStyle name=" _사급자재단가산출_추가품셈1_AC-01 본관기초(가설계서 9월단가)-2_AC-14(최종수정)_발전설비 보수공사" xfId="1904"/>
    <cellStyle name=" _사급자재단가산출_추가품셈1_AC-01 본관기초(가설계서 9월단가)-2_AC-14(최종수정)_발전설비 보수공사_Book1" xfId="1905"/>
    <cellStyle name=" _사급자재단가산출_추가품셈1_AC-01 본관기초(가설계서 9월단가)-2_Book1" xfId="1906"/>
    <cellStyle name=" _사급자재단가산출_추가품셈1_AC-14건설사무소환경개선공사설계서(제출)REV10" xfId="1912"/>
    <cellStyle name=" _사급자재단가산출_추가품셈1_AC-14건설사무소환경개선공사설계서(제출)REV10_AC-14(최종수정)" xfId="1913"/>
    <cellStyle name=" _사급자재단가산출_추가품셈1_AC-14건설사무소환경개선공사설계서(제출)REV10_AC-14(최종수정)_Book1" xfId="1914"/>
    <cellStyle name=" _사급자재단가산출_추가품셈1_AC-14건설사무소환경개선공사설계서(제출)REV10_AC-14(최종수정)_발전설비 보수공사" xfId="1915"/>
    <cellStyle name=" _사급자재단가산출_추가품셈1_AC-14건설사무소환경개선공사설계서(제출)REV10_AC-14(최종수정)_발전설비 보수공사_Book1" xfId="1916"/>
    <cellStyle name=" _사급자재단가산출_추가품셈1_AC-14건설사무소환경개선공사설계서(제출)REV10_Book1" xfId="1917"/>
    <cellStyle name=" _사급자재단가산출_추가품셈1_Book1" xfId="1918"/>
    <cellStyle name=" _사급자재단가산출_추가품셈1_PRP-500 TYPE" xfId="1919"/>
    <cellStyle name=" _사급자재단가산출_추가품셈1_Songdo Convention Center 신축공사(060106제출수정본)" xfId="1920"/>
    <cellStyle name=" _사급자재단가산출_추가품셈1_공사비집계표" xfId="1921"/>
    <cellStyle name=" _사급자재단가산출_추가품셈1_공사비집계표(품의용)" xfId="1922"/>
    <cellStyle name=" _사급자재단가산출_추가품셈1_공사비집계표(품의용)_PRP-500 TYPE" xfId="1923"/>
    <cellStyle name=" _사급자재단가산출_추가품셈1_공사비집계표(품의용)_남부, 석산정거장(익진ENG 실행)" xfId="1924"/>
    <cellStyle name=" _사급자재단가산출_추가품셈1_공사비집계표(품의용)_남부, 석산정거장PRP-500(Double)내역포함" xfId="1925"/>
    <cellStyle name=" _사급자재단가산출_추가품셈1_공사비집계표(품의용)_양차장님(PRP, MOZART)" xfId="1926"/>
    <cellStyle name=" _사급자재단가산출_추가품셈1_공사비집계표(품의용)_양차장님(PRP, MOZART)_양차장님LINER 벽체단가(PRP, MOZART,사면절곡)" xfId="1927"/>
    <cellStyle name=" _사급자재단가산출_추가품셈1_공사비집계표_AC-14(최종수정)" xfId="1928"/>
    <cellStyle name=" _사급자재단가산출_추가품셈1_공사비집계표_AC-14(최종수정)_Book1" xfId="1929"/>
    <cellStyle name=" _사급자재단가산출_추가품셈1_공사비집계표_AC-14(최종수정)_발전설비 보수공사" xfId="1930"/>
    <cellStyle name=" _사급자재단가산출_추가품셈1_공사비집계표_AC-14(최종수정)_발전설비 보수공사_Book1" xfId="1931"/>
    <cellStyle name=" _사급자재단가산출_추가품셈1_공사비집계표_Book1" xfId="1932"/>
    <cellStyle name=" _사급자재단가산출_추가품셈1_남부, 석산정거장(익진ENG 실행)" xfId="1933"/>
    <cellStyle name=" _사급자재단가산출_추가품셈1_남부, 석산정거장PRP-500(Double)내역포함" xfId="1934"/>
    <cellStyle name=" _사급자재단가산출_추가품셈1_발전설비 보수공사" xfId="1935"/>
    <cellStyle name=" _사급자재단가산출_추가품셈1_발전설비 보수공사_Book1" xfId="1936"/>
    <cellStyle name=" _사급자재단가산출_추가품셈1_보일러판넬현장설명회(배부용)" xfId="1937"/>
    <cellStyle name=" _사급자재단가산출_추가품셈1_양차장님(PRP, MOZART)" xfId="1938"/>
    <cellStyle name=" _사급자재단가산출_추가품셈1_양차장님(PRP, MOZART)_양차장님LINER 벽체단가(PRP, MOZART,사면절곡)" xfId="1939"/>
    <cellStyle name=" _사급자재단가산출_추가품셈1_영흥#3,4 터빈발전기기초(AC-04)" xfId="1940"/>
    <cellStyle name=" _사급자재단가산출_추가품셈1-박" xfId="1888"/>
    <cellStyle name=" _사급자재단가산출_추가품셈1-박_PRP-500 TYPE" xfId="1889"/>
    <cellStyle name=" _사급자재단가산출_추가품셈1-박_남부, 석산정거장(익진ENG 실행)" xfId="1890"/>
    <cellStyle name=" _사급자재단가산출_추가품셈1-박_남부, 석산정거장PRP-500(Double)내역포함" xfId="1891"/>
    <cellStyle name=" _사급자재단가산출_추가품셈1-박_양차장님(PRP, MOZART)" xfId="1892"/>
    <cellStyle name=" _사급자재단가산출_추가품셈1-박_양차장님(PRP, MOZART)_양차장님LINER 벽체단가(PRP, MOZART,사면절곡)" xfId="1893"/>
    <cellStyle name=" _사급재료비및운반비" xfId="1941"/>
    <cellStyle name=" _사급재료비및운반비_1-온배수 양식장 가설계서" xfId="1942"/>
    <cellStyle name=" _사급재료비및운반비_AC-01 보일러 설계서 수정" xfId="1943"/>
    <cellStyle name=" _사급재료비및운반비_AC-01 보일러 설계서 수정_1-온배수 양식장 가설계서" xfId="1944"/>
    <cellStyle name=" _사급재료비및운반비_AC-01 보일러 설계서 수정_AC-14(최종수정)" xfId="1945"/>
    <cellStyle name=" _사급재료비및운반비_AC-01 보일러 설계서 수정_AC-14(최종수정)_1-온배수 양식장 가설계서" xfId="1946"/>
    <cellStyle name=" _사급재료비및운반비_AC-01 보일러 설계서 수정_AC-14(최종수정)_Book1" xfId="1947"/>
    <cellStyle name=" _사급재료비및운반비_AC-01 보일러 설계서 수정_AC-14(최종수정)_경상정비 가설계서(12.07)" xfId="1948"/>
    <cellStyle name=" _사급재료비및운반비_AC-01 보일러 설계서 수정_AC-14(최종수정)_경상정비 설계서(최종결재본)" xfId="1949"/>
    <cellStyle name=" _사급재료비및운반비_AC-01 보일러 설계서 수정_AC-14(최종수정)_경상정비 설계서(최종분11월19)" xfId="1950"/>
    <cellStyle name=" _사급재료비및운반비_AC-01 보일러 설계서 수정_AC-14(최종수정)_공사비대비표(중산-수정)" xfId="1951"/>
    <cellStyle name=" _사급재료비및운반비_AC-01 보일러 설계서 수정_AC-14(최종수정)_공사비대비표(중산-수정)_1-온배수 양식장 가설계서" xfId="1952"/>
    <cellStyle name=" _사급재료비및운반비_AC-01 보일러 설계서 수정_AC-14(최종수정)_공사비대비표(중산-수정)_경상정비 가설계서(12.07)" xfId="1953"/>
    <cellStyle name=" _사급재료비및운반비_AC-01 보일러 설계서 수정_AC-14(최종수정)_공사비대비표(중산-수정)_경상정비 설계서(최종결재본)" xfId="1954"/>
    <cellStyle name=" _사급재료비및운반비_AC-01 보일러 설계서 수정_AC-14(최종수정)_공사비대비표(중산-수정)_경상정비 설계서(최종분11월19)" xfId="1955"/>
    <cellStyle name=" _사급재료비및운반비_AC-01 보일러 설계서 수정_AC-14(최종수정)_공사비대비표(중산-수정)_부품" xfId="1956"/>
    <cellStyle name=" _사급재료비및운반비_AC-01 보일러 설계서 수정_AC-14(최종수정)_내역서" xfId="1957"/>
    <cellStyle name=" _사급재료비및운반비_AC-01 보일러 설계서 수정_AC-14(최종수정)_발전설비 보수공사" xfId="1958"/>
    <cellStyle name=" _사급재료비및운반비_AC-01 보일러 설계서 수정_AC-14(최종수정)_발전설비 보수공사_1-온배수 양식장 가설계서" xfId="1959"/>
    <cellStyle name=" _사급재료비및운반비_AC-01 보일러 설계서 수정_AC-14(최종수정)_발전설비 보수공사_Book1" xfId="1960"/>
    <cellStyle name=" _사급재료비및운반비_AC-01 보일러 설계서 수정_AC-14(최종수정)_발전설비 보수공사_경상정비 가설계서(12.07)" xfId="1961"/>
    <cellStyle name=" _사급재료비및운반비_AC-01 보일러 설계서 수정_AC-14(최종수정)_발전설비 보수공사_경상정비 설계서(최종결재본)" xfId="1962"/>
    <cellStyle name=" _사급재료비및운반비_AC-01 보일러 설계서 수정_AC-14(최종수정)_발전설비 보수공사_경상정비 설계서(최종분11월19)" xfId="1963"/>
    <cellStyle name=" _사급재료비및운반비_AC-01 보일러 설계서 수정_AC-14(최종수정)_발전설비 보수공사_공사비대비표(중산-수정)" xfId="1964"/>
    <cellStyle name=" _사급재료비및운반비_AC-01 보일러 설계서 수정_AC-14(최종수정)_발전설비 보수공사_공사비대비표(중산-수정)_1-온배수 양식장 가설계서" xfId="1965"/>
    <cellStyle name=" _사급재료비및운반비_AC-01 보일러 설계서 수정_AC-14(최종수정)_발전설비 보수공사_공사비대비표(중산-수정)_경상정비 가설계서(12.07)" xfId="1966"/>
    <cellStyle name=" _사급재료비및운반비_AC-01 보일러 설계서 수정_AC-14(최종수정)_발전설비 보수공사_공사비대비표(중산-수정)_경상정비 설계서(최종결재본)" xfId="1967"/>
    <cellStyle name=" _사급재료비및운반비_AC-01 보일러 설계서 수정_AC-14(최종수정)_발전설비 보수공사_공사비대비표(중산-수정)_경상정비 설계서(최종분11월19)" xfId="1968"/>
    <cellStyle name=" _사급재료비및운반비_AC-01 보일러 설계서 수정_AC-14(최종수정)_발전설비 보수공사_공사비대비표(중산-수정)_부품" xfId="1969"/>
    <cellStyle name=" _사급재료비및운반비_AC-01 보일러 설계서 수정_AC-14(최종수정)_발전설비 보수공사_내역서" xfId="1970"/>
    <cellStyle name=" _사급재료비및운반비_AC-01 보일러 설계서 수정_AC-14(최종수정)_발전설비 보수공사_부품" xfId="1971"/>
    <cellStyle name=" _사급재료비및운반비_AC-01 보일러 설계서 수정_AC-14(최종수정)_발전설비 보수공사_수량집계표" xfId="1972"/>
    <cellStyle name=" _사급재료비및운반비_AC-01 보일러 설계서 수정_AC-14(최종수정)_발전설비 보수공사_수량집계표_1-온배수 양식장 가설계서" xfId="1973"/>
    <cellStyle name=" _사급재료비및운반비_AC-01 보일러 설계서 수정_AC-14(최종수정)_발전설비 보수공사_수량집계표_경상정비 가설계서(12.07)" xfId="1974"/>
    <cellStyle name=" _사급재료비및운반비_AC-01 보일러 설계서 수정_AC-14(최종수정)_발전설비 보수공사_수량집계표_경상정비 설계서(최종결재본)" xfId="1975"/>
    <cellStyle name=" _사급재료비및운반비_AC-01 보일러 설계서 수정_AC-14(최종수정)_발전설비 보수공사_수량집계표_경상정비 설계서(최종분11월19)" xfId="1976"/>
    <cellStyle name=" _사급재료비및운반비_AC-01 보일러 설계서 수정_AC-14(최종수정)_발전설비 보수공사_수량집계표_부품" xfId="1977"/>
    <cellStyle name=" _사급재료비및운반비_AC-01 보일러 설계서 수정_AC-14(최종수정)_발전설비 보수공사_연돌축조 가설계서 (rev. 1) 수정" xfId="1978"/>
    <cellStyle name=" _사급재료비및운반비_AC-01 보일러 설계서 수정_AC-14(최종수정)_발전설비 보수공사_품" xfId="1979"/>
    <cellStyle name=" _사급재료비및운반비_AC-01 보일러 설계서 수정_AC-14(최종수정)_부품" xfId="1980"/>
    <cellStyle name=" _사급재료비및운반비_AC-01 보일러 설계서 수정_AC-14(최종수정)_수량집계표" xfId="1981"/>
    <cellStyle name=" _사급재료비및운반비_AC-01 보일러 설계서 수정_AC-14(최종수정)_수량집계표_1-온배수 양식장 가설계서" xfId="1982"/>
    <cellStyle name=" _사급재료비및운반비_AC-01 보일러 설계서 수정_AC-14(최종수정)_수량집계표_경상정비 가설계서(12.07)" xfId="1983"/>
    <cellStyle name=" _사급재료비및운반비_AC-01 보일러 설계서 수정_AC-14(최종수정)_수량집계표_경상정비 설계서(최종결재본)" xfId="1984"/>
    <cellStyle name=" _사급재료비및운반비_AC-01 보일러 설계서 수정_AC-14(최종수정)_수량집계표_경상정비 설계서(최종분11월19)" xfId="1985"/>
    <cellStyle name=" _사급재료비및운반비_AC-01 보일러 설계서 수정_AC-14(최종수정)_수량집계표_부품" xfId="1986"/>
    <cellStyle name=" _사급재료비및운반비_AC-01 보일러 설계서 수정_AC-14(최종수정)_연돌축조 가설계서 (rev. 1) 수정" xfId="1987"/>
    <cellStyle name=" _사급재료비및운반비_AC-01 보일러 설계서 수정_AC-14(최종수정)_품" xfId="1988"/>
    <cellStyle name=" _사급재료비및운반비_AC-01 보일러 설계서 수정_Book1" xfId="1989"/>
    <cellStyle name=" _사급재료비및운반비_AC-01 보일러 설계서 수정_경상정비 가설계서(12.07)" xfId="1990"/>
    <cellStyle name=" _사급재료비및운반비_AC-01 보일러 설계서 수정_경상정비 설계서(최종결재본)" xfId="1991"/>
    <cellStyle name=" _사급재료비및운반비_AC-01 보일러 설계서 수정_경상정비 설계서(최종분11월19)" xfId="1992"/>
    <cellStyle name=" _사급재료비및운반비_AC-01 보일러 설계서 수정_공사비대비표(중산-수정)" xfId="1993"/>
    <cellStyle name=" _사급재료비및운반비_AC-01 보일러 설계서 수정_공사비대비표(중산-수정)_1-온배수 양식장 가설계서" xfId="1994"/>
    <cellStyle name=" _사급재료비및운반비_AC-01 보일러 설계서 수정_공사비대비표(중산-수정)_경상정비 가설계서(12.07)" xfId="1995"/>
    <cellStyle name=" _사급재료비및운반비_AC-01 보일러 설계서 수정_공사비대비표(중산-수정)_경상정비 설계서(최종결재본)" xfId="1996"/>
    <cellStyle name=" _사급재료비및운반비_AC-01 보일러 설계서 수정_공사비대비표(중산-수정)_경상정비 설계서(최종분11월19)" xfId="1997"/>
    <cellStyle name=" _사급재료비및운반비_AC-01 보일러 설계서 수정_공사비대비표(중산-수정)_부품" xfId="1998"/>
    <cellStyle name=" _사급재료비및운반비_AC-01 보일러 설계서 수정_내역서" xfId="1999"/>
    <cellStyle name=" _사급재료비및운반비_AC-01 보일러 설계서 수정_부품" xfId="2000"/>
    <cellStyle name=" _사급재료비및운반비_AC-01 보일러 설계서 수정_수량집계표" xfId="2001"/>
    <cellStyle name=" _사급재료비및운반비_AC-01 보일러 설계서 수정_수량집계표_1-온배수 양식장 가설계서" xfId="2002"/>
    <cellStyle name=" _사급재료비및운반비_AC-01 보일러 설계서 수정_수량집계표_경상정비 가설계서(12.07)" xfId="2003"/>
    <cellStyle name=" _사급재료비및운반비_AC-01 보일러 설계서 수정_수량집계표_경상정비 설계서(최종결재본)" xfId="2004"/>
    <cellStyle name=" _사급재료비및운반비_AC-01 보일러 설계서 수정_수량집계표_경상정비 설계서(최종분11월19)" xfId="2005"/>
    <cellStyle name=" _사급재료비및운반비_AC-01 보일러 설계서 수정_수량집계표_부품" xfId="2006"/>
    <cellStyle name=" _사급재료비및운반비_AC-01 보일러 설계서 수정_연돌축조 가설계서 (rev. 1) 수정" xfId="2007"/>
    <cellStyle name=" _사급재료비및운반비_AC-01 보일러 설계서 수정_품" xfId="2008"/>
    <cellStyle name=" _사급재료비및운반비_AC-01 본관기초(가설계서 9월단가)" xfId="2009"/>
    <cellStyle name=" _사급재료비및운반비_AC-01 본관기초(가설계서 9월단가)_1-온배수 양식장 가설계서" xfId="2076"/>
    <cellStyle name=" _사급재료비및운반비_AC-01 본관기초(가설계서 9월단가)_AC-14(최종수정)" xfId="2077"/>
    <cellStyle name=" _사급재료비및운반비_AC-01 본관기초(가설계서 9월단가)_AC-14(최종수정)_1-온배수 양식장 가설계서" xfId="2078"/>
    <cellStyle name=" _사급재료비및운반비_AC-01 본관기초(가설계서 9월단가)_AC-14(최종수정)_Book1" xfId="2079"/>
    <cellStyle name=" _사급재료비및운반비_AC-01 본관기초(가설계서 9월단가)_AC-14(최종수정)_경상정비 가설계서(12.07)" xfId="2080"/>
    <cellStyle name=" _사급재료비및운반비_AC-01 본관기초(가설계서 9월단가)_AC-14(최종수정)_경상정비 설계서(최종결재본)" xfId="2081"/>
    <cellStyle name=" _사급재료비및운반비_AC-01 본관기초(가설계서 9월단가)_AC-14(최종수정)_경상정비 설계서(최종분11월19)" xfId="2082"/>
    <cellStyle name=" _사급재료비및운반비_AC-01 본관기초(가설계서 9월단가)_AC-14(최종수정)_공사비대비표(중산-수정)" xfId="2083"/>
    <cellStyle name=" _사급재료비및운반비_AC-01 본관기초(가설계서 9월단가)_AC-14(최종수정)_공사비대비표(중산-수정)_1-온배수 양식장 가설계서" xfId="2084"/>
    <cellStyle name=" _사급재료비및운반비_AC-01 본관기초(가설계서 9월단가)_AC-14(최종수정)_공사비대비표(중산-수정)_경상정비 가설계서(12.07)" xfId="2085"/>
    <cellStyle name=" _사급재료비및운반비_AC-01 본관기초(가설계서 9월단가)_AC-14(최종수정)_공사비대비표(중산-수정)_경상정비 설계서(최종결재본)" xfId="2086"/>
    <cellStyle name=" _사급재료비및운반비_AC-01 본관기초(가설계서 9월단가)_AC-14(최종수정)_공사비대비표(중산-수정)_경상정비 설계서(최종분11월19)" xfId="2087"/>
    <cellStyle name=" _사급재료비및운반비_AC-01 본관기초(가설계서 9월단가)_AC-14(최종수정)_공사비대비표(중산-수정)_부품" xfId="2088"/>
    <cellStyle name=" _사급재료비및운반비_AC-01 본관기초(가설계서 9월단가)_AC-14(최종수정)_내역서" xfId="2089"/>
    <cellStyle name=" _사급재료비및운반비_AC-01 본관기초(가설계서 9월단가)_AC-14(최종수정)_발전설비 보수공사" xfId="2090"/>
    <cellStyle name=" _사급재료비및운반비_AC-01 본관기초(가설계서 9월단가)_AC-14(최종수정)_발전설비 보수공사_1-온배수 양식장 가설계서" xfId="2091"/>
    <cellStyle name=" _사급재료비및운반비_AC-01 본관기초(가설계서 9월단가)_AC-14(최종수정)_발전설비 보수공사_Book1" xfId="2092"/>
    <cellStyle name=" _사급재료비및운반비_AC-01 본관기초(가설계서 9월단가)_AC-14(최종수정)_발전설비 보수공사_경상정비 가설계서(12.07)" xfId="2093"/>
    <cellStyle name=" _사급재료비및운반비_AC-01 본관기초(가설계서 9월단가)_AC-14(최종수정)_발전설비 보수공사_경상정비 설계서(최종결재본)" xfId="2094"/>
    <cellStyle name=" _사급재료비및운반비_AC-01 본관기초(가설계서 9월단가)_AC-14(최종수정)_발전설비 보수공사_경상정비 설계서(최종분11월19)" xfId="2095"/>
    <cellStyle name=" _사급재료비및운반비_AC-01 본관기초(가설계서 9월단가)_AC-14(최종수정)_발전설비 보수공사_공사비대비표(중산-수정)" xfId="2096"/>
    <cellStyle name=" _사급재료비및운반비_AC-01 본관기초(가설계서 9월단가)_AC-14(최종수정)_발전설비 보수공사_공사비대비표(중산-수정)_1-온배수 양식장 가설계서" xfId="2097"/>
    <cellStyle name=" _사급재료비및운반비_AC-01 본관기초(가설계서 9월단가)_AC-14(최종수정)_발전설비 보수공사_공사비대비표(중산-수정)_경상정비 가설계서(12.07)" xfId="2098"/>
    <cellStyle name=" _사급재료비및운반비_AC-01 본관기초(가설계서 9월단가)_AC-14(최종수정)_발전설비 보수공사_공사비대비표(중산-수정)_경상정비 설계서(최종결재본)" xfId="2099"/>
    <cellStyle name=" _사급재료비및운반비_AC-01 본관기초(가설계서 9월단가)_AC-14(최종수정)_발전설비 보수공사_공사비대비표(중산-수정)_경상정비 설계서(최종분11월19)" xfId="2100"/>
    <cellStyle name=" _사급재료비및운반비_AC-01 본관기초(가설계서 9월단가)_AC-14(최종수정)_발전설비 보수공사_공사비대비표(중산-수정)_부품" xfId="2101"/>
    <cellStyle name=" _사급재료비및운반비_AC-01 본관기초(가설계서 9월단가)_AC-14(최종수정)_발전설비 보수공사_내역서" xfId="2102"/>
    <cellStyle name=" _사급재료비및운반비_AC-01 본관기초(가설계서 9월단가)_AC-14(최종수정)_발전설비 보수공사_부품" xfId="2103"/>
    <cellStyle name=" _사급재료비및운반비_AC-01 본관기초(가설계서 9월단가)_AC-14(최종수정)_발전설비 보수공사_수량집계표" xfId="2104"/>
    <cellStyle name=" _사급재료비및운반비_AC-01 본관기초(가설계서 9월단가)_AC-14(최종수정)_발전설비 보수공사_수량집계표_1-온배수 양식장 가설계서" xfId="2105"/>
    <cellStyle name=" _사급재료비및운반비_AC-01 본관기초(가설계서 9월단가)_AC-14(최종수정)_발전설비 보수공사_수량집계표_경상정비 가설계서(12.07)" xfId="2106"/>
    <cellStyle name=" _사급재료비및운반비_AC-01 본관기초(가설계서 9월단가)_AC-14(최종수정)_발전설비 보수공사_수량집계표_경상정비 설계서(최종결재본)" xfId="2107"/>
    <cellStyle name=" _사급재료비및운반비_AC-01 본관기초(가설계서 9월단가)_AC-14(최종수정)_발전설비 보수공사_수량집계표_경상정비 설계서(최종분11월19)" xfId="2108"/>
    <cellStyle name=" _사급재료비및운반비_AC-01 본관기초(가설계서 9월단가)_AC-14(최종수정)_발전설비 보수공사_수량집계표_부품" xfId="2109"/>
    <cellStyle name=" _사급재료비및운반비_AC-01 본관기초(가설계서 9월단가)_AC-14(최종수정)_발전설비 보수공사_연돌축조 가설계서 (rev. 1) 수정" xfId="2110"/>
    <cellStyle name=" _사급재료비및운반비_AC-01 본관기초(가설계서 9월단가)_AC-14(최종수정)_발전설비 보수공사_품" xfId="2111"/>
    <cellStyle name=" _사급재료비및운반비_AC-01 본관기초(가설계서 9월단가)_AC-14(최종수정)_부품" xfId="2112"/>
    <cellStyle name=" _사급재료비및운반비_AC-01 본관기초(가설계서 9월단가)_AC-14(최종수정)_수량집계표" xfId="2113"/>
    <cellStyle name=" _사급재료비및운반비_AC-01 본관기초(가설계서 9월단가)_AC-14(최종수정)_수량집계표_1-온배수 양식장 가설계서" xfId="2114"/>
    <cellStyle name=" _사급재료비및운반비_AC-01 본관기초(가설계서 9월단가)_AC-14(최종수정)_수량집계표_경상정비 가설계서(12.07)" xfId="2115"/>
    <cellStyle name=" _사급재료비및운반비_AC-01 본관기초(가설계서 9월단가)_AC-14(최종수정)_수량집계표_경상정비 설계서(최종결재본)" xfId="2116"/>
    <cellStyle name=" _사급재료비및운반비_AC-01 본관기초(가설계서 9월단가)_AC-14(최종수정)_수량집계표_경상정비 설계서(최종분11월19)" xfId="2117"/>
    <cellStyle name=" _사급재료비및운반비_AC-01 본관기초(가설계서 9월단가)_AC-14(최종수정)_수량집계표_부품" xfId="2118"/>
    <cellStyle name=" _사급재료비및운반비_AC-01 본관기초(가설계서 9월단가)_AC-14(최종수정)_연돌축조 가설계서 (rev. 1) 수정" xfId="2119"/>
    <cellStyle name=" _사급재료비및운반비_AC-01 본관기초(가설계서 9월단가)_AC-14(최종수정)_품" xfId="2120"/>
    <cellStyle name=" _사급재료비및운반비_AC-01 본관기초(가설계서 9월단가)_Book1" xfId="2121"/>
    <cellStyle name=" _사급재료비및운반비_AC-01 본관기초(가설계서 9월단가)_경상정비 가설계서(12.07)" xfId="2122"/>
    <cellStyle name=" _사급재료비및운반비_AC-01 본관기초(가설계서 9월단가)_경상정비 설계서(최종결재본)" xfId="2123"/>
    <cellStyle name=" _사급재료비및운반비_AC-01 본관기초(가설계서 9월단가)_경상정비 설계서(최종분11월19)" xfId="2124"/>
    <cellStyle name=" _사급재료비및운반비_AC-01 본관기초(가설계서 9월단가)_공사비대비표(중산-수정)" xfId="2125"/>
    <cellStyle name=" _사급재료비및운반비_AC-01 본관기초(가설계서 9월단가)_공사비대비표(중산-수정)_1-온배수 양식장 가설계서" xfId="2126"/>
    <cellStyle name=" _사급재료비및운반비_AC-01 본관기초(가설계서 9월단가)_공사비대비표(중산-수정)_경상정비 가설계서(12.07)" xfId="2127"/>
    <cellStyle name=" _사급재료비및운반비_AC-01 본관기초(가설계서 9월단가)_공사비대비표(중산-수정)_경상정비 설계서(최종결재본)" xfId="2128"/>
    <cellStyle name=" _사급재료비및운반비_AC-01 본관기초(가설계서 9월단가)_공사비대비표(중산-수정)_경상정비 설계서(최종분11월19)" xfId="2129"/>
    <cellStyle name=" _사급재료비및운반비_AC-01 본관기초(가설계서 9월단가)_공사비대비표(중산-수정)_부품" xfId="2130"/>
    <cellStyle name=" _사급재료비및운반비_AC-01 본관기초(가설계서 9월단가)_내역서" xfId="2131"/>
    <cellStyle name=" _사급재료비및운반비_AC-01 본관기초(가설계서 9월단가)_부품" xfId="2132"/>
    <cellStyle name=" _사급재료비및운반비_AC-01 본관기초(가설계서 9월단가)_수량집계표" xfId="2133"/>
    <cellStyle name=" _사급재료비및운반비_AC-01 본관기초(가설계서 9월단가)_수량집계표_1-온배수 양식장 가설계서" xfId="2134"/>
    <cellStyle name=" _사급재료비및운반비_AC-01 본관기초(가설계서 9월단가)_수량집계표_경상정비 가설계서(12.07)" xfId="2135"/>
    <cellStyle name=" _사급재료비및운반비_AC-01 본관기초(가설계서 9월단가)_수량집계표_경상정비 설계서(최종결재본)" xfId="2136"/>
    <cellStyle name=" _사급재료비및운반비_AC-01 본관기초(가설계서 9월단가)_수량집계표_경상정비 설계서(최종분11월19)" xfId="2137"/>
    <cellStyle name=" _사급재료비및운반비_AC-01 본관기초(가설계서 9월단가)_수량집계표_부품" xfId="2138"/>
    <cellStyle name=" _사급재료비및운반비_AC-01 본관기초(가설계서 9월단가)_연돌축조 가설계서 (rev. 1) 수정" xfId="2139"/>
    <cellStyle name=" _사급재료비및운반비_AC-01 본관기초(가설계서 9월단가)_품" xfId="2140"/>
    <cellStyle name=" _사급재료비및운반비_AC-01 본관기초(가설계서 9월단가)-2" xfId="2010"/>
    <cellStyle name=" _사급재료비및운반비_AC-01 본관기초(가설계서 9월단가)-2_1-온배수 양식장 가설계서" xfId="2011"/>
    <cellStyle name=" _사급재료비및운반비_AC-01 본관기초(가설계서 9월단가)-2_AC-14(최종수정)" xfId="2012"/>
    <cellStyle name=" _사급재료비및운반비_AC-01 본관기초(가설계서 9월단가)-2_AC-14(최종수정)_1-온배수 양식장 가설계서" xfId="2013"/>
    <cellStyle name=" _사급재료비및운반비_AC-01 본관기초(가설계서 9월단가)-2_AC-14(최종수정)_Book1" xfId="2014"/>
    <cellStyle name=" _사급재료비및운반비_AC-01 본관기초(가설계서 9월단가)-2_AC-14(최종수정)_경상정비 가설계서(12.07)" xfId="2015"/>
    <cellStyle name=" _사급재료비및운반비_AC-01 본관기초(가설계서 9월단가)-2_AC-14(최종수정)_경상정비 설계서(최종결재본)" xfId="2016"/>
    <cellStyle name=" _사급재료비및운반비_AC-01 본관기초(가설계서 9월단가)-2_AC-14(최종수정)_경상정비 설계서(최종분11월19)" xfId="2017"/>
    <cellStyle name=" _사급재료비및운반비_AC-01 본관기초(가설계서 9월단가)-2_AC-14(최종수정)_공사비대비표(중산-수정)" xfId="2018"/>
    <cellStyle name=" _사급재료비및운반비_AC-01 본관기초(가설계서 9월단가)-2_AC-14(최종수정)_공사비대비표(중산-수정)_1-온배수 양식장 가설계서" xfId="2019"/>
    <cellStyle name=" _사급재료비및운반비_AC-01 본관기초(가설계서 9월단가)-2_AC-14(최종수정)_공사비대비표(중산-수정)_경상정비 가설계서(12.07)" xfId="2020"/>
    <cellStyle name=" _사급재료비및운반비_AC-01 본관기초(가설계서 9월단가)-2_AC-14(최종수정)_공사비대비표(중산-수정)_경상정비 설계서(최종결재본)" xfId="2021"/>
    <cellStyle name=" _사급재료비및운반비_AC-01 본관기초(가설계서 9월단가)-2_AC-14(최종수정)_공사비대비표(중산-수정)_경상정비 설계서(최종분11월19)" xfId="2022"/>
    <cellStyle name=" _사급재료비및운반비_AC-01 본관기초(가설계서 9월단가)-2_AC-14(최종수정)_공사비대비표(중산-수정)_부품" xfId="2023"/>
    <cellStyle name=" _사급재료비및운반비_AC-01 본관기초(가설계서 9월단가)-2_AC-14(최종수정)_내역서" xfId="2024"/>
    <cellStyle name=" _사급재료비및운반비_AC-01 본관기초(가설계서 9월단가)-2_AC-14(최종수정)_발전설비 보수공사" xfId="2025"/>
    <cellStyle name=" _사급재료비및운반비_AC-01 본관기초(가설계서 9월단가)-2_AC-14(최종수정)_발전설비 보수공사_1-온배수 양식장 가설계서" xfId="2026"/>
    <cellStyle name=" _사급재료비및운반비_AC-01 본관기초(가설계서 9월단가)-2_AC-14(최종수정)_발전설비 보수공사_Book1" xfId="2027"/>
    <cellStyle name=" _사급재료비및운반비_AC-01 본관기초(가설계서 9월단가)-2_AC-14(최종수정)_발전설비 보수공사_경상정비 가설계서(12.07)" xfId="2028"/>
    <cellStyle name=" _사급재료비및운반비_AC-01 본관기초(가설계서 9월단가)-2_AC-14(최종수정)_발전설비 보수공사_경상정비 설계서(최종결재본)" xfId="2029"/>
    <cellStyle name=" _사급재료비및운반비_AC-01 본관기초(가설계서 9월단가)-2_AC-14(최종수정)_발전설비 보수공사_경상정비 설계서(최종분11월19)" xfId="2030"/>
    <cellStyle name=" _사급재료비및운반비_AC-01 본관기초(가설계서 9월단가)-2_AC-14(최종수정)_발전설비 보수공사_공사비대비표(중산-수정)" xfId="2031"/>
    <cellStyle name=" _사급재료비및운반비_AC-01 본관기초(가설계서 9월단가)-2_AC-14(최종수정)_발전설비 보수공사_공사비대비표(중산-수정)_1-온배수 양식장 가설계서" xfId="2032"/>
    <cellStyle name=" _사급재료비및운반비_AC-01 본관기초(가설계서 9월단가)-2_AC-14(최종수정)_발전설비 보수공사_공사비대비표(중산-수정)_경상정비 가설계서(12.07)" xfId="2033"/>
    <cellStyle name=" _사급재료비및운반비_AC-01 본관기초(가설계서 9월단가)-2_AC-14(최종수정)_발전설비 보수공사_공사비대비표(중산-수정)_경상정비 설계서(최종결재본)" xfId="2034"/>
    <cellStyle name=" _사급재료비및운반비_AC-01 본관기초(가설계서 9월단가)-2_AC-14(최종수정)_발전설비 보수공사_공사비대비표(중산-수정)_경상정비 설계서(최종분11월19)" xfId="2035"/>
    <cellStyle name=" _사급재료비및운반비_AC-01 본관기초(가설계서 9월단가)-2_AC-14(최종수정)_발전설비 보수공사_공사비대비표(중산-수정)_부품" xfId="2036"/>
    <cellStyle name=" _사급재료비및운반비_AC-01 본관기초(가설계서 9월단가)-2_AC-14(최종수정)_발전설비 보수공사_내역서" xfId="2037"/>
    <cellStyle name=" _사급재료비및운반비_AC-01 본관기초(가설계서 9월단가)-2_AC-14(최종수정)_발전설비 보수공사_부품" xfId="2038"/>
    <cellStyle name=" _사급재료비및운반비_AC-01 본관기초(가설계서 9월단가)-2_AC-14(최종수정)_발전설비 보수공사_수량집계표" xfId="2039"/>
    <cellStyle name=" _사급재료비및운반비_AC-01 본관기초(가설계서 9월단가)-2_AC-14(최종수정)_발전설비 보수공사_수량집계표_1-온배수 양식장 가설계서" xfId="2040"/>
    <cellStyle name=" _사급재료비및운반비_AC-01 본관기초(가설계서 9월단가)-2_AC-14(최종수정)_발전설비 보수공사_수량집계표_경상정비 가설계서(12.07)" xfId="2041"/>
    <cellStyle name=" _사급재료비및운반비_AC-01 본관기초(가설계서 9월단가)-2_AC-14(최종수정)_발전설비 보수공사_수량집계표_경상정비 설계서(최종결재본)" xfId="2042"/>
    <cellStyle name=" _사급재료비및운반비_AC-01 본관기초(가설계서 9월단가)-2_AC-14(최종수정)_발전설비 보수공사_수량집계표_경상정비 설계서(최종분11월19)" xfId="2043"/>
    <cellStyle name=" _사급재료비및운반비_AC-01 본관기초(가설계서 9월단가)-2_AC-14(최종수정)_발전설비 보수공사_수량집계표_부품" xfId="2044"/>
    <cellStyle name=" _사급재료비및운반비_AC-01 본관기초(가설계서 9월단가)-2_AC-14(최종수정)_발전설비 보수공사_연돌축조 가설계서 (rev. 1) 수정" xfId="2045"/>
    <cellStyle name=" _사급재료비및운반비_AC-01 본관기초(가설계서 9월단가)-2_AC-14(최종수정)_발전설비 보수공사_품" xfId="2046"/>
    <cellStyle name=" _사급재료비및운반비_AC-01 본관기초(가설계서 9월단가)-2_AC-14(최종수정)_부품" xfId="2047"/>
    <cellStyle name=" _사급재료비및운반비_AC-01 본관기초(가설계서 9월단가)-2_AC-14(최종수정)_수량집계표" xfId="2048"/>
    <cellStyle name=" _사급재료비및운반비_AC-01 본관기초(가설계서 9월단가)-2_AC-14(최종수정)_수량집계표_1-온배수 양식장 가설계서" xfId="2049"/>
    <cellStyle name=" _사급재료비및운반비_AC-01 본관기초(가설계서 9월단가)-2_AC-14(최종수정)_수량집계표_경상정비 가설계서(12.07)" xfId="2050"/>
    <cellStyle name=" _사급재료비및운반비_AC-01 본관기초(가설계서 9월단가)-2_AC-14(최종수정)_수량집계표_경상정비 설계서(최종결재본)" xfId="2051"/>
    <cellStyle name=" _사급재료비및운반비_AC-01 본관기초(가설계서 9월단가)-2_AC-14(최종수정)_수량집계표_경상정비 설계서(최종분11월19)" xfId="2052"/>
    <cellStyle name=" _사급재료비및운반비_AC-01 본관기초(가설계서 9월단가)-2_AC-14(최종수정)_수량집계표_부품" xfId="2053"/>
    <cellStyle name=" _사급재료비및운반비_AC-01 본관기초(가설계서 9월단가)-2_AC-14(최종수정)_연돌축조 가설계서 (rev. 1) 수정" xfId="2054"/>
    <cellStyle name=" _사급재료비및운반비_AC-01 본관기초(가설계서 9월단가)-2_AC-14(최종수정)_품" xfId="2055"/>
    <cellStyle name=" _사급재료비및운반비_AC-01 본관기초(가설계서 9월단가)-2_Book1" xfId="2056"/>
    <cellStyle name=" _사급재료비및운반비_AC-01 본관기초(가설계서 9월단가)-2_경상정비 가설계서(12.07)" xfId="2057"/>
    <cellStyle name=" _사급재료비및운반비_AC-01 본관기초(가설계서 9월단가)-2_경상정비 설계서(최종결재본)" xfId="2058"/>
    <cellStyle name=" _사급재료비및운반비_AC-01 본관기초(가설계서 9월단가)-2_경상정비 설계서(최종분11월19)" xfId="2059"/>
    <cellStyle name=" _사급재료비및운반비_AC-01 본관기초(가설계서 9월단가)-2_공사비대비표(중산-수정)" xfId="2060"/>
    <cellStyle name=" _사급재료비및운반비_AC-01 본관기초(가설계서 9월단가)-2_공사비대비표(중산-수정)_1-온배수 양식장 가설계서" xfId="2061"/>
    <cellStyle name=" _사급재료비및운반비_AC-01 본관기초(가설계서 9월단가)-2_공사비대비표(중산-수정)_경상정비 가설계서(12.07)" xfId="2062"/>
    <cellStyle name=" _사급재료비및운반비_AC-01 본관기초(가설계서 9월단가)-2_공사비대비표(중산-수정)_경상정비 설계서(최종결재본)" xfId="2063"/>
    <cellStyle name=" _사급재료비및운반비_AC-01 본관기초(가설계서 9월단가)-2_공사비대비표(중산-수정)_경상정비 설계서(최종분11월19)" xfId="2064"/>
    <cellStyle name=" _사급재료비및운반비_AC-01 본관기초(가설계서 9월단가)-2_공사비대비표(중산-수정)_부품" xfId="2065"/>
    <cellStyle name=" _사급재료비및운반비_AC-01 본관기초(가설계서 9월단가)-2_내역서" xfId="2066"/>
    <cellStyle name=" _사급재료비및운반비_AC-01 본관기초(가설계서 9월단가)-2_부품" xfId="2067"/>
    <cellStyle name=" _사급재료비및운반비_AC-01 본관기초(가설계서 9월단가)-2_수량집계표" xfId="2068"/>
    <cellStyle name=" _사급재료비및운반비_AC-01 본관기초(가설계서 9월단가)-2_수량집계표_1-온배수 양식장 가설계서" xfId="2069"/>
    <cellStyle name=" _사급재료비및운반비_AC-01 본관기초(가설계서 9월단가)-2_수량집계표_경상정비 가설계서(12.07)" xfId="2070"/>
    <cellStyle name=" _사급재료비및운반비_AC-01 본관기초(가설계서 9월단가)-2_수량집계표_경상정비 설계서(최종결재본)" xfId="2071"/>
    <cellStyle name=" _사급재료비및운반비_AC-01 본관기초(가설계서 9월단가)-2_수량집계표_경상정비 설계서(최종분11월19)" xfId="2072"/>
    <cellStyle name=" _사급재료비및운반비_AC-01 본관기초(가설계서 9월단가)-2_수량집계표_부품" xfId="2073"/>
    <cellStyle name=" _사급재료비및운반비_AC-01 본관기초(가설계서 9월단가)-2_연돌축조 가설계서 (rev. 1) 수정" xfId="2074"/>
    <cellStyle name=" _사급재료비및운반비_AC-01 본관기초(가설계서 9월단가)-2_품" xfId="2075"/>
    <cellStyle name=" _사급재료비및운반비_AC-01_GT건물신축공사_061031_RA" xfId="2141"/>
    <cellStyle name=" _사급재료비및운반비_AC-01_GT건물신축공사_061031_RA_AC-08_보조보일러건물신축공사_061031_RA" xfId="2142"/>
    <cellStyle name=" _사급재료비및운반비_AC-01_GT건물신축공사_061031_RA_AC-09_수처리및폐수처리건물신축공사_061031_RA" xfId="2143"/>
    <cellStyle name=" _사급재료비및운반비_AC-01터빈주제어및보일러기초" xfId="2144"/>
    <cellStyle name=" _사급재료비및운반비_AC-01터빈주제어및보일러기초_PRP-500 TYPE" xfId="2145"/>
    <cellStyle name=" _사급재료비및운반비_AC-01터빈주제어및보일러기초_건축보령7,8(총액확정)" xfId="2146"/>
    <cellStyle name=" _사급재료비및운반비_AC-01터빈주제어및보일러기초_건축보령7,8(총액확정)_PRP-500 TYPE" xfId="2147"/>
    <cellStyle name=" _사급재료비및운반비_AC-01터빈주제어및보일러기초_건축보령7,8(총액확정)_남부, 석산정거장(익진ENG 실행)" xfId="2148"/>
    <cellStyle name=" _사급재료비및운반비_AC-01터빈주제어및보일러기초_건축보령7,8(총액확정)_남부, 석산정거장PRP-500(Double)내역포함" xfId="2149"/>
    <cellStyle name=" _사급재료비및운반비_AC-01터빈주제어및보일러기초_건축보령7,8(총액확정)_양차장님(PRP, MOZART)" xfId="2150"/>
    <cellStyle name=" _사급재료비및운반비_AC-01터빈주제어및보일러기초_건축보령7,8(총액확정)_양차장님(PRP, MOZART)_양차장님LINER 벽체단가(PRP, MOZART,사면절곡)" xfId="2151"/>
    <cellStyle name=" _사급재료비및운반비_AC-01터빈주제어및보일러기초_남부, 석산정거장(익진ENG 실행)" xfId="2152"/>
    <cellStyle name=" _사급재료비및운반비_AC-01터빈주제어및보일러기초_남부, 석산정거장PRP-500(Double)내역포함" xfId="2153"/>
    <cellStyle name=" _사급재료비및운반비_AC-01터빈주제어및보일러기초_실행예산" xfId="2154"/>
    <cellStyle name=" _사급재료비및운반비_AC-01터빈주제어및보일러기초_실행예산_PRP-500 TYPE" xfId="2155"/>
    <cellStyle name=" _사급재료비및운반비_AC-01터빈주제어및보일러기초_실행예산_남부, 석산정거장(익진ENG 실행)" xfId="2156"/>
    <cellStyle name=" _사급재료비및운반비_AC-01터빈주제어및보일러기초_실행예산_남부, 석산정거장PRP-500(Double)내역포함" xfId="2157"/>
    <cellStyle name=" _사급재료비및운반비_AC-01터빈주제어및보일러기초_실행예산_양차장님(PRP, MOZART)" xfId="2158"/>
    <cellStyle name=" _사급재료비및운반비_AC-01터빈주제어및보일러기초_실행예산_양차장님(PRP, MOZART)_양차장님LINER 벽체단가(PRP, MOZART,사면절곡)" xfId="2159"/>
    <cellStyle name=" _사급재료비및운반비_AC-01터빈주제어및보일러기초_양차장님(PRP, MOZART)" xfId="2160"/>
    <cellStyle name=" _사급재료비및운반비_AC-01터빈주제어및보일러기초_양차장님(PRP, MOZART)_양차장님LINER 벽체단가(PRP, MOZART,사면절곡)" xfId="2161"/>
    <cellStyle name=" _사급재료비및운반비_AC-04터빈발전기기초" xfId="2162"/>
    <cellStyle name=" _사급재료비및운반비_AC-04터빈발전기기초_AC-01_GT건물신축공사_061031_RA" xfId="2163"/>
    <cellStyle name=" _사급재료비및운반비_AC-04터빈발전기기초_AC-01_GT건물신축공사_061031_RA_AC-01_GT건물신축공사_061031_RA" xfId="2164"/>
    <cellStyle name=" _사급재료비및운반비_AC-04터빈발전기기초_AC-01_GT건물신축공사_061031_RA_AC-08_보조보일러건물신축공사_061031_RA" xfId="2165"/>
    <cellStyle name=" _사급재료비및운반비_AC-04터빈발전기기초_AC-01_GT건물신축공사_061031_RA_AC-09_수처리및폐수처리건물신축공사_061031_RA" xfId="2166"/>
    <cellStyle name=" _사급재료비및운반비_AC-04터빈발전기기초_AC-01_GT건물신축공사_061031_RA_AC-10_염소주입실신축공사_061031_RA" xfId="2167"/>
    <cellStyle name=" _사급재료비및운반비_AC-04터빈발전기기초_AC-05_주제어건물신축공사_061031_RA" xfId="2168"/>
    <cellStyle name=" _사급재료비및운반비_AC-04터빈발전기기초_AC-05_주제어건물신축공사_061031_RA_AC-01_GT건물신축공사_061031_RA" xfId="2169"/>
    <cellStyle name=" _사급재료비및운반비_AC-04터빈발전기기초_AC-05_주제어건물신축공사_061031_RA_AC-01_GT건물신축공사_061031_RA_AC-08_보조보일러건물신축공사_061031_RA" xfId="2170"/>
    <cellStyle name=" _사급재료비및운반비_AC-04터빈발전기기초_AC-05_주제어건물신축공사_061031_RA_AC-01_GT건물신축공사_061031_RA_AC-09_수처리및폐수처리건물신축공사_061031_RA" xfId="2171"/>
    <cellStyle name=" _사급재료비및운반비_AC-04터빈발전기기초_AC-05_주제어건물신축공사_061031_RA_AC-05_주제어건물신축공사_061031_RA" xfId="2172"/>
    <cellStyle name=" _사급재료비및운반비_AC-04터빈발전기기초_AC-05_주제어건물신축공사_061031_RA_AC-05_주제어건물신축공사_061031_RA_AC-08_보조보일러건물신축공사_061031_RA" xfId="2173"/>
    <cellStyle name=" _사급재료비및운반비_AC-04터빈발전기기초_AC-05_주제어건물신축공사_061031_RA_AC-05_주제어건물신축공사_061031_RA_AC-09_수처리및폐수처리건물신축공사_061031_RA" xfId="2174"/>
    <cellStyle name=" _사급재료비및운반비_AC-04터빈발전기기초_AC-05_주제어건물신축공사_061031_RA_AC-08_보조보일러건물신축공사_061031_RA" xfId="2175"/>
    <cellStyle name=" _사급재료비및운반비_AC-04터빈발전기기초_AC-05_주제어건물신축공사_061031_RA_AC-09_수처리및폐수처리건물신축공사_061031_RA" xfId="2176"/>
    <cellStyle name=" _사급재료비및운반비_AC-04터빈발전기기초_AC-08_보조보일러건물신축공사_061031_RA" xfId="2177"/>
    <cellStyle name=" _사급재료비및운반비_AC-04터빈발전기기초_AC-08_보조보일러건물신축공사_061031_RA_AC-08_보조보일러건물신축공사_061031_RA" xfId="2178"/>
    <cellStyle name=" _사급재료비및운반비_AC-04터빈발전기기초_AC-08_보조보일러건물신축공사_061031_RA_AC-09_수처리및폐수처리건물신축공사_061031_RA" xfId="2179"/>
    <cellStyle name=" _사급재료비및운반비_AC-04터빈발전기기초_AC-09_수처리및폐수처리건물신축공사_061031_RA" xfId="2180"/>
    <cellStyle name=" _사급재료비및운반비_AC-04터빈발전기기초_AC-09_수처리및폐수처리건물신축공사_061031_RA_AC-08_보조보일러건물신축공사_061031_RA" xfId="2181"/>
    <cellStyle name=" _사급재료비및운반비_AC-04터빈발전기기초_AC-09_수처리및폐수처리건물신축공사_061031_RA_AC-09_수처리및폐수처리건물신축공사_061031_RA" xfId="2182"/>
    <cellStyle name=" _사급재료비및운반비_AC-04터빈발전기기초_PRP-500 TYPE" xfId="2183"/>
    <cellStyle name=" _사급재료비및운반비_AC-04터빈발전기기초_건축보령7,8(총액확정)" xfId="2184"/>
    <cellStyle name=" _사급재료비및운반비_AC-04터빈발전기기초_건축보령7,8(총액확정)_PRP-500 TYPE" xfId="2185"/>
    <cellStyle name=" _사급재료비및운반비_AC-04터빈발전기기초_건축보령7,8(총액확정)_남부, 석산정거장(익진ENG 실행)" xfId="2186"/>
    <cellStyle name=" _사급재료비및운반비_AC-04터빈발전기기초_건축보령7,8(총액확정)_남부, 석산정거장PRP-500(Double)내역포함" xfId="2187"/>
    <cellStyle name=" _사급재료비및운반비_AC-04터빈발전기기초_건축보령7,8(총액확정)_양차장님(PRP, MOZART)" xfId="2188"/>
    <cellStyle name=" _사급재료비및운반비_AC-04터빈발전기기초_건축보령7,8(총액확정)_양차장님(PRP, MOZART)_양차장님LINER 벽체단가(PRP, MOZART,사면절곡)" xfId="2189"/>
    <cellStyle name=" _사급재료비및운반비_AC-04터빈발전기기초_남부, 석산정거장(익진ENG 실행)" xfId="2190"/>
    <cellStyle name=" _사급재료비및운반비_AC-04터빈발전기기초_남부, 석산정거장PRP-500(Double)내역포함" xfId="2191"/>
    <cellStyle name=" _사급재료비및운반비_AC-04터빈발전기기초_실행예산" xfId="2192"/>
    <cellStyle name=" _사급재료비및운반비_AC-04터빈발전기기초_실행예산_PRP-500 TYPE" xfId="2193"/>
    <cellStyle name=" _사급재료비및운반비_AC-04터빈발전기기초_실행예산_남부, 석산정거장(익진ENG 실행)" xfId="2194"/>
    <cellStyle name=" _사급재료비및운반비_AC-04터빈발전기기초_실행예산_남부, 석산정거장PRP-500(Double)내역포함" xfId="2195"/>
    <cellStyle name=" _사급재료비및운반비_AC-04터빈발전기기초_실행예산_양차장님(PRP, MOZART)" xfId="2196"/>
    <cellStyle name=" _사급재료비및운반비_AC-04터빈발전기기초_실행예산_양차장님(PRP, MOZART)_양차장님LINER 벽체단가(PRP, MOZART,사면절곡)" xfId="2197"/>
    <cellStyle name=" _사급재료비및운반비_AC-04터빈발전기기초_양차장님(PRP, MOZART)" xfId="2198"/>
    <cellStyle name=" _사급재료비및운반비_AC-04터빈발전기기초_양차장님(PRP, MOZART)_양차장님LINER 벽체단가(PRP, MOZART,사면절곡)" xfId="2199"/>
    <cellStyle name=" _사급재료비및운반비_AC-05_주제어건물신축공사_061031_RA" xfId="2200"/>
    <cellStyle name=" _사급재료비및운반비_AC-05_주제어건물신축공사_061031_RA_1" xfId="2201"/>
    <cellStyle name=" _사급재료비및운반비_AC-05_주제어건물신축공사_061031_RA_1_AC-08_보조보일러건물신축공사_061031_RA" xfId="2202"/>
    <cellStyle name=" _사급재료비및운반비_AC-05_주제어건물신축공사_061031_RA_1_AC-09_수처리및폐수처리건물신축공사_061031_RA" xfId="2203"/>
    <cellStyle name=" _사급재료비및운반비_AC-05_주제어건물신축공사_061031_RA_AC-01_GT건물신축공사_061031_RA" xfId="2204"/>
    <cellStyle name=" _사급재료비및운반비_AC-05_주제어건물신축공사_061031_RA_AC-01_GT건물신축공사_061031_RA_AC-08_보조보일러건물신축공사_061031_RA" xfId="2205"/>
    <cellStyle name=" _사급재료비및운반비_AC-05_주제어건물신축공사_061031_RA_AC-01_GT건물신축공사_061031_RA_AC-09_수처리및폐수처리건물신축공사_061031_RA" xfId="2206"/>
    <cellStyle name=" _사급재료비및운반비_AC-05_주제어건물신축공사_061031_RA_AC-05_주제어건물신축공사_061031_RA" xfId="2207"/>
    <cellStyle name=" _사급재료비및운반비_AC-05_주제어건물신축공사_061031_RA_AC-05_주제어건물신축공사_061031_RA_AC-08_보조보일러건물신축공사_061031_RA" xfId="2208"/>
    <cellStyle name=" _사급재료비및운반비_AC-05_주제어건물신축공사_061031_RA_AC-05_주제어건물신축공사_061031_RA_AC-09_수처리및폐수처리건물신축공사_061031_RA" xfId="2209"/>
    <cellStyle name=" _사급재료비및운반비_AC-05_주제어건물신축공사_061031_RA_AC-08_보조보일러건물신축공사_061031_RA" xfId="2210"/>
    <cellStyle name=" _사급재료비및운반비_AC-05_주제어건물신축공사_061031_RA_AC-09_수처리및폐수처리건물신축공사_061031_RA" xfId="2211"/>
    <cellStyle name=" _사급재료비및운반비_AC-05옥내기기기초" xfId="2212"/>
    <cellStyle name=" _사급재료비및운반비_AC-05옥내기기기초_pkg별설계가집계(태안7.8호기)" xfId="2213"/>
    <cellStyle name=" _사급재료비및운반비_AC-05옥내기기기초_pkg별설계가집계(태안7.8호기)_PRP-500 TYPE" xfId="2214"/>
    <cellStyle name=" _사급재료비및운반비_AC-05옥내기기기초_pkg별설계가집계(태안7.8호기)_남부, 석산정거장(익진ENG 실행)" xfId="2215"/>
    <cellStyle name=" _사급재료비및운반비_AC-05옥내기기기초_pkg별설계가집계(태안7.8호기)_남부, 석산정거장PRP-500(Double)내역포함" xfId="2216"/>
    <cellStyle name=" _사급재료비및운반비_AC-05옥내기기기초_pkg별설계가집계(태안7.8호기)_양차장님(PRP, MOZART)" xfId="2217"/>
    <cellStyle name=" _사급재료비및운반비_AC-05옥내기기기초_pkg별설계가집계(태안7.8호기)_양차장님(PRP, MOZART)_양차장님LINER 벽체단가(PRP, MOZART,사면절곡)" xfId="2218"/>
    <cellStyle name=" _사급재료비및운반비_AC-05옥내기기기초_PRP-500 TYPE" xfId="2219"/>
    <cellStyle name=" _사급재료비및운반비_AC-05옥내기기기초_건축보령7,8(총액확정)" xfId="2220"/>
    <cellStyle name=" _사급재료비및운반비_AC-05옥내기기기초_건축보령7,8(총액확정)_PRP-500 TYPE" xfId="2221"/>
    <cellStyle name=" _사급재료비및운반비_AC-05옥내기기기초_건축보령7,8(총액확정)_남부, 석산정거장(익진ENG 실행)" xfId="2222"/>
    <cellStyle name=" _사급재료비및운반비_AC-05옥내기기기초_건축보령7,8(총액확정)_남부, 석산정거장PRP-500(Double)내역포함" xfId="2223"/>
    <cellStyle name=" _사급재료비및운반비_AC-05옥내기기기초_건축보령7,8(총액확정)_양차장님(PRP, MOZART)" xfId="2224"/>
    <cellStyle name=" _사급재료비및운반비_AC-05옥내기기기초_건축보령7,8(총액확정)_양차장님(PRP, MOZART)_양차장님LINER 벽체단가(PRP, MOZART,사면절곡)" xfId="2225"/>
    <cellStyle name=" _사급재료비및운반비_AC-05옥내기기기초_남부, 석산정거장(익진ENG 실행)" xfId="2226"/>
    <cellStyle name=" _사급재료비및운반비_AC-05옥내기기기초_남부, 석산정거장PRP-500(Double)내역포함" xfId="2227"/>
    <cellStyle name=" _사급재료비및운반비_AC-05옥내기기기초_실행예산" xfId="2228"/>
    <cellStyle name=" _사급재료비및운반비_AC-05옥내기기기초_실행예산_PRP-500 TYPE" xfId="2229"/>
    <cellStyle name=" _사급재료비및운반비_AC-05옥내기기기초_실행예산_남부, 석산정거장(익진ENG 실행)" xfId="2230"/>
    <cellStyle name=" _사급재료비및운반비_AC-05옥내기기기초_실행예산_남부, 석산정거장PRP-500(Double)내역포함" xfId="2231"/>
    <cellStyle name=" _사급재료비및운반비_AC-05옥내기기기초_실행예산_양차장님(PRP, MOZART)" xfId="2232"/>
    <cellStyle name=" _사급재료비및운반비_AC-05옥내기기기초_실행예산_양차장님(PRP, MOZART)_양차장님LINER 벽체단가(PRP, MOZART,사면절곡)" xfId="2233"/>
    <cellStyle name=" _사급재료비및운반비_AC-05옥내기기기초_양차장님(PRP, MOZART)" xfId="2234"/>
    <cellStyle name=" _사급재료비및운반비_AC-05옥내기기기초_양차장님(PRP, MOZART)_양차장님LINER 벽체단가(PRP, MOZART,사면절곡)" xfId="2235"/>
    <cellStyle name=" _사급재료비및운반비_AC-07_HRSG건물철골설치및마감공사_061031_RA" xfId="2236"/>
    <cellStyle name=" _사급재료비및운반비_AC-08_보조보일러건물신축공사_061031_RA" xfId="2237"/>
    <cellStyle name=" _사급재료비및운반비_AC-08_보조보일러건물신축공사_061031_RA(HVAC추가_061108)" xfId="2238"/>
    <cellStyle name=" _사급재료비및운반비_AC-08_보조보일러건물신축공사_061031_RA(HVAC추가_061108)_AC-08_보조보일러건물신축공사_061031_RA" xfId="2239"/>
    <cellStyle name=" _사급재료비및운반비_AC-08_보조보일러건물신축공사_061031_RA(HVAC추가_061108)_AC-09_수처리및폐수처리건물신축공사_061031_RA" xfId="2240"/>
    <cellStyle name=" _사급재료비및운반비_AC-09_수처리및폐수처리건물신축공사_061031_RA" xfId="2241"/>
    <cellStyle name=" _사급재료비및운반비_AC-09_수처리및폐수처리건물신축공사_061031_RA(HVAC확인_061114)" xfId="2242"/>
    <cellStyle name=" _사급재료비및운반비_AC-10_염소주입실신축공사_061031_RA" xfId="2243"/>
    <cellStyle name=" _사급재료비및운반비_AC-14건설사무소환경개선공사설계서(제출)REV10" xfId="2244"/>
    <cellStyle name=" _사급재료비및운반비_AC-14건설사무소환경개선공사설계서(제출)REV10_1-온배수 양식장 가설계서" xfId="2245"/>
    <cellStyle name=" _사급재료비및운반비_AC-14건설사무소환경개선공사설계서(제출)REV10_AC-14(최종수정)" xfId="2246"/>
    <cellStyle name=" _사급재료비및운반비_AC-14건설사무소환경개선공사설계서(제출)REV10_AC-14(최종수정)_1-온배수 양식장 가설계서" xfId="2247"/>
    <cellStyle name=" _사급재료비및운반비_AC-14건설사무소환경개선공사설계서(제출)REV10_AC-14(최종수정)_Book1" xfId="2248"/>
    <cellStyle name=" _사급재료비및운반비_AC-14건설사무소환경개선공사설계서(제출)REV10_AC-14(최종수정)_경상정비 가설계서(12.07)" xfId="2249"/>
    <cellStyle name=" _사급재료비및운반비_AC-14건설사무소환경개선공사설계서(제출)REV10_AC-14(최종수정)_경상정비 설계서(최종결재본)" xfId="2250"/>
    <cellStyle name=" _사급재료비및운반비_AC-14건설사무소환경개선공사설계서(제출)REV10_AC-14(최종수정)_경상정비 설계서(최종분11월19)" xfId="2251"/>
    <cellStyle name=" _사급재료비및운반비_AC-14건설사무소환경개선공사설계서(제출)REV10_AC-14(최종수정)_공사비대비표(중산-수정)" xfId="2252"/>
    <cellStyle name=" _사급재료비및운반비_AC-14건설사무소환경개선공사설계서(제출)REV10_AC-14(최종수정)_공사비대비표(중산-수정)_1-온배수 양식장 가설계서" xfId="2253"/>
    <cellStyle name=" _사급재료비및운반비_AC-14건설사무소환경개선공사설계서(제출)REV10_AC-14(최종수정)_공사비대비표(중산-수정)_경상정비 가설계서(12.07)" xfId="2254"/>
    <cellStyle name=" _사급재료비및운반비_AC-14건설사무소환경개선공사설계서(제출)REV10_AC-14(최종수정)_공사비대비표(중산-수정)_경상정비 설계서(최종결재본)" xfId="2255"/>
    <cellStyle name=" _사급재료비및운반비_AC-14건설사무소환경개선공사설계서(제출)REV10_AC-14(최종수정)_공사비대비표(중산-수정)_경상정비 설계서(최종분11월19)" xfId="2256"/>
    <cellStyle name=" _사급재료비및운반비_AC-14건설사무소환경개선공사설계서(제출)REV10_AC-14(최종수정)_공사비대비표(중산-수정)_부품" xfId="2257"/>
    <cellStyle name=" _사급재료비및운반비_AC-14건설사무소환경개선공사설계서(제출)REV10_AC-14(최종수정)_내역서" xfId="2258"/>
    <cellStyle name=" _사급재료비및운반비_AC-14건설사무소환경개선공사설계서(제출)REV10_AC-14(최종수정)_발전설비 보수공사" xfId="2259"/>
    <cellStyle name=" _사급재료비및운반비_AC-14건설사무소환경개선공사설계서(제출)REV10_AC-14(최종수정)_발전설비 보수공사_1-온배수 양식장 가설계서" xfId="2260"/>
    <cellStyle name=" _사급재료비및운반비_AC-14건설사무소환경개선공사설계서(제출)REV10_AC-14(최종수정)_발전설비 보수공사_Book1" xfId="2261"/>
    <cellStyle name=" _사급재료비및운반비_AC-14건설사무소환경개선공사설계서(제출)REV10_AC-14(최종수정)_발전설비 보수공사_경상정비 가설계서(12.07)" xfId="2262"/>
    <cellStyle name=" _사급재료비및운반비_AC-14건설사무소환경개선공사설계서(제출)REV10_AC-14(최종수정)_발전설비 보수공사_경상정비 설계서(최종결재본)" xfId="2263"/>
    <cellStyle name=" _사급재료비및운반비_AC-14건설사무소환경개선공사설계서(제출)REV10_AC-14(최종수정)_발전설비 보수공사_경상정비 설계서(최종분11월19)" xfId="2264"/>
    <cellStyle name=" _사급재료비및운반비_AC-14건설사무소환경개선공사설계서(제출)REV10_AC-14(최종수정)_발전설비 보수공사_공사비대비표(중산-수정)" xfId="2265"/>
    <cellStyle name=" _사급재료비및운반비_AC-14건설사무소환경개선공사설계서(제출)REV10_AC-14(최종수정)_발전설비 보수공사_공사비대비표(중산-수정)_1-온배수 양식장 가설계서" xfId="2266"/>
    <cellStyle name=" _사급재료비및운반비_AC-14건설사무소환경개선공사설계서(제출)REV10_AC-14(최종수정)_발전설비 보수공사_공사비대비표(중산-수정)_경상정비 가설계서(12.07)" xfId="2267"/>
    <cellStyle name=" _사급재료비및운반비_AC-14건설사무소환경개선공사설계서(제출)REV10_AC-14(최종수정)_발전설비 보수공사_공사비대비표(중산-수정)_경상정비 설계서(최종결재본)" xfId="2268"/>
    <cellStyle name=" _사급재료비및운반비_AC-14건설사무소환경개선공사설계서(제출)REV10_AC-14(최종수정)_발전설비 보수공사_공사비대비표(중산-수정)_경상정비 설계서(최종분11월19)" xfId="2269"/>
    <cellStyle name=" _사급재료비및운반비_AC-14건설사무소환경개선공사설계서(제출)REV10_AC-14(최종수정)_발전설비 보수공사_공사비대비표(중산-수정)_부품" xfId="2270"/>
    <cellStyle name=" _사급재료비및운반비_AC-14건설사무소환경개선공사설계서(제출)REV10_AC-14(최종수정)_발전설비 보수공사_내역서" xfId="2271"/>
    <cellStyle name=" _사급재료비및운반비_AC-14건설사무소환경개선공사설계서(제출)REV10_AC-14(최종수정)_발전설비 보수공사_부품" xfId="2272"/>
    <cellStyle name=" _사급재료비및운반비_AC-14건설사무소환경개선공사설계서(제출)REV10_AC-14(최종수정)_발전설비 보수공사_수량집계표" xfId="2273"/>
    <cellStyle name=" _사급재료비및운반비_AC-14건설사무소환경개선공사설계서(제출)REV10_AC-14(최종수정)_발전설비 보수공사_수량집계표_1-온배수 양식장 가설계서" xfId="2274"/>
    <cellStyle name=" _사급재료비및운반비_AC-14건설사무소환경개선공사설계서(제출)REV10_AC-14(최종수정)_발전설비 보수공사_수량집계표_경상정비 가설계서(12.07)" xfId="2275"/>
    <cellStyle name=" _사급재료비및운반비_AC-14건설사무소환경개선공사설계서(제출)REV10_AC-14(최종수정)_발전설비 보수공사_수량집계표_경상정비 설계서(최종결재본)" xfId="2276"/>
    <cellStyle name=" _사급재료비및운반비_AC-14건설사무소환경개선공사설계서(제출)REV10_AC-14(최종수정)_발전설비 보수공사_수량집계표_경상정비 설계서(최종분11월19)" xfId="2277"/>
    <cellStyle name=" _사급재료비및운반비_AC-14건설사무소환경개선공사설계서(제출)REV10_AC-14(최종수정)_발전설비 보수공사_수량집계표_부품" xfId="2278"/>
    <cellStyle name=" _사급재료비및운반비_AC-14건설사무소환경개선공사설계서(제출)REV10_AC-14(최종수정)_발전설비 보수공사_연돌축조 가설계서 (rev. 1) 수정" xfId="2279"/>
    <cellStyle name=" _사급재료비및운반비_AC-14건설사무소환경개선공사설계서(제출)REV10_AC-14(최종수정)_발전설비 보수공사_품" xfId="2280"/>
    <cellStyle name=" _사급재료비및운반비_AC-14건설사무소환경개선공사설계서(제출)REV10_AC-14(최종수정)_부품" xfId="2281"/>
    <cellStyle name=" _사급재료비및운반비_AC-14건설사무소환경개선공사설계서(제출)REV10_AC-14(최종수정)_수량집계표" xfId="2282"/>
    <cellStyle name=" _사급재료비및운반비_AC-14건설사무소환경개선공사설계서(제출)REV10_AC-14(최종수정)_수량집계표_1-온배수 양식장 가설계서" xfId="2283"/>
    <cellStyle name=" _사급재료비및운반비_AC-14건설사무소환경개선공사설계서(제출)REV10_AC-14(최종수정)_수량집계표_경상정비 가설계서(12.07)" xfId="2284"/>
    <cellStyle name=" _사급재료비및운반비_AC-14건설사무소환경개선공사설계서(제출)REV10_AC-14(최종수정)_수량집계표_경상정비 설계서(최종결재본)" xfId="2285"/>
    <cellStyle name=" _사급재료비및운반비_AC-14건설사무소환경개선공사설계서(제출)REV10_AC-14(최종수정)_수량집계표_경상정비 설계서(최종분11월19)" xfId="2286"/>
    <cellStyle name=" _사급재료비및운반비_AC-14건설사무소환경개선공사설계서(제출)REV10_AC-14(최종수정)_수량집계표_부품" xfId="2287"/>
    <cellStyle name=" _사급재료비및운반비_AC-14건설사무소환경개선공사설계서(제출)REV10_AC-14(최종수정)_연돌축조 가설계서 (rev. 1) 수정" xfId="2288"/>
    <cellStyle name=" _사급재료비및운반비_AC-14건설사무소환경개선공사설계서(제출)REV10_AC-14(최종수정)_품" xfId="2289"/>
    <cellStyle name=" _사급재료비및운반비_AC-14건설사무소환경개선공사설계서(제출)REV10_Book1" xfId="2290"/>
    <cellStyle name=" _사급재료비및운반비_AC-14건설사무소환경개선공사설계서(제출)REV10_경상정비 가설계서(12.07)" xfId="2291"/>
    <cellStyle name=" _사급재료비및운반비_AC-14건설사무소환경개선공사설계서(제출)REV10_경상정비 설계서(최종결재본)" xfId="2292"/>
    <cellStyle name=" _사급재료비및운반비_AC-14건설사무소환경개선공사설계서(제출)REV10_경상정비 설계서(최종분11월19)" xfId="2293"/>
    <cellStyle name=" _사급재료비및운반비_AC-14건설사무소환경개선공사설계서(제출)REV10_공사비대비표(중산-수정)" xfId="2294"/>
    <cellStyle name=" _사급재료비및운반비_AC-14건설사무소환경개선공사설계서(제출)REV10_공사비대비표(중산-수정)_1-온배수 양식장 가설계서" xfId="2295"/>
    <cellStyle name=" _사급재료비및운반비_AC-14건설사무소환경개선공사설계서(제출)REV10_공사비대비표(중산-수정)_경상정비 가설계서(12.07)" xfId="2296"/>
    <cellStyle name=" _사급재료비및운반비_AC-14건설사무소환경개선공사설계서(제출)REV10_공사비대비표(중산-수정)_경상정비 설계서(최종결재본)" xfId="2297"/>
    <cellStyle name=" _사급재료비및운반비_AC-14건설사무소환경개선공사설계서(제출)REV10_공사비대비표(중산-수정)_경상정비 설계서(최종분11월19)" xfId="2298"/>
    <cellStyle name=" _사급재료비및운반비_AC-14건설사무소환경개선공사설계서(제출)REV10_공사비대비표(중산-수정)_부품" xfId="2299"/>
    <cellStyle name=" _사급재료비및운반비_AC-14건설사무소환경개선공사설계서(제출)REV10_내역서" xfId="2300"/>
    <cellStyle name=" _사급재료비및운반비_AC-14건설사무소환경개선공사설계서(제출)REV10_부품" xfId="2301"/>
    <cellStyle name=" _사급재료비및운반비_AC-14건설사무소환경개선공사설계서(제출)REV10_수량집계표" xfId="2302"/>
    <cellStyle name=" _사급재료비및운반비_AC-14건설사무소환경개선공사설계서(제출)REV10_수량집계표_1-온배수 양식장 가설계서" xfId="2303"/>
    <cellStyle name=" _사급재료비및운반비_AC-14건설사무소환경개선공사설계서(제출)REV10_수량집계표_경상정비 가설계서(12.07)" xfId="2304"/>
    <cellStyle name=" _사급재료비및운반비_AC-14건설사무소환경개선공사설계서(제출)REV10_수량집계표_경상정비 설계서(최종결재본)" xfId="2305"/>
    <cellStyle name=" _사급재료비및운반비_AC-14건설사무소환경개선공사설계서(제출)REV10_수량집계표_경상정비 설계서(최종분11월19)" xfId="2306"/>
    <cellStyle name=" _사급재료비및운반비_AC-14건설사무소환경개선공사설계서(제출)REV10_수량집계표_부품" xfId="2307"/>
    <cellStyle name=" _사급재료비및운반비_AC-14건설사무소환경개선공사설계서(제출)REV10_연돌축조 가설계서 (rev. 1) 수정" xfId="2308"/>
    <cellStyle name=" _사급재료비및운반비_AC-14건설사무소환경개선공사설계서(제출)REV10_품" xfId="2309"/>
    <cellStyle name=" _사급재료비및운반비_Book1" xfId="2310"/>
    <cellStyle name=" _사급재료비및운반비_FRP단가견적(125%적용)" xfId="2311"/>
    <cellStyle name=" _사급재료비및운반비_F메탈-T메탈 평판넬" xfId="2312"/>
    <cellStyle name=" _사급재료비및운반비_F메탈판넬" xfId="2313"/>
    <cellStyle name=" _사급재료비및운반비_GUTTER(STS 1.5T)" xfId="2314"/>
    <cellStyle name=" _사급재료비및운반비_pkg별설계가집계(태안7.8호기)" xfId="2315"/>
    <cellStyle name=" _사급재료비및운반비_pkg별설계가집계(태안7.8호기)_PRP-500 TYPE" xfId="2316"/>
    <cellStyle name=" _사급재료비및운반비_pkg별설계가집계(태안7.8호기)_남부, 석산정거장(익진ENG 실행)" xfId="2317"/>
    <cellStyle name=" _사급재료비및운반비_pkg별설계가집계(태안7.8호기)_남부, 석산정거장PRP-500(Double)내역포함" xfId="2318"/>
    <cellStyle name=" _사급재료비및운반비_pkg별설계가집계(태안7.8호기)_양차장님(PRP, MOZART)" xfId="2319"/>
    <cellStyle name=" _사급재료비및운반비_pkg별설계가집계(태안7.8호기)_양차장님(PRP, MOZART)_양차장님LINER 벽체단가(PRP, MOZART,사면절곡)" xfId="2320"/>
    <cellStyle name=" _사급재료비및운반비_PRP-500 TYPE" xfId="2321"/>
    <cellStyle name=" _사급재료비및운반비_Songdo Convention Center 신축공사(060106제출수정본)" xfId="2322"/>
    <cellStyle name=" _사급재료비및운반비_건축보령7,8(총액확정)" xfId="2323"/>
    <cellStyle name=" _사급재료비및운반비_건축보령7,8(총액확정)_PRP-500 TYPE" xfId="2324"/>
    <cellStyle name=" _사급재료비및운반비_건축보령7,8(총액확정)_남부, 석산정거장(익진ENG 실행)" xfId="2325"/>
    <cellStyle name=" _사급재료비및운반비_건축보령7,8(총액확정)_남부, 석산정거장PRP-500(Double)내역포함" xfId="2326"/>
    <cellStyle name=" _사급재료비및운반비_건축보령7,8(총액확정)_양차장님(PRP, MOZART)" xfId="2327"/>
    <cellStyle name=" _사급재료비및운반비_건축보령7,8(총액확정)_양차장님(PRP, MOZART)_양차장님LINER 벽체단가(PRP, MOZART,사면절곡)" xfId="2328"/>
    <cellStyle name=" _사급재료비및운반비_경상정비 가설계서(12.07)" xfId="2329"/>
    <cellStyle name=" _사급재료비및운반비_경상정비 설계서(최종결재본)" xfId="2330"/>
    <cellStyle name=" _사급재료비및운반비_경상정비 설계서(최종분11월19)" xfId="2331"/>
    <cellStyle name=" _사급재료비및운반비_공사비대비표(중산-수정)" xfId="2332"/>
    <cellStyle name=" _사급재료비및운반비_공사비대비표(중산-수정)_1-온배수 양식장 가설계서" xfId="2333"/>
    <cellStyle name=" _사급재료비및운반비_공사비대비표(중산-수정)_경상정비 가설계서(12.07)" xfId="2334"/>
    <cellStyle name=" _사급재료비및운반비_공사비대비표(중산-수정)_경상정비 설계서(최종결재본)" xfId="2335"/>
    <cellStyle name=" _사급재료비및운반비_공사비대비표(중산-수정)_경상정비 설계서(최종분11월19)" xfId="2336"/>
    <cellStyle name=" _사급재료비및운반비_공사비대비표(중산-수정)_부품" xfId="2337"/>
    <cellStyle name=" _사급재료비및운반비_공사비집계표" xfId="2338"/>
    <cellStyle name=" _사급재료비및운반비_공사비집계표_1-온배수 양식장 가설계서" xfId="2339"/>
    <cellStyle name=" _사급재료비및운반비_공사비집계표_AC-14(최종수정)" xfId="2340"/>
    <cellStyle name=" _사급재료비및운반비_공사비집계표_AC-14(최종수정)_1-온배수 양식장 가설계서" xfId="2341"/>
    <cellStyle name=" _사급재료비및운반비_공사비집계표_AC-14(최종수정)_Book1" xfId="2342"/>
    <cellStyle name=" _사급재료비및운반비_공사비집계표_AC-14(최종수정)_경상정비 가설계서(12.07)" xfId="2343"/>
    <cellStyle name=" _사급재료비및운반비_공사비집계표_AC-14(최종수정)_경상정비 설계서(최종결재본)" xfId="2344"/>
    <cellStyle name=" _사급재료비및운반비_공사비집계표_AC-14(최종수정)_경상정비 설계서(최종분11월19)" xfId="2345"/>
    <cellStyle name=" _사급재료비및운반비_공사비집계표_AC-14(최종수정)_공사비대비표(중산-수정)" xfId="2346"/>
    <cellStyle name=" _사급재료비및운반비_공사비집계표_AC-14(최종수정)_공사비대비표(중산-수정)_1-온배수 양식장 가설계서" xfId="2347"/>
    <cellStyle name=" _사급재료비및운반비_공사비집계표_AC-14(최종수정)_공사비대비표(중산-수정)_경상정비 가설계서(12.07)" xfId="2348"/>
    <cellStyle name=" _사급재료비및운반비_공사비집계표_AC-14(최종수정)_공사비대비표(중산-수정)_경상정비 설계서(최종결재본)" xfId="2349"/>
    <cellStyle name=" _사급재료비및운반비_공사비집계표_AC-14(최종수정)_공사비대비표(중산-수정)_경상정비 설계서(최종분11월19)" xfId="2350"/>
    <cellStyle name=" _사급재료비및운반비_공사비집계표_AC-14(최종수정)_공사비대비표(중산-수정)_부품" xfId="2351"/>
    <cellStyle name=" _사급재료비및운반비_공사비집계표_AC-14(최종수정)_내역서" xfId="2352"/>
    <cellStyle name=" _사급재료비및운반비_공사비집계표_AC-14(최종수정)_발전설비 보수공사" xfId="2353"/>
    <cellStyle name=" _사급재료비및운반비_공사비집계표_AC-14(최종수정)_발전설비 보수공사_1-온배수 양식장 가설계서" xfId="2354"/>
    <cellStyle name=" _사급재료비및운반비_공사비집계표_AC-14(최종수정)_발전설비 보수공사_Book1" xfId="2355"/>
    <cellStyle name=" _사급재료비및운반비_공사비집계표_AC-14(최종수정)_발전설비 보수공사_경상정비 가설계서(12.07)" xfId="2356"/>
    <cellStyle name=" _사급재료비및운반비_공사비집계표_AC-14(최종수정)_발전설비 보수공사_경상정비 설계서(최종결재본)" xfId="2357"/>
    <cellStyle name=" _사급재료비및운반비_공사비집계표_AC-14(최종수정)_발전설비 보수공사_경상정비 설계서(최종분11월19)" xfId="2358"/>
    <cellStyle name=" _사급재료비및운반비_공사비집계표_AC-14(최종수정)_발전설비 보수공사_공사비대비표(중산-수정)" xfId="2359"/>
    <cellStyle name=" _사급재료비및운반비_공사비집계표_AC-14(최종수정)_발전설비 보수공사_공사비대비표(중산-수정)_1-온배수 양식장 가설계서" xfId="2360"/>
    <cellStyle name=" _사급재료비및운반비_공사비집계표_AC-14(최종수정)_발전설비 보수공사_공사비대비표(중산-수정)_경상정비 가설계서(12.07)" xfId="2361"/>
    <cellStyle name=" _사급재료비및운반비_공사비집계표_AC-14(최종수정)_발전설비 보수공사_공사비대비표(중산-수정)_경상정비 설계서(최종결재본)" xfId="2362"/>
    <cellStyle name=" _사급재료비및운반비_공사비집계표_AC-14(최종수정)_발전설비 보수공사_공사비대비표(중산-수정)_경상정비 설계서(최종분11월19)" xfId="2363"/>
    <cellStyle name=" _사급재료비및운반비_공사비집계표_AC-14(최종수정)_발전설비 보수공사_공사비대비표(중산-수정)_부품" xfId="2364"/>
    <cellStyle name=" _사급재료비및운반비_공사비집계표_AC-14(최종수정)_발전설비 보수공사_내역서" xfId="2365"/>
    <cellStyle name=" _사급재료비및운반비_공사비집계표_AC-14(최종수정)_발전설비 보수공사_부품" xfId="2366"/>
    <cellStyle name=" _사급재료비및운반비_공사비집계표_AC-14(최종수정)_발전설비 보수공사_수량집계표" xfId="2367"/>
    <cellStyle name=" _사급재료비및운반비_공사비집계표_AC-14(최종수정)_발전설비 보수공사_수량집계표_1-온배수 양식장 가설계서" xfId="2368"/>
    <cellStyle name=" _사급재료비및운반비_공사비집계표_AC-14(최종수정)_발전설비 보수공사_수량집계표_경상정비 가설계서(12.07)" xfId="2369"/>
    <cellStyle name=" _사급재료비및운반비_공사비집계표_AC-14(최종수정)_발전설비 보수공사_수량집계표_경상정비 설계서(최종결재본)" xfId="2370"/>
    <cellStyle name=" _사급재료비및운반비_공사비집계표_AC-14(최종수정)_발전설비 보수공사_수량집계표_경상정비 설계서(최종분11월19)" xfId="2371"/>
    <cellStyle name=" _사급재료비및운반비_공사비집계표_AC-14(최종수정)_발전설비 보수공사_수량집계표_부품" xfId="2372"/>
    <cellStyle name=" _사급재료비및운반비_공사비집계표_AC-14(최종수정)_발전설비 보수공사_연돌축조 가설계서 (rev. 1) 수정" xfId="2373"/>
    <cellStyle name=" _사급재료비및운반비_공사비집계표_AC-14(최종수정)_발전설비 보수공사_품" xfId="2374"/>
    <cellStyle name=" _사급재료비및운반비_공사비집계표_AC-14(최종수정)_부품" xfId="2375"/>
    <cellStyle name=" _사급재료비및운반비_공사비집계표_AC-14(최종수정)_수량집계표" xfId="2376"/>
    <cellStyle name=" _사급재료비및운반비_공사비집계표_AC-14(최종수정)_수량집계표_1-온배수 양식장 가설계서" xfId="2377"/>
    <cellStyle name=" _사급재료비및운반비_공사비집계표_AC-14(최종수정)_수량집계표_경상정비 가설계서(12.07)" xfId="2378"/>
    <cellStyle name=" _사급재료비및운반비_공사비집계표_AC-14(최종수정)_수량집계표_경상정비 설계서(최종결재본)" xfId="2379"/>
    <cellStyle name=" _사급재료비및운반비_공사비집계표_AC-14(최종수정)_수량집계표_경상정비 설계서(최종분11월19)" xfId="2380"/>
    <cellStyle name=" _사급재료비및운반비_공사비집계표_AC-14(최종수정)_수량집계표_부품" xfId="2381"/>
    <cellStyle name=" _사급재료비및운반비_공사비집계표_AC-14(최종수정)_연돌축조 가설계서 (rev. 1) 수정" xfId="2382"/>
    <cellStyle name=" _사급재료비및운반비_공사비집계표_AC-14(최종수정)_품" xfId="2383"/>
    <cellStyle name=" _사급재료비및운반비_공사비집계표_Book1" xfId="2384"/>
    <cellStyle name=" _사급재료비및운반비_공사비집계표_경상정비 가설계서(12.07)" xfId="2385"/>
    <cellStyle name=" _사급재료비및운반비_공사비집계표_경상정비 설계서(최종결재본)" xfId="2386"/>
    <cellStyle name=" _사급재료비및운반비_공사비집계표_경상정비 설계서(최종분11월19)" xfId="2387"/>
    <cellStyle name=" _사급재료비및운반비_공사비집계표_공사비대비표(중산-수정)" xfId="2388"/>
    <cellStyle name=" _사급재료비및운반비_공사비집계표_공사비대비표(중산-수정)_1-온배수 양식장 가설계서" xfId="2389"/>
    <cellStyle name=" _사급재료비및운반비_공사비집계표_공사비대비표(중산-수정)_경상정비 가설계서(12.07)" xfId="2390"/>
    <cellStyle name=" _사급재료비및운반비_공사비집계표_공사비대비표(중산-수정)_경상정비 설계서(최종결재본)" xfId="2391"/>
    <cellStyle name=" _사급재료비및운반비_공사비집계표_공사비대비표(중산-수정)_경상정비 설계서(최종분11월19)" xfId="2392"/>
    <cellStyle name=" _사급재료비및운반비_공사비집계표_공사비대비표(중산-수정)_부품" xfId="2393"/>
    <cellStyle name=" _사급재료비및운반비_공사비집계표_내역서" xfId="2394"/>
    <cellStyle name=" _사급재료비및운반비_공사비집계표_부품" xfId="2395"/>
    <cellStyle name=" _사급재료비및운반비_공사비집계표_수량집계표" xfId="2396"/>
    <cellStyle name=" _사급재료비및운반비_공사비집계표_수량집계표_1-온배수 양식장 가설계서" xfId="2397"/>
    <cellStyle name=" _사급재료비및운반비_공사비집계표_수량집계표_경상정비 가설계서(12.07)" xfId="2398"/>
    <cellStyle name=" _사급재료비및운반비_공사비집계표_수량집계표_경상정비 설계서(최종결재본)" xfId="2399"/>
    <cellStyle name=" _사급재료비및운반비_공사비집계표_수량집계표_경상정비 설계서(최종분11월19)" xfId="2400"/>
    <cellStyle name=" _사급재료비및운반비_공사비집계표_수량집계표_부품" xfId="2401"/>
    <cellStyle name=" _사급재료비및운반비_공사비집계표_연돌축조 가설계서 (rev. 1) 수정" xfId="2402"/>
    <cellStyle name=" _사급재료비및운반비_공사비집계표_품" xfId="2403"/>
    <cellStyle name=" _사급재료비및운반비_기흥사업장 ERM 센타(3차실행)" xfId="2404"/>
    <cellStyle name=" _사급재료비및운반비_남부, 석산정거장(익진ENG 실행)" xfId="2405"/>
    <cellStyle name=" _사급재료비및운반비_남부, 석산정거장PRP-500(Double)내역포함" xfId="2406"/>
    <cellStyle name=" _사급재료비및운반비_내역서" xfId="2407"/>
    <cellStyle name=" _사급재료비및운반비_단가견적2006년(호성)" xfId="2408"/>
    <cellStyle name=" _사급재료비및운반비_단가견적FRP채광창(1.5T+1.2T)" xfId="2409"/>
    <cellStyle name=" _사급재료비및운반비_두산중공업단가견적(제출)" xfId="2410"/>
    <cellStyle name=" _사급재료비및운반비_메탈판넬" xfId="2411"/>
    <cellStyle name=" _사급재료비및운반비_발전설비 보수공사" xfId="2412"/>
    <cellStyle name=" _사급재료비및운반비_발전설비 보수공사_1-온배수 양식장 가설계서" xfId="2413"/>
    <cellStyle name=" _사급재료비및운반비_발전설비 보수공사_Book1" xfId="2414"/>
    <cellStyle name=" _사급재료비및운반비_발전설비 보수공사_경상정비 가설계서(12.07)" xfId="2415"/>
    <cellStyle name=" _사급재료비및운반비_발전설비 보수공사_경상정비 설계서(최종결재본)" xfId="2416"/>
    <cellStyle name=" _사급재료비및운반비_발전설비 보수공사_경상정비 설계서(최종분11월19)" xfId="2417"/>
    <cellStyle name=" _사급재료비및운반비_발전설비 보수공사_공사비대비표(중산-수정)" xfId="2418"/>
    <cellStyle name=" _사급재료비및운반비_발전설비 보수공사_공사비대비표(중산-수정)_1-온배수 양식장 가설계서" xfId="2419"/>
    <cellStyle name=" _사급재료비및운반비_발전설비 보수공사_공사비대비표(중산-수정)_경상정비 가설계서(12.07)" xfId="2420"/>
    <cellStyle name=" _사급재료비및운반비_발전설비 보수공사_공사비대비표(중산-수정)_경상정비 설계서(최종결재본)" xfId="2421"/>
    <cellStyle name=" _사급재료비및운반비_발전설비 보수공사_공사비대비표(중산-수정)_경상정비 설계서(최종분11월19)" xfId="2422"/>
    <cellStyle name=" _사급재료비및운반비_발전설비 보수공사_공사비대비표(중산-수정)_부품" xfId="2423"/>
    <cellStyle name=" _사급재료비및운반비_발전설비 보수공사_내역서" xfId="2424"/>
    <cellStyle name=" _사급재료비및운반비_발전설비 보수공사_부품" xfId="2425"/>
    <cellStyle name=" _사급재료비및운반비_발전설비 보수공사_수량집계표" xfId="2426"/>
    <cellStyle name=" _사급재료비및운반비_발전설비 보수공사_수량집계표_1-온배수 양식장 가설계서" xfId="2427"/>
    <cellStyle name=" _사급재료비및운반비_발전설비 보수공사_수량집계표_경상정비 가설계서(12.07)" xfId="2428"/>
    <cellStyle name=" _사급재료비및운반비_발전설비 보수공사_수량집계표_경상정비 설계서(최종결재본)" xfId="2429"/>
    <cellStyle name=" _사급재료비및운반비_발전설비 보수공사_수량집계표_경상정비 설계서(최종분11월19)" xfId="2430"/>
    <cellStyle name=" _사급재료비및운반비_발전설비 보수공사_수량집계표_부품" xfId="2431"/>
    <cellStyle name=" _사급재료비및운반비_발전설비 보수공사_연돌축조 가설계서 (rev. 1) 수정" xfId="2432"/>
    <cellStyle name=" _사급재료비및운반비_발전설비 보수공사_품" xfId="2433"/>
    <cellStyle name=" _사급재료비및운반비_보일러판넬현장설명회(배부용)" xfId="2434"/>
    <cellStyle name=" _사급재료비및운반비_부품" xfId="2435"/>
    <cellStyle name=" _사급재료비및운반비_수량집계표" xfId="2436"/>
    <cellStyle name=" _사급재료비및운반비_수량집계표_1-온배수 양식장 가설계서" xfId="2437"/>
    <cellStyle name=" _사급재료비및운반비_수량집계표_경상정비 가설계서(12.07)" xfId="2438"/>
    <cellStyle name=" _사급재료비및운반비_수량집계표_경상정비 설계서(최종결재본)" xfId="2439"/>
    <cellStyle name=" _사급재료비및운반비_수량집계표_경상정비 설계서(최종분11월19)" xfId="2440"/>
    <cellStyle name=" _사급재료비및운반비_수량집계표_부품" xfId="2441"/>
    <cellStyle name=" _사급재료비및운반비_실행예산" xfId="2443"/>
    <cellStyle name=" _사급재료비및운반비_실행예산_PRP-500 TYPE" xfId="2444"/>
    <cellStyle name=" _사급재료비및운반비_실행예산_남부, 석산정거장(익진ENG 실행)" xfId="2445"/>
    <cellStyle name=" _사급재료비및운반비_실행예산_남부, 석산정거장PRP-500(Double)내역포함" xfId="2446"/>
    <cellStyle name=" _사급재료비및운반비_실행예산_양차장님(PRP, MOZART)" xfId="2447"/>
    <cellStyle name=" _사급재료비및운반비_실행예산_양차장님(PRP, MOZART)_양차장님LINER 벽체단가(PRP, MOZART,사면절곡)" xfId="2448"/>
    <cellStyle name=" _사급재료비및운반비_실행-인천국제공항제2단계건설부대건물(11월8일)-실행검토(폴리메탈사이즈별_F메탈)" xfId="2442"/>
    <cellStyle name=" _사급재료비및운반비_양차장님(PRP, MOZART)" xfId="2449"/>
    <cellStyle name=" _사급재료비및운반비_양차장님(PRP, MOZART)_양차장님LINER 벽체단가(PRP, MOZART,사면절곡)" xfId="2450"/>
    <cellStyle name=" _사급재료비및운반비_연돌축조 가설계서 (rev. 1) 수정" xfId="2451"/>
    <cellStyle name=" _사급재료비및운반비_영흥#3,4 터빈발전기기초(AC-04)" xfId="2452"/>
    <cellStyle name=" _사급재료비및운반비_영흥#3,4 터빈발전기기초(AC-04)_1-온배수 양식장 가설계서" xfId="2453"/>
    <cellStyle name=" _사급재료비및운반비_영흥#3,4 터빈발전기기초(AC-04)_경상정비 가설계서(12.07)" xfId="2454"/>
    <cellStyle name=" _사급재료비및운반비_영흥#3,4 터빈발전기기초(AC-04)_경상정비 설계서(최종결재본)" xfId="2455"/>
    <cellStyle name=" _사급재료비및운반비_영흥#3,4 터빈발전기기초(AC-04)_경상정비 설계서(최종분11월19)" xfId="2456"/>
    <cellStyle name=" _사급재료비및운반비_영흥#3,4 터빈발전기기초(AC-04)_공사비대비표(중산-수정)" xfId="2457"/>
    <cellStyle name=" _사급재료비및운반비_영흥#3,4 터빈발전기기초(AC-04)_공사비대비표(중산-수정)_1-온배수 양식장 가설계서" xfId="2458"/>
    <cellStyle name=" _사급재료비및운반비_영흥#3,4 터빈발전기기초(AC-04)_공사비대비표(중산-수정)_경상정비 가설계서(12.07)" xfId="2459"/>
    <cellStyle name=" _사급재료비및운반비_영흥#3,4 터빈발전기기초(AC-04)_공사비대비표(중산-수정)_경상정비 설계서(최종결재본)" xfId="2460"/>
    <cellStyle name=" _사급재료비및운반비_영흥#3,4 터빈발전기기초(AC-04)_공사비대비표(중산-수정)_경상정비 설계서(최종분11월19)" xfId="2461"/>
    <cellStyle name=" _사급재료비및운반비_영흥#3,4 터빈발전기기초(AC-04)_공사비대비표(중산-수정)_부품" xfId="2462"/>
    <cellStyle name=" _사급재료비및운반비_영흥#3,4 터빈발전기기초(AC-04)_내역서" xfId="2463"/>
    <cellStyle name=" _사급재료비및운반비_영흥#3,4 터빈발전기기초(AC-04)_부품" xfId="2464"/>
    <cellStyle name=" _사급재료비및운반비_영흥#3,4 터빈발전기기초(AC-04)_수량집계표" xfId="2465"/>
    <cellStyle name=" _사급재료비및운반비_영흥#3,4 터빈발전기기초(AC-04)_수량집계표_1-온배수 양식장 가설계서" xfId="2466"/>
    <cellStyle name=" _사급재료비및운반비_영흥#3,4 터빈발전기기초(AC-04)_수량집계표_경상정비 가설계서(12.07)" xfId="2467"/>
    <cellStyle name=" _사급재료비및운반비_영흥#3,4 터빈발전기기초(AC-04)_수량집계표_경상정비 설계서(최종결재본)" xfId="2468"/>
    <cellStyle name=" _사급재료비및운반비_영흥#3,4 터빈발전기기초(AC-04)_수량집계표_경상정비 설계서(최종분11월19)" xfId="2469"/>
    <cellStyle name=" _사급재료비및운반비_영흥#3,4 터빈발전기기초(AC-04)_수량집계표_부품" xfId="2470"/>
    <cellStyle name=" _사급재료비및운반비_영흥#3,4 터빈발전기기초(AC-04)_연돌축조 가설계서 (rev. 1) 수정" xfId="2471"/>
    <cellStyle name=" _사급재료비및운반비_영흥#3,4 터빈발전기기초(AC-04)_품" xfId="2472"/>
    <cellStyle name=" _사급재료비및운반비_재료비" xfId="2473"/>
    <cellStyle name=" _사급재료비및운반비_제일모직 DF PROJECT 2차공사(실행)" xfId="2474"/>
    <cellStyle name=" _사급재료비및운반비_터빈발전기기초(단가)" xfId="2475"/>
    <cellStyle name=" _사급재료비및운반비_터빈발전기기초(단가)_1" xfId="2476"/>
    <cellStyle name=" _사급재료비및운반비_터빈발전기기초(단가)_1_AC-05옥내기기기초" xfId="2477"/>
    <cellStyle name=" _사급재료비및운반비_터빈발전기기초(단가)_1_AC-05옥내기기기초_pkg별설계가집계(태안7.8호기)" xfId="2478"/>
    <cellStyle name=" _사급재료비및운반비_터빈발전기기초(단가)_1_AC-05옥내기기기초_pkg별설계가집계(태안7.8호기)_PRP-500 TYPE" xfId="2479"/>
    <cellStyle name=" _사급재료비및운반비_터빈발전기기초(단가)_1_AC-05옥내기기기초_pkg별설계가집계(태안7.8호기)_남부, 석산정거장(익진ENG 실행)" xfId="2480"/>
    <cellStyle name=" _사급재료비및운반비_터빈발전기기초(단가)_1_AC-05옥내기기기초_pkg별설계가집계(태안7.8호기)_남부, 석산정거장PRP-500(Double)내역포함" xfId="2481"/>
    <cellStyle name=" _사급재료비및운반비_터빈발전기기초(단가)_1_AC-05옥내기기기초_pkg별설계가집계(태안7.8호기)_양차장님(PRP, MOZART)" xfId="2482"/>
    <cellStyle name=" _사급재료비및운반비_터빈발전기기초(단가)_1_AC-05옥내기기기초_pkg별설계가집계(태안7.8호기)_양차장님(PRP, MOZART)_양차장님LINER 벽체단가(PRP, MOZART,사면절곡)" xfId="2483"/>
    <cellStyle name=" _사급재료비및운반비_터빈발전기기초(단가)_1_AC-05옥내기기기초_PRP-500 TYPE" xfId="2484"/>
    <cellStyle name=" _사급재료비및운반비_터빈발전기기초(단가)_1_AC-05옥내기기기초_건축보령7,8(총액확정)" xfId="2485"/>
    <cellStyle name=" _사급재료비및운반비_터빈발전기기초(단가)_1_AC-05옥내기기기초_건축보령7,8(총액확정)_PRP-500 TYPE" xfId="2486"/>
    <cellStyle name=" _사급재료비및운반비_터빈발전기기초(단가)_1_AC-05옥내기기기초_건축보령7,8(총액확정)_남부, 석산정거장(익진ENG 실행)" xfId="2487"/>
    <cellStyle name=" _사급재료비및운반비_터빈발전기기초(단가)_1_AC-05옥내기기기초_건축보령7,8(총액확정)_남부, 석산정거장PRP-500(Double)내역포함" xfId="2488"/>
    <cellStyle name=" _사급재료비및운반비_터빈발전기기초(단가)_1_AC-05옥내기기기초_건축보령7,8(총액확정)_양차장님(PRP, MOZART)" xfId="2489"/>
    <cellStyle name=" _사급재료비및운반비_터빈발전기기초(단가)_1_AC-05옥내기기기초_건축보령7,8(총액확정)_양차장님(PRP, MOZART)_양차장님LINER 벽체단가(PRP, MOZART,사면절곡)" xfId="2490"/>
    <cellStyle name=" _사급재료비및운반비_터빈발전기기초(단가)_1_AC-05옥내기기기초_남부, 석산정거장(익진ENG 실행)" xfId="2491"/>
    <cellStyle name=" _사급재료비및운반비_터빈발전기기초(단가)_1_AC-05옥내기기기초_남부, 석산정거장PRP-500(Double)내역포함" xfId="2492"/>
    <cellStyle name=" _사급재료비및운반비_터빈발전기기초(단가)_1_AC-05옥내기기기초_실행예산" xfId="2493"/>
    <cellStyle name=" _사급재료비및운반비_터빈발전기기초(단가)_1_AC-05옥내기기기초_실행예산_PRP-500 TYPE" xfId="2494"/>
    <cellStyle name=" _사급재료비및운반비_터빈발전기기초(단가)_1_AC-05옥내기기기초_실행예산_남부, 석산정거장(익진ENG 실행)" xfId="2495"/>
    <cellStyle name=" _사급재료비및운반비_터빈발전기기초(단가)_1_AC-05옥내기기기초_실행예산_남부, 석산정거장PRP-500(Double)내역포함" xfId="2496"/>
    <cellStyle name=" _사급재료비및운반비_터빈발전기기초(단가)_1_AC-05옥내기기기초_실행예산_양차장님(PRP, MOZART)" xfId="2497"/>
    <cellStyle name=" _사급재료비및운반비_터빈발전기기초(단가)_1_AC-05옥내기기기초_실행예산_양차장님(PRP, MOZART)_양차장님LINER 벽체단가(PRP, MOZART,사면절곡)" xfId="2498"/>
    <cellStyle name=" _사급재료비및운반비_터빈발전기기초(단가)_1_AC-05옥내기기기초_양차장님(PRP, MOZART)" xfId="2499"/>
    <cellStyle name=" _사급재료비및운반비_터빈발전기기초(단가)_1_AC-05옥내기기기초_양차장님(PRP, MOZART)_양차장님LINER 벽체단가(PRP, MOZART,사면절곡)" xfId="2500"/>
    <cellStyle name=" _사급재료비및운반비_터빈발전기기초(단가)_1_pkg별설계가집계(태안7.8호기)" xfId="2501"/>
    <cellStyle name=" _사급재료비및운반비_터빈발전기기초(단가)_1_pkg별설계가집계(태안7.8호기)_PRP-500 TYPE" xfId="2502"/>
    <cellStyle name=" _사급재료비및운반비_터빈발전기기초(단가)_1_pkg별설계가집계(태안7.8호기)_남부, 석산정거장(익진ENG 실행)" xfId="2503"/>
    <cellStyle name=" _사급재료비및운반비_터빈발전기기초(단가)_1_pkg별설계가집계(태안7.8호기)_남부, 석산정거장PRP-500(Double)내역포함" xfId="2504"/>
    <cellStyle name=" _사급재료비및운반비_터빈발전기기초(단가)_1_pkg별설계가집계(태안7.8호기)_양차장님(PRP, MOZART)" xfId="2505"/>
    <cellStyle name=" _사급재료비및운반비_터빈발전기기초(단가)_1_pkg별설계가집계(태안7.8호기)_양차장님(PRP, MOZART)_양차장님LINER 벽체단가(PRP, MOZART,사면절곡)" xfId="2506"/>
    <cellStyle name=" _사급재료비및운반비_터빈발전기기초(단가)_1_PRP-500 TYPE" xfId="2507"/>
    <cellStyle name=" _사급재료비및운반비_터빈발전기기초(단가)_1_건축보령7,8(총액확정)" xfId="2508"/>
    <cellStyle name=" _사급재료비및운반비_터빈발전기기초(단가)_1_건축보령7,8(총액확정)_PRP-500 TYPE" xfId="2509"/>
    <cellStyle name=" _사급재료비및운반비_터빈발전기기초(단가)_1_건축보령7,8(총액확정)_남부, 석산정거장(익진ENG 실행)" xfId="2510"/>
    <cellStyle name=" _사급재료비및운반비_터빈발전기기초(단가)_1_건축보령7,8(총액확정)_남부, 석산정거장PRP-500(Double)내역포함" xfId="2511"/>
    <cellStyle name=" _사급재료비및운반비_터빈발전기기초(단가)_1_건축보령7,8(총액확정)_양차장님(PRP, MOZART)" xfId="2512"/>
    <cellStyle name=" _사급재료비및운반비_터빈발전기기초(단가)_1_건축보령7,8(총액확정)_양차장님(PRP, MOZART)_양차장님LINER 벽체단가(PRP, MOZART,사면절곡)" xfId="2513"/>
    <cellStyle name=" _사급재료비및운반비_터빈발전기기초(단가)_1_남부, 석산정거장(익진ENG 실행)" xfId="2514"/>
    <cellStyle name=" _사급재료비및운반비_터빈발전기기초(단가)_1_남부, 석산정거장PRP-500(Double)내역포함" xfId="2515"/>
    <cellStyle name=" _사급재료비및운반비_터빈발전기기초(단가)_1_실행예산" xfId="2516"/>
    <cellStyle name=" _사급재료비및운반비_터빈발전기기초(단가)_1_실행예산_PRP-500 TYPE" xfId="2517"/>
    <cellStyle name=" _사급재료비및운반비_터빈발전기기초(단가)_1_실행예산_남부, 석산정거장(익진ENG 실행)" xfId="2518"/>
    <cellStyle name=" _사급재료비및운반비_터빈발전기기초(단가)_1_실행예산_남부, 석산정거장PRP-500(Double)내역포함" xfId="2519"/>
    <cellStyle name=" _사급재료비및운반비_터빈발전기기초(단가)_1_실행예산_양차장님(PRP, MOZART)" xfId="2520"/>
    <cellStyle name=" _사급재료비및운반비_터빈발전기기초(단가)_1_실행예산_양차장님(PRP, MOZART)_양차장님LINER 벽체단가(PRP, MOZART,사면절곡)" xfId="2521"/>
    <cellStyle name=" _사급재료비및운반비_터빈발전기기초(단가)_1_양차장님(PRP, MOZART)" xfId="2522"/>
    <cellStyle name=" _사급재료비및운반비_터빈발전기기초(단가)_1_양차장님(PRP, MOZART)_양차장님LINER 벽체단가(PRP, MOZART,사면절곡)" xfId="2523"/>
    <cellStyle name=" _사급재료비및운반비_터빈발전기기초(단가)_AC-05옥내기기기초" xfId="2524"/>
    <cellStyle name=" _사급재료비및운반비_터빈발전기기초(단가)_AC-05옥내기기기초_pkg별설계가집계(태안7.8호기)" xfId="2525"/>
    <cellStyle name=" _사급재료비및운반비_터빈발전기기초(단가)_AC-05옥내기기기초_pkg별설계가집계(태안7.8호기)_PRP-500 TYPE" xfId="2526"/>
    <cellStyle name=" _사급재료비및운반비_터빈발전기기초(단가)_AC-05옥내기기기초_pkg별설계가집계(태안7.8호기)_남부, 석산정거장(익진ENG 실행)" xfId="2527"/>
    <cellStyle name=" _사급재료비및운반비_터빈발전기기초(단가)_AC-05옥내기기기초_pkg별설계가집계(태안7.8호기)_남부, 석산정거장PRP-500(Double)내역포함" xfId="2528"/>
    <cellStyle name=" _사급재료비및운반비_터빈발전기기초(단가)_AC-05옥내기기기초_pkg별설계가집계(태안7.8호기)_양차장님(PRP, MOZART)" xfId="2529"/>
    <cellStyle name=" _사급재료비및운반비_터빈발전기기초(단가)_AC-05옥내기기기초_pkg별설계가집계(태안7.8호기)_양차장님(PRP, MOZART)_양차장님LINER 벽체단가(PRP, MOZART,사면절곡)" xfId="2530"/>
    <cellStyle name=" _사급재료비및운반비_터빈발전기기초(단가)_AC-05옥내기기기초_PRP-500 TYPE" xfId="2531"/>
    <cellStyle name=" _사급재료비및운반비_터빈발전기기초(단가)_AC-05옥내기기기초_건축보령7,8(총액확정)" xfId="2532"/>
    <cellStyle name=" _사급재료비및운반비_터빈발전기기초(단가)_AC-05옥내기기기초_건축보령7,8(총액확정)_PRP-500 TYPE" xfId="2533"/>
    <cellStyle name=" _사급재료비및운반비_터빈발전기기초(단가)_AC-05옥내기기기초_건축보령7,8(총액확정)_남부, 석산정거장(익진ENG 실행)" xfId="2534"/>
    <cellStyle name=" _사급재료비및운반비_터빈발전기기초(단가)_AC-05옥내기기기초_건축보령7,8(총액확정)_남부, 석산정거장PRP-500(Double)내역포함" xfId="2535"/>
    <cellStyle name=" _사급재료비및운반비_터빈발전기기초(단가)_AC-05옥내기기기초_건축보령7,8(총액확정)_양차장님(PRP, MOZART)" xfId="2536"/>
    <cellStyle name=" _사급재료비및운반비_터빈발전기기초(단가)_AC-05옥내기기기초_건축보령7,8(총액확정)_양차장님(PRP, MOZART)_양차장님LINER 벽체단가(PRP, MOZART,사면절곡)" xfId="2537"/>
    <cellStyle name=" _사급재료비및운반비_터빈발전기기초(단가)_AC-05옥내기기기초_남부, 석산정거장(익진ENG 실행)" xfId="2538"/>
    <cellStyle name=" _사급재료비및운반비_터빈발전기기초(단가)_AC-05옥내기기기초_남부, 석산정거장PRP-500(Double)내역포함" xfId="2539"/>
    <cellStyle name=" _사급재료비및운반비_터빈발전기기초(단가)_AC-05옥내기기기초_실행예산" xfId="2540"/>
    <cellStyle name=" _사급재료비및운반비_터빈발전기기초(단가)_AC-05옥내기기기초_실행예산_PRP-500 TYPE" xfId="2541"/>
    <cellStyle name=" _사급재료비및운반비_터빈발전기기초(단가)_AC-05옥내기기기초_실행예산_남부, 석산정거장(익진ENG 실행)" xfId="2542"/>
    <cellStyle name=" _사급재료비및운반비_터빈발전기기초(단가)_AC-05옥내기기기초_실행예산_남부, 석산정거장PRP-500(Double)내역포함" xfId="2543"/>
    <cellStyle name=" _사급재료비및운반비_터빈발전기기초(단가)_AC-05옥내기기기초_실행예산_양차장님(PRP, MOZART)" xfId="2544"/>
    <cellStyle name=" _사급재료비및운반비_터빈발전기기초(단가)_AC-05옥내기기기초_실행예산_양차장님(PRP, MOZART)_양차장님LINER 벽체단가(PRP, MOZART,사면절곡)" xfId="2545"/>
    <cellStyle name=" _사급재료비및운반비_터빈발전기기초(단가)_AC-05옥내기기기초_양차장님(PRP, MOZART)" xfId="2546"/>
    <cellStyle name=" _사급재료비및운반비_터빈발전기기초(단가)_AC-05옥내기기기초_양차장님(PRP, MOZART)_양차장님LINER 벽체단가(PRP, MOZART,사면절곡)" xfId="2547"/>
    <cellStyle name=" _사급재료비및운반비_터빈발전기기초(단가)_pkg별설계가집계(태안7.8호기)" xfId="2548"/>
    <cellStyle name=" _사급재료비및운반비_터빈발전기기초(단가)_pkg별설계가집계(태안7.8호기)_PRP-500 TYPE" xfId="2549"/>
    <cellStyle name=" _사급재료비및운반비_터빈발전기기초(단가)_pkg별설계가집계(태안7.8호기)_남부, 석산정거장(익진ENG 실행)" xfId="2550"/>
    <cellStyle name=" _사급재료비및운반비_터빈발전기기초(단가)_pkg별설계가집계(태안7.8호기)_남부, 석산정거장PRP-500(Double)내역포함" xfId="2551"/>
    <cellStyle name=" _사급재료비및운반비_터빈발전기기초(단가)_pkg별설계가집계(태안7.8호기)_양차장님(PRP, MOZART)" xfId="2552"/>
    <cellStyle name=" _사급재료비및운반비_터빈발전기기초(단가)_pkg별설계가집계(태안7.8호기)_양차장님(PRP, MOZART)_양차장님LINER 벽체단가(PRP, MOZART,사면절곡)" xfId="2553"/>
    <cellStyle name=" _사급재료비및운반비_터빈발전기기초(단가)_PRP-500 TYPE" xfId="2554"/>
    <cellStyle name=" _사급재료비및운반비_터빈발전기기초(단가)_건축보령7,8(총액확정)" xfId="2555"/>
    <cellStyle name=" _사급재료비및운반비_터빈발전기기초(단가)_건축보령7,8(총액확정)_PRP-500 TYPE" xfId="2556"/>
    <cellStyle name=" _사급재료비및운반비_터빈발전기기초(단가)_건축보령7,8(총액확정)_남부, 석산정거장(익진ENG 실행)" xfId="2557"/>
    <cellStyle name=" _사급재료비및운반비_터빈발전기기초(단가)_건축보령7,8(총액확정)_남부, 석산정거장PRP-500(Double)내역포함" xfId="2558"/>
    <cellStyle name=" _사급재료비및운반비_터빈발전기기초(단가)_건축보령7,8(총액확정)_양차장님(PRP, MOZART)" xfId="2559"/>
    <cellStyle name=" _사급재료비및운반비_터빈발전기기초(단가)_건축보령7,8(총액확정)_양차장님(PRP, MOZART)_양차장님LINER 벽체단가(PRP, MOZART,사면절곡)" xfId="2560"/>
    <cellStyle name=" _사급재료비및운반비_터빈발전기기초(단가)_남부, 석산정거장(익진ENG 실행)" xfId="2561"/>
    <cellStyle name=" _사급재료비및운반비_터빈발전기기초(단가)_남부, 석산정거장PRP-500(Double)내역포함" xfId="2562"/>
    <cellStyle name=" _사급재료비및운반비_터빈발전기기초(단가)_실행예산" xfId="2563"/>
    <cellStyle name=" _사급재료비및운반비_터빈발전기기초(단가)_실행예산_PRP-500 TYPE" xfId="2564"/>
    <cellStyle name=" _사급재료비및운반비_터빈발전기기초(단가)_실행예산_남부, 석산정거장(익진ENG 실행)" xfId="2565"/>
    <cellStyle name=" _사급재료비및운반비_터빈발전기기초(단가)_실행예산_남부, 석산정거장PRP-500(Double)내역포함" xfId="2566"/>
    <cellStyle name=" _사급재료비및운반비_터빈발전기기초(단가)_실행예산_양차장님(PRP, MOZART)" xfId="2567"/>
    <cellStyle name=" _사급재료비및운반비_터빈발전기기초(단가)_실행예산_양차장님(PRP, MOZART)_양차장님LINER 벽체단가(PRP, MOZART,사면절곡)" xfId="2568"/>
    <cellStyle name=" _사급재료비및운반비_터빈발전기기초(단가)_양차장님(PRP, MOZART)" xfId="2569"/>
    <cellStyle name=" _사급재료비및운반비_터빈발전기기초(단가)_양차장님(PRP, MOZART)_양차장님LINER 벽체단가(PRP, MOZART,사면절곡)" xfId="2570"/>
    <cellStyle name=" _사급재료비및운반비_품" xfId="2571"/>
    <cellStyle name=" _사급재료비및운반비_품셈 및 별표-RA" xfId="2572"/>
    <cellStyle name=" _사급재료비및운반비_품셈 및 별표-RA_AC-01_GT건물신축공사_061031_RA" xfId="2573"/>
    <cellStyle name=" _사급재료비및운반비_품셈 및 별표-RA_AC-01_GT건물신축공사_061031_RA_AC-08_보조보일러건물신축공사_061031_RA" xfId="2574"/>
    <cellStyle name=" _사급재료비및운반비_품셈 및 별표-RA_AC-01_GT건물신축공사_061031_RA_AC-09_수처리및폐수처리건물신축공사_061031_RA" xfId="2575"/>
    <cellStyle name=" _사급재료비및운반비_품셈 및 별표-RA_AC-05_주제어건물신축공사_061031_RA" xfId="2576"/>
    <cellStyle name=" _사급재료비및운반비_품셈 및 별표-RA_AC-05_주제어건물신축공사_061031_RA_AC-08_보조보일러건물신축공사_061031_RA" xfId="2577"/>
    <cellStyle name=" _사급재료비및운반비_품셈 및 별표-RA_AC-05_주제어건물신축공사_061031_RA_AC-09_수처리및폐수처리건물신축공사_061031_RA" xfId="2578"/>
    <cellStyle name=" _사급재료비및운반비_품셈 및 별표-RA_AC-08_보조보일러건물신축공사_061031_RA" xfId="2579"/>
    <cellStyle name=" _사급재료비및운반비_품셈 및 별표-RA_AC-09_수처리및폐수처리건물신축공사_061031_RA" xfId="2580"/>
    <cellStyle name=" _사급재료비및운반비_한국항공 세탁물시설 지붕공사-1차" xfId="2581"/>
    <cellStyle name=" _사무실포장가실행" xfId="2582"/>
    <cellStyle name=" _사본 - CC-02" xfId="2583"/>
    <cellStyle name=" _석탄취급설비기초-비교" xfId="2584"/>
    <cellStyle name=" _설계명세서" xfId="2585"/>
    <cellStyle name=" _설계명세서_1" xfId="2586"/>
    <cellStyle name=" _설계명세서_1_329전기설비기초-비교" xfId="2587"/>
    <cellStyle name=" _설계명세서_1_FRP단가견적(125%적용)" xfId="2588"/>
    <cellStyle name=" _설계명세서_1_F메탈-T메탈 평판넬" xfId="2589"/>
    <cellStyle name=" _설계명세서_1_F메탈판넬" xfId="2590"/>
    <cellStyle name=" _설계명세서_1_GUTTER(STS 1.5T)" xfId="2591"/>
    <cellStyle name=" _설계명세서_1_Songdo Convention Center 신축공사(060106제출수정본)" xfId="2592"/>
    <cellStyle name=" _설계명세서_1_기흥사업장 ERM 센타(3차실행)" xfId="2593"/>
    <cellStyle name=" _설계명세서_1_냉각수배수로-비교" xfId="2594"/>
    <cellStyle name=" _설계명세서_1_냉각수취수펌프구조물-비교" xfId="2595"/>
    <cellStyle name=" _설계명세서_1_단가견적2006년(호성)" xfId="2596"/>
    <cellStyle name=" _설계명세서_1_단가견적FRP채광창(1.5T+1.2T)" xfId="2597"/>
    <cellStyle name=" _설계명세서_1_두산중공업단가견적(제출)" xfId="2598"/>
    <cellStyle name=" _설계명세서_1_메탈판넬" xfId="2599"/>
    <cellStyle name=" _설계명세서_1_보일러판넬현장설명회(배부용)" xfId="2600"/>
    <cellStyle name=" _설계명세서_1_실행-인천국제공항제2단계건설부대건물(11월8일)-실행검토(폴리메탈사이즈별_F메탈)" xfId="2601"/>
    <cellStyle name=" _설계명세서_1_전기설비기초-FF" xfId="2602"/>
    <cellStyle name=" _설계명세서_1_전기설비기초-FF_보일러판넬현장설명회(배부용)" xfId="2603"/>
    <cellStyle name=" _설계명세서_1_제일모직 DF PROJECT 2차공사(실행)" xfId="2604"/>
    <cellStyle name=" _설계명세서_1_조경(final)-비교" xfId="2605"/>
    <cellStyle name=" _설계명세서_1_한국항공 세탁물시설 지붕공사-1차" xfId="2606"/>
    <cellStyle name=" _설계명세서_AC-01 보일러 설계서 수정" xfId="2607"/>
    <cellStyle name=" _설계명세서_AC-01 보일러 설계서 수정_AC-14(최종수정)" xfId="2608"/>
    <cellStyle name=" _설계명세서_AC-01 보일러 설계서 수정_AC-14(최종수정)_Book1" xfId="2609"/>
    <cellStyle name=" _설계명세서_AC-01 보일러 설계서 수정_AC-14(최종수정)_발전설비 보수공사" xfId="2610"/>
    <cellStyle name=" _설계명세서_AC-01 보일러 설계서 수정_AC-14(최종수정)_발전설비 보수공사_Book1" xfId="2611"/>
    <cellStyle name=" _설계명세서_AC-01 보일러 설계서 수정_Book1" xfId="2612"/>
    <cellStyle name=" _설계명세서_AC-01 본관기초(가설계서 9월단가)" xfId="2613"/>
    <cellStyle name=" _설계명세서_AC-01 본관기초(가설계서 9월단가)_AC-14(최종수정)" xfId="2620"/>
    <cellStyle name=" _설계명세서_AC-01 본관기초(가설계서 9월단가)_AC-14(최종수정)_Book1" xfId="2621"/>
    <cellStyle name=" _설계명세서_AC-01 본관기초(가설계서 9월단가)_AC-14(최종수정)_발전설비 보수공사" xfId="2622"/>
    <cellStyle name=" _설계명세서_AC-01 본관기초(가설계서 9월단가)_AC-14(최종수정)_발전설비 보수공사_Book1" xfId="2623"/>
    <cellStyle name=" _설계명세서_AC-01 본관기초(가설계서 9월단가)_Book1" xfId="2624"/>
    <cellStyle name=" _설계명세서_AC-01 본관기초(가설계서 9월단가)-2" xfId="2614"/>
    <cellStyle name=" _설계명세서_AC-01 본관기초(가설계서 9월단가)-2_AC-14(최종수정)" xfId="2615"/>
    <cellStyle name=" _설계명세서_AC-01 본관기초(가설계서 9월단가)-2_AC-14(최종수정)_Book1" xfId="2616"/>
    <cellStyle name=" _설계명세서_AC-01 본관기초(가설계서 9월단가)-2_AC-14(최종수정)_발전설비 보수공사" xfId="2617"/>
    <cellStyle name=" _설계명세서_AC-01 본관기초(가설계서 9월단가)-2_AC-14(최종수정)_발전설비 보수공사_Book1" xfId="2618"/>
    <cellStyle name=" _설계명세서_AC-01 본관기초(가설계서 9월단가)-2_Book1" xfId="2619"/>
    <cellStyle name=" _설계명세서_AC-14건설사무소환경개선공사설계서(제출)REV10" xfId="2625"/>
    <cellStyle name=" _설계명세서_AC-14건설사무소환경개선공사설계서(제출)REV10_AC-14(최종수정)" xfId="2626"/>
    <cellStyle name=" _설계명세서_AC-14건설사무소환경개선공사설계서(제출)REV10_AC-14(최종수정)_Book1" xfId="2627"/>
    <cellStyle name=" _설계명세서_AC-14건설사무소환경개선공사설계서(제출)REV10_AC-14(최종수정)_발전설비 보수공사" xfId="2628"/>
    <cellStyle name=" _설계명세서_AC-14건설사무소환경개선공사설계서(제출)REV10_AC-14(최종수정)_발전설비 보수공사_Book1" xfId="2629"/>
    <cellStyle name=" _설계명세서_AC-14건설사무소환경개선공사설계서(제출)REV10_Book1" xfId="2630"/>
    <cellStyle name=" _설계명세서_Book1" xfId="2631"/>
    <cellStyle name=" _설계명세서_PRP-500 TYPE" xfId="2632"/>
    <cellStyle name=" _설계명세서_Songdo Convention Center 신축공사(060106제출수정본)" xfId="2633"/>
    <cellStyle name=" _설계명세서_공사비집계표" xfId="2634"/>
    <cellStyle name=" _설계명세서_공사비집계표(품의용)" xfId="2635"/>
    <cellStyle name=" _설계명세서_공사비집계표(품의용)_PRP-500 TYPE" xfId="2636"/>
    <cellStyle name=" _설계명세서_공사비집계표(품의용)_남부, 석산정거장(익진ENG 실행)" xfId="2637"/>
    <cellStyle name=" _설계명세서_공사비집계표(품의용)_남부, 석산정거장PRP-500(Double)내역포함" xfId="2638"/>
    <cellStyle name=" _설계명세서_공사비집계표(품의용)_양차장님(PRP, MOZART)" xfId="2639"/>
    <cellStyle name=" _설계명세서_공사비집계표(품의용)_양차장님(PRP, MOZART)_양차장님LINER 벽체단가(PRP, MOZART,사면절곡)" xfId="2640"/>
    <cellStyle name=" _설계명세서_공사비집계표_AC-14(최종수정)" xfId="2641"/>
    <cellStyle name=" _설계명세서_공사비집계표_AC-14(최종수정)_Book1" xfId="2642"/>
    <cellStyle name=" _설계명세서_공사비집계표_AC-14(최종수정)_발전설비 보수공사" xfId="2643"/>
    <cellStyle name=" _설계명세서_공사비집계표_AC-14(최종수정)_발전설비 보수공사_Book1" xfId="2644"/>
    <cellStyle name=" _설계명세서_공사비집계표_Book1" xfId="2645"/>
    <cellStyle name=" _설계명세서_남부, 석산정거장(익진ENG 실행)" xfId="2646"/>
    <cellStyle name=" _설계명세서_남부, 석산정거장PRP-500(Double)내역포함" xfId="2647"/>
    <cellStyle name=" _설계명세서_발전설비 보수공사" xfId="2648"/>
    <cellStyle name=" _설계명세서_발전설비 보수공사_Book1" xfId="2649"/>
    <cellStyle name=" _설계명세서_보일러판넬현장설명회(배부용)" xfId="2650"/>
    <cellStyle name=" _설계명세서_양차장님(PRP, MOZART)" xfId="2651"/>
    <cellStyle name=" _설계명세서_양차장님(PRP, MOZART)_양차장님LINER 벽체단가(PRP, MOZART,사면절곡)" xfId="2652"/>
    <cellStyle name=" _설계명세서_영흥#3,4 터빈발전기기초(AC-04)" xfId="2653"/>
    <cellStyle name=" _설계명세서_추가품셈1-박" xfId="2654"/>
    <cellStyle name=" _설계명세서_추가품셈1-박_PRP-500 TYPE" xfId="2655"/>
    <cellStyle name=" _설계명세서_추가품셈1-박_남부, 석산정거장(익진ENG 실행)" xfId="2656"/>
    <cellStyle name=" _설계명세서_추가품셈1-박_남부, 석산정거장PRP-500(Double)내역포함" xfId="2657"/>
    <cellStyle name=" _설계명세서_추가품셈1-박_양차장님(PRP, MOZART)" xfId="2658"/>
    <cellStyle name=" _설계명세서_추가품셈1-박_양차장님(PRP, MOZART)_양차장님LINER 벽체단가(PRP, MOZART,사면절곡)" xfId="2659"/>
    <cellStyle name=" _설계변경조서" xfId="2660"/>
    <cellStyle name=" _설계변경조서_영흥_3,4 가스창고신축(AC-08)확정-샘플내역서" xfId="2661"/>
    <cellStyle name=" _소화수(REV.1)" xfId="2662"/>
    <cellStyle name=" _소화수(REV.1)_영흥_3,4 가스창고신축(AC-08)확정-샘플내역서" xfId="2663"/>
    <cellStyle name=" _수량및 단가 산출내용표" xfId="2664"/>
    <cellStyle name=" _수량및 단가 산출내용표_1-온배수 양식장 가설계서" xfId="2665"/>
    <cellStyle name=" _수량및 단가 산출내용표_20030310150903590-E1C865BF" xfId="2666"/>
    <cellStyle name=" _수량및 단가 산출내용표_20030310150903590-E1C865BF_AC-01 보일러 설계서 수정" xfId="2667"/>
    <cellStyle name=" _수량및 단가 산출내용표_20030310150903590-E1C865BF_AC-01 보일러 설계서 수정_AC-14(최종수정)" xfId="2668"/>
    <cellStyle name=" _수량및 단가 산출내용표_20030310150903590-E1C865BF_AC-01 보일러 설계서 수정_AC-14(최종수정)_Book1" xfId="2669"/>
    <cellStyle name=" _수량및 단가 산출내용표_20030310150903590-E1C865BF_AC-01 보일러 설계서 수정_AC-14(최종수정)_발전설비 보수공사" xfId="2670"/>
    <cellStyle name=" _수량및 단가 산출내용표_20030310150903590-E1C865BF_AC-01 보일러 설계서 수정_AC-14(최종수정)_발전설비 보수공사_Book1" xfId="2671"/>
    <cellStyle name=" _수량및 단가 산출내용표_20030310150903590-E1C865BF_AC-01 보일러 설계서 수정_Book1" xfId="2672"/>
    <cellStyle name=" _수량및 단가 산출내용표_20030310150903590-E1C865BF_AC-01 본관기초(가설계서 9월단가)" xfId="2673"/>
    <cellStyle name=" _수량및 단가 산출내용표_20030310150903590-E1C865BF_AC-01 본관기초(가설계서 9월단가)_AC-14(최종수정)" xfId="2680"/>
    <cellStyle name=" _수량및 단가 산출내용표_20030310150903590-E1C865BF_AC-01 본관기초(가설계서 9월단가)_AC-14(최종수정)_Book1" xfId="2681"/>
    <cellStyle name=" _수량및 단가 산출내용표_20030310150903590-E1C865BF_AC-01 본관기초(가설계서 9월단가)_AC-14(최종수정)_발전설비 보수공사" xfId="2682"/>
    <cellStyle name=" _수량및 단가 산출내용표_20030310150903590-E1C865BF_AC-01 본관기초(가설계서 9월단가)_AC-14(최종수정)_발전설비 보수공사_Book1" xfId="2683"/>
    <cellStyle name=" _수량및 단가 산출내용표_20030310150903590-E1C865BF_AC-01 본관기초(가설계서 9월단가)_Book1" xfId="2684"/>
    <cellStyle name=" _수량및 단가 산출내용표_20030310150903590-E1C865BF_AC-01 본관기초(가설계서 9월단가)-2" xfId="2674"/>
    <cellStyle name=" _수량및 단가 산출내용표_20030310150903590-E1C865BF_AC-01 본관기초(가설계서 9월단가)-2_AC-14(최종수정)" xfId="2675"/>
    <cellStyle name=" _수량및 단가 산출내용표_20030310150903590-E1C865BF_AC-01 본관기초(가설계서 9월단가)-2_AC-14(최종수정)_Book1" xfId="2676"/>
    <cellStyle name=" _수량및 단가 산출내용표_20030310150903590-E1C865BF_AC-01 본관기초(가설계서 9월단가)-2_AC-14(최종수정)_발전설비 보수공사" xfId="2677"/>
    <cellStyle name=" _수량및 단가 산출내용표_20030310150903590-E1C865BF_AC-01 본관기초(가설계서 9월단가)-2_AC-14(최종수정)_발전설비 보수공사_Book1" xfId="2678"/>
    <cellStyle name=" _수량및 단가 산출내용표_20030310150903590-E1C865BF_AC-01 본관기초(가설계서 9월단가)-2_Book1" xfId="2679"/>
    <cellStyle name=" _수량및 단가 산출내용표_20030310150903590-E1C865BF_AC-14건설사무소환경개선공사설계서(제출)REV10" xfId="2685"/>
    <cellStyle name=" _수량및 단가 산출내용표_20030310150903590-E1C865BF_AC-14건설사무소환경개선공사설계서(제출)REV10_AC-14(최종수정)" xfId="2686"/>
    <cellStyle name=" _수량및 단가 산출내용표_20030310150903590-E1C865BF_AC-14건설사무소환경개선공사설계서(제출)REV10_AC-14(최종수정)_Book1" xfId="2687"/>
    <cellStyle name=" _수량및 단가 산출내용표_20030310150903590-E1C865BF_AC-14건설사무소환경개선공사설계서(제출)REV10_AC-14(최종수정)_발전설비 보수공사" xfId="2688"/>
    <cellStyle name=" _수량및 단가 산출내용표_20030310150903590-E1C865BF_AC-14건설사무소환경개선공사설계서(제출)REV10_AC-14(최종수정)_발전설비 보수공사_Book1" xfId="2689"/>
    <cellStyle name=" _수량및 단가 산출내용표_20030310150903590-E1C865BF_AC-14건설사무소환경개선공사설계서(제출)REV10_Book1" xfId="2690"/>
    <cellStyle name=" _수량및 단가 산출내용표_20030310150903590-E1C865BF_Book1" xfId="2691"/>
    <cellStyle name=" _수량및 단가 산출내용표_20030310150903590-E1C865BF_PRP-500 TYPE" xfId="2692"/>
    <cellStyle name=" _수량및 단가 산출내용표_20030310150903590-E1C865BF_Songdo Convention Center 신축공사(060106제출수정본)" xfId="2693"/>
    <cellStyle name=" _수량및 단가 산출내용표_20030310150903590-E1C865BF_공사비집계표" xfId="2694"/>
    <cellStyle name=" _수량및 단가 산출내용표_20030310150903590-E1C865BF_공사비집계표(품의용)" xfId="2695"/>
    <cellStyle name=" _수량및 단가 산출내용표_20030310150903590-E1C865BF_공사비집계표(품의용)_PRP-500 TYPE" xfId="2696"/>
    <cellStyle name=" _수량및 단가 산출내용표_20030310150903590-E1C865BF_공사비집계표(품의용)_남부, 석산정거장(익진ENG 실행)" xfId="2697"/>
    <cellStyle name=" _수량및 단가 산출내용표_20030310150903590-E1C865BF_공사비집계표(품의용)_남부, 석산정거장PRP-500(Double)내역포함" xfId="2698"/>
    <cellStyle name=" _수량및 단가 산출내용표_20030310150903590-E1C865BF_공사비집계표(품의용)_양차장님(PRP, MOZART)" xfId="2699"/>
    <cellStyle name=" _수량및 단가 산출내용표_20030310150903590-E1C865BF_공사비집계표(품의용)_양차장님(PRP, MOZART)_양차장님LINER 벽체단가(PRP, MOZART,사면절곡)" xfId="2700"/>
    <cellStyle name=" _수량및 단가 산출내용표_20030310150903590-E1C865BF_공사비집계표_AC-14(최종수정)" xfId="2701"/>
    <cellStyle name=" _수량및 단가 산출내용표_20030310150903590-E1C865BF_공사비집계표_AC-14(최종수정)_Book1" xfId="2702"/>
    <cellStyle name=" _수량및 단가 산출내용표_20030310150903590-E1C865BF_공사비집계표_AC-14(최종수정)_발전설비 보수공사" xfId="2703"/>
    <cellStyle name=" _수량및 단가 산출내용표_20030310150903590-E1C865BF_공사비집계표_AC-14(최종수정)_발전설비 보수공사_Book1" xfId="2704"/>
    <cellStyle name=" _수량및 단가 산출내용표_20030310150903590-E1C865BF_공사비집계표_Book1" xfId="2705"/>
    <cellStyle name=" _수량및 단가 산출내용표_20030310150903590-E1C865BF_남부, 석산정거장(익진ENG 실행)" xfId="2706"/>
    <cellStyle name=" _수량및 단가 산출내용표_20030310150903590-E1C865BF_남부, 석산정거장PRP-500(Double)내역포함" xfId="2707"/>
    <cellStyle name=" _수량및 단가 산출내용표_20030310150903590-E1C865BF_발전설비 보수공사" xfId="2708"/>
    <cellStyle name=" _수량및 단가 산출내용표_20030310150903590-E1C865BF_발전설비 보수공사_Book1" xfId="2709"/>
    <cellStyle name=" _수량및 단가 산출내용표_20030310150903590-E1C865BF_보일러판넬현장설명회(배부용)" xfId="2710"/>
    <cellStyle name=" _수량및 단가 산출내용표_20030310150903590-E1C865BF_양차장님(PRP, MOZART)" xfId="2711"/>
    <cellStyle name=" _수량및 단가 산출내용표_20030310150903590-E1C865BF_양차장님(PRP, MOZART)_양차장님LINER 벽체단가(PRP, MOZART,사면절곡)" xfId="2712"/>
    <cellStyle name=" _수량및 단가 산출내용표_20030310150903590-E1C865BF_영흥#3,4 터빈발전기기초(AC-04)" xfId="2713"/>
    <cellStyle name=" _수량및 단가 산출내용표_329전기설비기초-비교" xfId="2714"/>
    <cellStyle name=" _수량및 단가 산출내용표_329전기설비기초-비교_PRP-500 TYPE" xfId="2715"/>
    <cellStyle name=" _수량및 단가 산출내용표_329전기설비기초-비교_남부, 석산정거장(익진ENG 실행)" xfId="2716"/>
    <cellStyle name=" _수량및 단가 산출내용표_329전기설비기초-비교_남부, 석산정거장PRP-500(Double)내역포함" xfId="2717"/>
    <cellStyle name=" _수량및 단가 산출내용표_329전기설비기초-비교_양차장님(PRP, MOZART)" xfId="2718"/>
    <cellStyle name=" _수량및 단가 산출내용표_329전기설비기초-비교_양차장님(PRP, MOZART)_양차장님LINER 벽체단가(PRP, MOZART,사면절곡)" xfId="2719"/>
    <cellStyle name=" _수량및 단가 산출내용표_AC-01 보일러 설계서 수정" xfId="2720"/>
    <cellStyle name=" _수량및 단가 산출내용표_AC-01 보일러 설계서 수정_1-온배수 양식장 가설계서" xfId="2721"/>
    <cellStyle name=" _수량및 단가 산출내용표_AC-01 보일러 설계서 수정_AC-14(최종수정)" xfId="2722"/>
    <cellStyle name=" _수량및 단가 산출내용표_AC-01 보일러 설계서 수정_AC-14(최종수정)_1-온배수 양식장 가설계서" xfId="2723"/>
    <cellStyle name=" _수량및 단가 산출내용표_AC-01 보일러 설계서 수정_AC-14(최종수정)_Book1" xfId="2724"/>
    <cellStyle name=" _수량및 단가 산출내용표_AC-01 보일러 설계서 수정_AC-14(최종수정)_경상정비 가설계서(12.07)" xfId="2725"/>
    <cellStyle name=" _수량및 단가 산출내용표_AC-01 보일러 설계서 수정_AC-14(최종수정)_경상정비 설계서(최종결재본)" xfId="2726"/>
    <cellStyle name=" _수량및 단가 산출내용표_AC-01 보일러 설계서 수정_AC-14(최종수정)_경상정비 설계서(최종분11월19)" xfId="2727"/>
    <cellStyle name=" _수량및 단가 산출내용표_AC-01 보일러 설계서 수정_AC-14(최종수정)_발전설비 보수공사" xfId="2728"/>
    <cellStyle name=" _수량및 단가 산출내용표_AC-01 보일러 설계서 수정_AC-14(최종수정)_발전설비 보수공사_1-온배수 양식장 가설계서" xfId="2729"/>
    <cellStyle name=" _수량및 단가 산출내용표_AC-01 보일러 설계서 수정_AC-14(최종수정)_발전설비 보수공사_Book1" xfId="2730"/>
    <cellStyle name=" _수량및 단가 산출내용표_AC-01 보일러 설계서 수정_AC-14(최종수정)_발전설비 보수공사_경상정비 가설계서(12.07)" xfId="2731"/>
    <cellStyle name=" _수량및 단가 산출내용표_AC-01 보일러 설계서 수정_AC-14(최종수정)_발전설비 보수공사_경상정비 설계서(최종결재본)" xfId="2732"/>
    <cellStyle name=" _수량및 단가 산출내용표_AC-01 보일러 설계서 수정_AC-14(최종수정)_발전설비 보수공사_경상정비 설계서(최종분11월19)" xfId="2733"/>
    <cellStyle name=" _수량및 단가 산출내용표_AC-01 보일러 설계서 수정_AC-14(최종수정)_발전설비 보수공사_부품" xfId="2734"/>
    <cellStyle name=" _수량및 단가 산출내용표_AC-01 보일러 설계서 수정_AC-14(최종수정)_부품" xfId="2735"/>
    <cellStyle name=" _수량및 단가 산출내용표_AC-01 보일러 설계서 수정_Book1" xfId="2736"/>
    <cellStyle name=" _수량및 단가 산출내용표_AC-01 보일러 설계서 수정_경상정비 가설계서(12.07)" xfId="2737"/>
    <cellStyle name=" _수량및 단가 산출내용표_AC-01 보일러 설계서 수정_경상정비 설계서(최종결재본)" xfId="2738"/>
    <cellStyle name=" _수량및 단가 산출내용표_AC-01 보일러 설계서 수정_경상정비 설계서(최종분11월19)" xfId="2739"/>
    <cellStyle name=" _수량및 단가 산출내용표_AC-01 보일러 설계서 수정_부품" xfId="2740"/>
    <cellStyle name=" _수량및 단가 산출내용표_AC-01 본관기초(가설계서 9월단가)" xfId="2741"/>
    <cellStyle name=" _수량및 단가 산출내용표_AC-01 본관기초(가설계서 9월단가)_1-온배수 양식장 가설계서" xfId="2763"/>
    <cellStyle name=" _수량및 단가 산출내용표_AC-01 본관기초(가설계서 9월단가)_AC-14(최종수정)" xfId="2764"/>
    <cellStyle name=" _수량및 단가 산출내용표_AC-01 본관기초(가설계서 9월단가)_AC-14(최종수정)_1-온배수 양식장 가설계서" xfId="2765"/>
    <cellStyle name=" _수량및 단가 산출내용표_AC-01 본관기초(가설계서 9월단가)_AC-14(최종수정)_Book1" xfId="2766"/>
    <cellStyle name=" _수량및 단가 산출내용표_AC-01 본관기초(가설계서 9월단가)_AC-14(최종수정)_경상정비 가설계서(12.07)" xfId="2767"/>
    <cellStyle name=" _수량및 단가 산출내용표_AC-01 본관기초(가설계서 9월단가)_AC-14(최종수정)_경상정비 설계서(최종결재본)" xfId="2768"/>
    <cellStyle name=" _수량및 단가 산출내용표_AC-01 본관기초(가설계서 9월단가)_AC-14(최종수정)_경상정비 설계서(최종분11월19)" xfId="2769"/>
    <cellStyle name=" _수량및 단가 산출내용표_AC-01 본관기초(가설계서 9월단가)_AC-14(최종수정)_발전설비 보수공사" xfId="2770"/>
    <cellStyle name=" _수량및 단가 산출내용표_AC-01 본관기초(가설계서 9월단가)_AC-14(최종수정)_발전설비 보수공사_1-온배수 양식장 가설계서" xfId="2771"/>
    <cellStyle name=" _수량및 단가 산출내용표_AC-01 본관기초(가설계서 9월단가)_AC-14(최종수정)_발전설비 보수공사_Book1" xfId="2772"/>
    <cellStyle name=" _수량및 단가 산출내용표_AC-01 본관기초(가설계서 9월단가)_AC-14(최종수정)_발전설비 보수공사_경상정비 가설계서(12.07)" xfId="2773"/>
    <cellStyle name=" _수량및 단가 산출내용표_AC-01 본관기초(가설계서 9월단가)_AC-14(최종수정)_발전설비 보수공사_경상정비 설계서(최종결재본)" xfId="2774"/>
    <cellStyle name=" _수량및 단가 산출내용표_AC-01 본관기초(가설계서 9월단가)_AC-14(최종수정)_발전설비 보수공사_경상정비 설계서(최종분11월19)" xfId="2775"/>
    <cellStyle name=" _수량및 단가 산출내용표_AC-01 본관기초(가설계서 9월단가)_AC-14(최종수정)_발전설비 보수공사_부품" xfId="2776"/>
    <cellStyle name=" _수량및 단가 산출내용표_AC-01 본관기초(가설계서 9월단가)_AC-14(최종수정)_부품" xfId="2777"/>
    <cellStyle name=" _수량및 단가 산출내용표_AC-01 본관기초(가설계서 9월단가)_Book1" xfId="2778"/>
    <cellStyle name=" _수량및 단가 산출내용표_AC-01 본관기초(가설계서 9월단가)_경상정비 가설계서(12.07)" xfId="2779"/>
    <cellStyle name=" _수량및 단가 산출내용표_AC-01 본관기초(가설계서 9월단가)_경상정비 설계서(최종결재본)" xfId="2780"/>
    <cellStyle name=" _수량및 단가 산출내용표_AC-01 본관기초(가설계서 9월단가)_경상정비 설계서(최종분11월19)" xfId="2781"/>
    <cellStyle name=" _수량및 단가 산출내용표_AC-01 본관기초(가설계서 9월단가)_부품" xfId="2782"/>
    <cellStyle name=" _수량및 단가 산출내용표_AC-01 본관기초(가설계서 9월단가)-2" xfId="2742"/>
    <cellStyle name=" _수량및 단가 산출내용표_AC-01 본관기초(가설계서 9월단가)-2_1-온배수 양식장 가설계서" xfId="2743"/>
    <cellStyle name=" _수량및 단가 산출내용표_AC-01 본관기초(가설계서 9월단가)-2_AC-14(최종수정)" xfId="2744"/>
    <cellStyle name=" _수량및 단가 산출내용표_AC-01 본관기초(가설계서 9월단가)-2_AC-14(최종수정)_1-온배수 양식장 가설계서" xfId="2745"/>
    <cellStyle name=" _수량및 단가 산출내용표_AC-01 본관기초(가설계서 9월단가)-2_AC-14(최종수정)_Book1" xfId="2746"/>
    <cellStyle name=" _수량및 단가 산출내용표_AC-01 본관기초(가설계서 9월단가)-2_AC-14(최종수정)_경상정비 가설계서(12.07)" xfId="2747"/>
    <cellStyle name=" _수량및 단가 산출내용표_AC-01 본관기초(가설계서 9월단가)-2_AC-14(최종수정)_경상정비 설계서(최종결재본)" xfId="2748"/>
    <cellStyle name=" _수량및 단가 산출내용표_AC-01 본관기초(가설계서 9월단가)-2_AC-14(최종수정)_경상정비 설계서(최종분11월19)" xfId="2749"/>
    <cellStyle name=" _수량및 단가 산출내용표_AC-01 본관기초(가설계서 9월단가)-2_AC-14(최종수정)_발전설비 보수공사" xfId="2750"/>
    <cellStyle name=" _수량및 단가 산출내용표_AC-01 본관기초(가설계서 9월단가)-2_AC-14(최종수정)_발전설비 보수공사_1-온배수 양식장 가설계서" xfId="2751"/>
    <cellStyle name=" _수량및 단가 산출내용표_AC-01 본관기초(가설계서 9월단가)-2_AC-14(최종수정)_발전설비 보수공사_Book1" xfId="2752"/>
    <cellStyle name=" _수량및 단가 산출내용표_AC-01 본관기초(가설계서 9월단가)-2_AC-14(최종수정)_발전설비 보수공사_경상정비 가설계서(12.07)" xfId="2753"/>
    <cellStyle name=" _수량및 단가 산출내용표_AC-01 본관기초(가설계서 9월단가)-2_AC-14(최종수정)_발전설비 보수공사_경상정비 설계서(최종결재본)" xfId="2754"/>
    <cellStyle name=" _수량및 단가 산출내용표_AC-01 본관기초(가설계서 9월단가)-2_AC-14(최종수정)_발전설비 보수공사_경상정비 설계서(최종분11월19)" xfId="2755"/>
    <cellStyle name=" _수량및 단가 산출내용표_AC-01 본관기초(가설계서 9월단가)-2_AC-14(최종수정)_발전설비 보수공사_부품" xfId="2756"/>
    <cellStyle name=" _수량및 단가 산출내용표_AC-01 본관기초(가설계서 9월단가)-2_AC-14(최종수정)_부품" xfId="2757"/>
    <cellStyle name=" _수량및 단가 산출내용표_AC-01 본관기초(가설계서 9월단가)-2_Book1" xfId="2758"/>
    <cellStyle name=" _수량및 단가 산출내용표_AC-01 본관기초(가설계서 9월단가)-2_경상정비 가설계서(12.07)" xfId="2759"/>
    <cellStyle name=" _수량및 단가 산출내용표_AC-01 본관기초(가설계서 9월단가)-2_경상정비 설계서(최종결재본)" xfId="2760"/>
    <cellStyle name=" _수량및 단가 산출내용표_AC-01 본관기초(가설계서 9월단가)-2_경상정비 설계서(최종분11월19)" xfId="2761"/>
    <cellStyle name=" _수량및 단가 산출내용표_AC-01 본관기초(가설계서 9월단가)-2_부품" xfId="2762"/>
    <cellStyle name=" _수량및 단가 산출내용표_AC-01_GT건물신축공사_061031_RA" xfId="2783"/>
    <cellStyle name=" _수량및 단가 산출내용표_AC-01_GT건물신축공사_061031_RA_AC-08_보조보일러건물신축공사_061031_RA" xfId="2784"/>
    <cellStyle name=" _수량및 단가 산출내용표_AC-01_GT건물신축공사_061031_RA_AC-09_수처리및폐수처리건물신축공사_061031_RA" xfId="2785"/>
    <cellStyle name=" _수량및 단가 산출내용표_AC-01터빈주제어및보일러기초" xfId="2786"/>
    <cellStyle name=" _수량및 단가 산출내용표_AC-01터빈주제어및보일러기초_PRP-500 TYPE" xfId="2787"/>
    <cellStyle name=" _수량및 단가 산출내용표_AC-01터빈주제어및보일러기초_건축보령7,8(총액확정)" xfId="2788"/>
    <cellStyle name=" _수량및 단가 산출내용표_AC-01터빈주제어및보일러기초_건축보령7,8(총액확정)_PRP-500 TYPE" xfId="2789"/>
    <cellStyle name=" _수량및 단가 산출내용표_AC-01터빈주제어및보일러기초_건축보령7,8(총액확정)_남부, 석산정거장(익진ENG 실행)" xfId="2790"/>
    <cellStyle name=" _수량및 단가 산출내용표_AC-01터빈주제어및보일러기초_건축보령7,8(총액확정)_남부, 석산정거장PRP-500(Double)내역포함" xfId="2791"/>
    <cellStyle name=" _수량및 단가 산출내용표_AC-01터빈주제어및보일러기초_건축보령7,8(총액확정)_양차장님(PRP, MOZART)" xfId="2792"/>
    <cellStyle name=" _수량및 단가 산출내용표_AC-01터빈주제어및보일러기초_건축보령7,8(총액확정)_양차장님(PRP, MOZART)_양차장님LINER 벽체단가(PRP, MOZART,사면절곡)" xfId="2793"/>
    <cellStyle name=" _수량및 단가 산출내용표_AC-01터빈주제어및보일러기초_남부, 석산정거장(익진ENG 실행)" xfId="2794"/>
    <cellStyle name=" _수량및 단가 산출내용표_AC-01터빈주제어및보일러기초_남부, 석산정거장PRP-500(Double)내역포함" xfId="2795"/>
    <cellStyle name=" _수량및 단가 산출내용표_AC-01터빈주제어및보일러기초_실행예산" xfId="2796"/>
    <cellStyle name=" _수량및 단가 산출내용표_AC-01터빈주제어및보일러기초_실행예산_PRP-500 TYPE" xfId="2797"/>
    <cellStyle name=" _수량및 단가 산출내용표_AC-01터빈주제어및보일러기초_실행예산_남부, 석산정거장(익진ENG 실행)" xfId="2798"/>
    <cellStyle name=" _수량및 단가 산출내용표_AC-01터빈주제어및보일러기초_실행예산_남부, 석산정거장PRP-500(Double)내역포함" xfId="2799"/>
    <cellStyle name=" _수량및 단가 산출내용표_AC-01터빈주제어및보일러기초_실행예산_양차장님(PRP, MOZART)" xfId="2800"/>
    <cellStyle name=" _수량및 단가 산출내용표_AC-01터빈주제어및보일러기초_실행예산_양차장님(PRP, MOZART)_양차장님LINER 벽체단가(PRP, MOZART,사면절곡)" xfId="2801"/>
    <cellStyle name=" _수량및 단가 산출내용표_AC-01터빈주제어및보일러기초_양차장님(PRP, MOZART)" xfId="2802"/>
    <cellStyle name=" _수량및 단가 산출내용표_AC-01터빈주제어및보일러기초_양차장님(PRP, MOZART)_양차장님LINER 벽체단가(PRP, MOZART,사면절곡)" xfId="2803"/>
    <cellStyle name=" _수량및 단가 산출내용표_AC-04터빈발전기기초" xfId="2804"/>
    <cellStyle name=" _수량및 단가 산출내용표_AC-04터빈발전기기초_AC-01_GT건물신축공사_061031_RA" xfId="2805"/>
    <cellStyle name=" _수량및 단가 산출내용표_AC-04터빈발전기기초_AC-01_GT건물신축공사_061031_RA_AC-01_GT건물신축공사_061031_RA" xfId="2806"/>
    <cellStyle name=" _수량및 단가 산출내용표_AC-04터빈발전기기초_AC-01_GT건물신축공사_061031_RA_AC-08_보조보일러건물신축공사_061031_RA" xfId="2807"/>
    <cellStyle name=" _수량및 단가 산출내용표_AC-04터빈발전기기초_AC-01_GT건물신축공사_061031_RA_AC-09_수처리및폐수처리건물신축공사_061031_RA" xfId="2808"/>
    <cellStyle name=" _수량및 단가 산출내용표_AC-04터빈발전기기초_AC-01_GT건물신축공사_061031_RA_AC-10_염소주입실신축공사_061031_RA" xfId="2809"/>
    <cellStyle name=" _수량및 단가 산출내용표_AC-04터빈발전기기초_AC-05_주제어건물신축공사_061031_RA" xfId="2810"/>
    <cellStyle name=" _수량및 단가 산출내용표_AC-04터빈발전기기초_AC-05_주제어건물신축공사_061031_RA_AC-01_GT건물신축공사_061031_RA" xfId="2811"/>
    <cellStyle name=" _수량및 단가 산출내용표_AC-04터빈발전기기초_AC-05_주제어건물신축공사_061031_RA_AC-01_GT건물신축공사_061031_RA_AC-08_보조보일러건물신축공사_061031_RA" xfId="2812"/>
    <cellStyle name=" _수량및 단가 산출내용표_AC-04터빈발전기기초_AC-05_주제어건물신축공사_061031_RA_AC-01_GT건물신축공사_061031_RA_AC-09_수처리및폐수처리건물신축공사_061031_RA" xfId="2813"/>
    <cellStyle name=" _수량및 단가 산출내용표_AC-04터빈발전기기초_AC-05_주제어건물신축공사_061031_RA_AC-05_주제어건물신축공사_061031_RA" xfId="2814"/>
    <cellStyle name=" _수량및 단가 산출내용표_AC-04터빈발전기기초_AC-05_주제어건물신축공사_061031_RA_AC-05_주제어건물신축공사_061031_RA_AC-08_보조보일러건물신축공사_061031_RA" xfId="2815"/>
    <cellStyle name=" _수량및 단가 산출내용표_AC-04터빈발전기기초_AC-05_주제어건물신축공사_061031_RA_AC-05_주제어건물신축공사_061031_RA_AC-09_수처리및폐수처리건물신축공사_061031_RA" xfId="2816"/>
    <cellStyle name=" _수량및 단가 산출내용표_AC-04터빈발전기기초_AC-05_주제어건물신축공사_061031_RA_AC-08_보조보일러건물신축공사_061031_RA" xfId="2817"/>
    <cellStyle name=" _수량및 단가 산출내용표_AC-04터빈발전기기초_AC-05_주제어건물신축공사_061031_RA_AC-09_수처리및폐수처리건물신축공사_061031_RA" xfId="2818"/>
    <cellStyle name=" _수량및 단가 산출내용표_AC-04터빈발전기기초_AC-08_보조보일러건물신축공사_061031_RA" xfId="2819"/>
    <cellStyle name=" _수량및 단가 산출내용표_AC-04터빈발전기기초_AC-08_보조보일러건물신축공사_061031_RA_AC-08_보조보일러건물신축공사_061031_RA" xfId="2820"/>
    <cellStyle name=" _수량및 단가 산출내용표_AC-04터빈발전기기초_AC-08_보조보일러건물신축공사_061031_RA_AC-09_수처리및폐수처리건물신축공사_061031_RA" xfId="2821"/>
    <cellStyle name=" _수량및 단가 산출내용표_AC-04터빈발전기기초_AC-09_수처리및폐수처리건물신축공사_061031_RA" xfId="2822"/>
    <cellStyle name=" _수량및 단가 산출내용표_AC-04터빈발전기기초_AC-09_수처리및폐수처리건물신축공사_061031_RA_AC-08_보조보일러건물신축공사_061031_RA" xfId="2823"/>
    <cellStyle name=" _수량및 단가 산출내용표_AC-04터빈발전기기초_AC-09_수처리및폐수처리건물신축공사_061031_RA_AC-09_수처리및폐수처리건물신축공사_061031_RA" xfId="2824"/>
    <cellStyle name=" _수량및 단가 산출내용표_AC-04터빈발전기기초_PRP-500 TYPE" xfId="2825"/>
    <cellStyle name=" _수량및 단가 산출내용표_AC-04터빈발전기기초_건축보령7,8(총액확정)" xfId="2826"/>
    <cellStyle name=" _수량및 단가 산출내용표_AC-04터빈발전기기초_건축보령7,8(총액확정)_PRP-500 TYPE" xfId="2827"/>
    <cellStyle name=" _수량및 단가 산출내용표_AC-04터빈발전기기초_건축보령7,8(총액확정)_남부, 석산정거장(익진ENG 실행)" xfId="2828"/>
    <cellStyle name=" _수량및 단가 산출내용표_AC-04터빈발전기기초_건축보령7,8(총액확정)_남부, 석산정거장PRP-500(Double)내역포함" xfId="2829"/>
    <cellStyle name=" _수량및 단가 산출내용표_AC-04터빈발전기기초_건축보령7,8(총액확정)_양차장님(PRP, MOZART)" xfId="2830"/>
    <cellStyle name=" _수량및 단가 산출내용표_AC-04터빈발전기기초_건축보령7,8(총액확정)_양차장님(PRP, MOZART)_양차장님LINER 벽체단가(PRP, MOZART,사면절곡)" xfId="2831"/>
    <cellStyle name=" _수량및 단가 산출내용표_AC-04터빈발전기기초_남부, 석산정거장(익진ENG 실행)" xfId="2832"/>
    <cellStyle name=" _수량및 단가 산출내용표_AC-04터빈발전기기초_남부, 석산정거장PRP-500(Double)내역포함" xfId="2833"/>
    <cellStyle name=" _수량및 단가 산출내용표_AC-04터빈발전기기초_실행예산" xfId="2834"/>
    <cellStyle name=" _수량및 단가 산출내용표_AC-04터빈발전기기초_실행예산_PRP-500 TYPE" xfId="2835"/>
    <cellStyle name=" _수량및 단가 산출내용표_AC-04터빈발전기기초_실행예산_남부, 석산정거장(익진ENG 실행)" xfId="2836"/>
    <cellStyle name=" _수량및 단가 산출내용표_AC-04터빈발전기기초_실행예산_남부, 석산정거장PRP-500(Double)내역포함" xfId="2837"/>
    <cellStyle name=" _수량및 단가 산출내용표_AC-04터빈발전기기초_실행예산_양차장님(PRP, MOZART)" xfId="2838"/>
    <cellStyle name=" _수량및 단가 산출내용표_AC-04터빈발전기기초_실행예산_양차장님(PRP, MOZART)_양차장님LINER 벽체단가(PRP, MOZART,사면절곡)" xfId="2839"/>
    <cellStyle name=" _수량및 단가 산출내용표_AC-04터빈발전기기초_양차장님(PRP, MOZART)" xfId="2840"/>
    <cellStyle name=" _수량및 단가 산출내용표_AC-04터빈발전기기초_양차장님(PRP, MOZART)_양차장님LINER 벽체단가(PRP, MOZART,사면절곡)" xfId="2841"/>
    <cellStyle name=" _수량및 단가 산출내용표_AC-05_주제어건물신축공사_061031_RA" xfId="2842"/>
    <cellStyle name=" _수량및 단가 산출내용표_AC-05_주제어건물신축공사_061031_RA_1" xfId="2843"/>
    <cellStyle name=" _수량및 단가 산출내용표_AC-05_주제어건물신축공사_061031_RA_1_AC-08_보조보일러건물신축공사_061031_RA" xfId="2844"/>
    <cellStyle name=" _수량및 단가 산출내용표_AC-05_주제어건물신축공사_061031_RA_1_AC-09_수처리및폐수처리건물신축공사_061031_RA" xfId="2845"/>
    <cellStyle name=" _수량및 단가 산출내용표_AC-05_주제어건물신축공사_061031_RA_AC-01_GT건물신축공사_061031_RA" xfId="2846"/>
    <cellStyle name=" _수량및 단가 산출내용표_AC-05_주제어건물신축공사_061031_RA_AC-01_GT건물신축공사_061031_RA_AC-08_보조보일러건물신축공사_061031_RA" xfId="2847"/>
    <cellStyle name=" _수량및 단가 산출내용표_AC-05_주제어건물신축공사_061031_RA_AC-01_GT건물신축공사_061031_RA_AC-09_수처리및폐수처리건물신축공사_061031_RA" xfId="2848"/>
    <cellStyle name=" _수량및 단가 산출내용표_AC-05_주제어건물신축공사_061031_RA_AC-05_주제어건물신축공사_061031_RA" xfId="2849"/>
    <cellStyle name=" _수량및 단가 산출내용표_AC-05_주제어건물신축공사_061031_RA_AC-05_주제어건물신축공사_061031_RA_AC-08_보조보일러건물신축공사_061031_RA" xfId="2850"/>
    <cellStyle name=" _수량및 단가 산출내용표_AC-05_주제어건물신축공사_061031_RA_AC-05_주제어건물신축공사_061031_RA_AC-09_수처리및폐수처리건물신축공사_061031_RA" xfId="2851"/>
    <cellStyle name=" _수량및 단가 산출내용표_AC-05_주제어건물신축공사_061031_RA_AC-08_보조보일러건물신축공사_061031_RA" xfId="2852"/>
    <cellStyle name=" _수량및 단가 산출내용표_AC-05_주제어건물신축공사_061031_RA_AC-09_수처리및폐수처리건물신축공사_061031_RA" xfId="2853"/>
    <cellStyle name=" _수량및 단가 산출내용표_AC-05옥내기기기초" xfId="2854"/>
    <cellStyle name=" _수량및 단가 산출내용표_AC-05옥내기기기초_pkg별설계가집계(태안7.8호기)" xfId="2855"/>
    <cellStyle name=" _수량및 단가 산출내용표_AC-05옥내기기기초_pkg별설계가집계(태안7.8호기)_PRP-500 TYPE" xfId="2856"/>
    <cellStyle name=" _수량및 단가 산출내용표_AC-05옥내기기기초_pkg별설계가집계(태안7.8호기)_남부, 석산정거장(익진ENG 실행)" xfId="2857"/>
    <cellStyle name=" _수량및 단가 산출내용표_AC-05옥내기기기초_pkg별설계가집계(태안7.8호기)_남부, 석산정거장PRP-500(Double)내역포함" xfId="2858"/>
    <cellStyle name=" _수량및 단가 산출내용표_AC-05옥내기기기초_pkg별설계가집계(태안7.8호기)_양차장님(PRP, MOZART)" xfId="2859"/>
    <cellStyle name=" _수량및 단가 산출내용표_AC-05옥내기기기초_pkg별설계가집계(태안7.8호기)_양차장님(PRP, MOZART)_양차장님LINER 벽체단가(PRP, MOZART,사면절곡)" xfId="2860"/>
    <cellStyle name=" _수량및 단가 산출내용표_AC-05옥내기기기초_PRP-500 TYPE" xfId="2861"/>
    <cellStyle name=" _수량및 단가 산출내용표_AC-05옥내기기기초_건축보령7,8(총액확정)" xfId="2862"/>
    <cellStyle name=" _수량및 단가 산출내용표_AC-05옥내기기기초_건축보령7,8(총액확정)_PRP-500 TYPE" xfId="2863"/>
    <cellStyle name=" _수량및 단가 산출내용표_AC-05옥내기기기초_건축보령7,8(총액확정)_남부, 석산정거장(익진ENG 실행)" xfId="2864"/>
    <cellStyle name=" _수량및 단가 산출내용표_AC-05옥내기기기초_건축보령7,8(총액확정)_남부, 석산정거장PRP-500(Double)내역포함" xfId="2865"/>
    <cellStyle name=" _수량및 단가 산출내용표_AC-05옥내기기기초_건축보령7,8(총액확정)_양차장님(PRP, MOZART)" xfId="2866"/>
    <cellStyle name=" _수량및 단가 산출내용표_AC-05옥내기기기초_건축보령7,8(총액확정)_양차장님(PRP, MOZART)_양차장님LINER 벽체단가(PRP, MOZART,사면절곡)" xfId="2867"/>
    <cellStyle name=" _수량및 단가 산출내용표_AC-05옥내기기기초_남부, 석산정거장(익진ENG 실행)" xfId="2868"/>
    <cellStyle name=" _수량및 단가 산출내용표_AC-05옥내기기기초_남부, 석산정거장PRP-500(Double)내역포함" xfId="2869"/>
    <cellStyle name=" _수량및 단가 산출내용표_AC-05옥내기기기초_실행예산" xfId="2870"/>
    <cellStyle name=" _수량및 단가 산출내용표_AC-05옥내기기기초_실행예산_PRP-500 TYPE" xfId="2871"/>
    <cellStyle name=" _수량및 단가 산출내용표_AC-05옥내기기기초_실행예산_남부, 석산정거장(익진ENG 실행)" xfId="2872"/>
    <cellStyle name=" _수량및 단가 산출내용표_AC-05옥내기기기초_실행예산_남부, 석산정거장PRP-500(Double)내역포함" xfId="2873"/>
    <cellStyle name=" _수량및 단가 산출내용표_AC-05옥내기기기초_실행예산_양차장님(PRP, MOZART)" xfId="2874"/>
    <cellStyle name=" _수량및 단가 산출내용표_AC-05옥내기기기초_실행예산_양차장님(PRP, MOZART)_양차장님LINER 벽체단가(PRP, MOZART,사면절곡)" xfId="2875"/>
    <cellStyle name=" _수량및 단가 산출내용표_AC-05옥내기기기초_양차장님(PRP, MOZART)" xfId="2876"/>
    <cellStyle name=" _수량및 단가 산출내용표_AC-05옥내기기기초_양차장님(PRP, MOZART)_양차장님LINER 벽체단가(PRP, MOZART,사면절곡)" xfId="2877"/>
    <cellStyle name=" _수량및 단가 산출내용표_AC-07_HRSG건물철골설치및마감공사_061031_RA" xfId="2878"/>
    <cellStyle name=" _수량및 단가 산출내용표_AC-08_보조보일러건물신축공사_061031_RA" xfId="2879"/>
    <cellStyle name=" _수량및 단가 산출내용표_AC-08_보조보일러건물신축공사_061031_RA(HVAC추가_061108)" xfId="2880"/>
    <cellStyle name=" _수량및 단가 산출내용표_AC-08_보조보일러건물신축공사_061031_RA(HVAC추가_061108)_AC-08_보조보일러건물신축공사_061031_RA" xfId="2881"/>
    <cellStyle name=" _수량및 단가 산출내용표_AC-08_보조보일러건물신축공사_061031_RA(HVAC추가_061108)_AC-09_수처리및폐수처리건물신축공사_061031_RA" xfId="2882"/>
    <cellStyle name=" _수량및 단가 산출내용표_AC-09_수처리및폐수처리건물신축공사_061031_RA" xfId="2883"/>
    <cellStyle name=" _수량및 단가 산출내용표_AC-09_수처리및폐수처리건물신축공사_061031_RA(HVAC확인_061114)" xfId="2884"/>
    <cellStyle name=" _수량및 단가 산출내용표_AC-10_염소주입실신축공사_061031_RA" xfId="2885"/>
    <cellStyle name=" _수량및 단가 산출내용표_AC-14건설사무소환경개선공사설계서(제출)REV10" xfId="2886"/>
    <cellStyle name=" _수량및 단가 산출내용표_AC-14건설사무소환경개선공사설계서(제출)REV10_1-온배수 양식장 가설계서" xfId="2887"/>
    <cellStyle name=" _수량및 단가 산출내용표_AC-14건설사무소환경개선공사설계서(제출)REV10_AC-14(최종수정)" xfId="2888"/>
    <cellStyle name=" _수량및 단가 산출내용표_AC-14건설사무소환경개선공사설계서(제출)REV10_AC-14(최종수정)_1-온배수 양식장 가설계서" xfId="2889"/>
    <cellStyle name=" _수량및 단가 산출내용표_AC-14건설사무소환경개선공사설계서(제출)REV10_AC-14(최종수정)_Book1" xfId="2890"/>
    <cellStyle name=" _수량및 단가 산출내용표_AC-14건설사무소환경개선공사설계서(제출)REV10_AC-14(최종수정)_경상정비 가설계서(12.07)" xfId="2891"/>
    <cellStyle name=" _수량및 단가 산출내용표_AC-14건설사무소환경개선공사설계서(제출)REV10_AC-14(최종수정)_경상정비 설계서(최종결재본)" xfId="2892"/>
    <cellStyle name=" _수량및 단가 산출내용표_AC-14건설사무소환경개선공사설계서(제출)REV10_AC-14(최종수정)_경상정비 설계서(최종분11월19)" xfId="2893"/>
    <cellStyle name=" _수량및 단가 산출내용표_AC-14건설사무소환경개선공사설계서(제출)REV10_AC-14(최종수정)_발전설비 보수공사" xfId="2894"/>
    <cellStyle name=" _수량및 단가 산출내용표_AC-14건설사무소환경개선공사설계서(제출)REV10_AC-14(최종수정)_발전설비 보수공사_1-온배수 양식장 가설계서" xfId="2895"/>
    <cellStyle name=" _수량및 단가 산출내용표_AC-14건설사무소환경개선공사설계서(제출)REV10_AC-14(최종수정)_발전설비 보수공사_Book1" xfId="2896"/>
    <cellStyle name=" _수량및 단가 산출내용표_AC-14건설사무소환경개선공사설계서(제출)REV10_AC-14(최종수정)_발전설비 보수공사_경상정비 가설계서(12.07)" xfId="2897"/>
    <cellStyle name=" _수량및 단가 산출내용표_AC-14건설사무소환경개선공사설계서(제출)REV10_AC-14(최종수정)_발전설비 보수공사_경상정비 설계서(최종결재본)" xfId="2898"/>
    <cellStyle name=" _수량및 단가 산출내용표_AC-14건설사무소환경개선공사설계서(제출)REV10_AC-14(최종수정)_발전설비 보수공사_경상정비 설계서(최종분11월19)" xfId="2899"/>
    <cellStyle name=" _수량및 단가 산출내용표_AC-14건설사무소환경개선공사설계서(제출)REV10_AC-14(최종수정)_발전설비 보수공사_부품" xfId="2900"/>
    <cellStyle name=" _수량및 단가 산출내용표_AC-14건설사무소환경개선공사설계서(제출)REV10_AC-14(최종수정)_부품" xfId="2901"/>
    <cellStyle name=" _수량및 단가 산출내용표_AC-14건설사무소환경개선공사설계서(제출)REV10_Book1" xfId="2902"/>
    <cellStyle name=" _수량및 단가 산출내용표_AC-14건설사무소환경개선공사설계서(제출)REV10_경상정비 가설계서(12.07)" xfId="2903"/>
    <cellStyle name=" _수량및 단가 산출내용표_AC-14건설사무소환경개선공사설계서(제출)REV10_경상정비 설계서(최종결재본)" xfId="2904"/>
    <cellStyle name=" _수량및 단가 산출내용표_AC-14건설사무소환경개선공사설계서(제출)REV10_경상정비 설계서(최종분11월19)" xfId="2905"/>
    <cellStyle name=" _수량및 단가 산출내용표_AC-14건설사무소환경개선공사설계서(제출)REV10_부품" xfId="2906"/>
    <cellStyle name=" _수량및 단가 산출내용표_Book1" xfId="2907"/>
    <cellStyle name=" _수량및 단가 산출내용표_FRP단가견적(125%적용)" xfId="2908"/>
    <cellStyle name=" _수량및 단가 산출내용표_F메탈-T메탈 평판넬" xfId="2909"/>
    <cellStyle name=" _수량및 단가 산출내용표_F메탈판넬" xfId="2910"/>
    <cellStyle name=" _수량및 단가 산출내용표_GUTTER(STS 1.5T)" xfId="2911"/>
    <cellStyle name=" _수량및 단가 산출내용표_pkg별설계가집계(태안7.8호기)" xfId="2912"/>
    <cellStyle name=" _수량및 단가 산출내용표_pkg별설계가집계(태안7.8호기)_PRP-500 TYPE" xfId="2913"/>
    <cellStyle name=" _수량및 단가 산출내용표_pkg별설계가집계(태안7.8호기)_남부, 석산정거장(익진ENG 실행)" xfId="2914"/>
    <cellStyle name=" _수량및 단가 산출내용표_pkg별설계가집계(태안7.8호기)_남부, 석산정거장PRP-500(Double)내역포함" xfId="2915"/>
    <cellStyle name=" _수량및 단가 산출내용표_pkg별설계가집계(태안7.8호기)_양차장님(PRP, MOZART)" xfId="2916"/>
    <cellStyle name=" _수량및 단가 산출내용표_pkg별설계가집계(태안7.8호기)_양차장님(PRP, MOZART)_양차장님LINER 벽체단가(PRP, MOZART,사면절곡)" xfId="2917"/>
    <cellStyle name=" _수량및 단가 산출내용표_PRP-500 TYPE" xfId="2918"/>
    <cellStyle name=" _수량및 단가 산출내용표_Songdo Convention Center 신축공사(060106제출수정본)" xfId="2919"/>
    <cellStyle name=" _수량및 단가 산출내용표_간지" xfId="2920"/>
    <cellStyle name=" _수량및 단가 산출내용표_간지_325전기설비기초" xfId="2921"/>
    <cellStyle name=" _수량및 단가 산출내용표_간지_325전기설비기초_PRP-500 TYPE" xfId="2922"/>
    <cellStyle name=" _수량및 단가 산출내용표_간지_325전기설비기초_공사비집계표(품의용)" xfId="2923"/>
    <cellStyle name=" _수량및 단가 산출내용표_간지_325전기설비기초_공사비집계표(품의용)_PRP-500 TYPE" xfId="2924"/>
    <cellStyle name=" _수량및 단가 산출내용표_간지_325전기설비기초_공사비집계표(품의용)_남부, 석산정거장(익진ENG 실행)" xfId="2925"/>
    <cellStyle name=" _수량및 단가 산출내용표_간지_325전기설비기초_공사비집계표(품의용)_남부, 석산정거장PRP-500(Double)내역포함" xfId="2926"/>
    <cellStyle name=" _수량및 단가 산출내용표_간지_325전기설비기초_공사비집계표(품의용)_양차장님(PRP, MOZART)" xfId="2927"/>
    <cellStyle name=" _수량및 단가 산출내용표_간지_325전기설비기초_공사비집계표(품의용)_양차장님(PRP, MOZART)_양차장님LINER 벽체단가(PRP, MOZART,사면절곡)" xfId="2928"/>
    <cellStyle name=" _수량및 단가 산출내용표_간지_325전기설비기초_남부, 석산정거장(익진ENG 실행)" xfId="2929"/>
    <cellStyle name=" _수량및 단가 산출내용표_간지_325전기설비기초_남부, 석산정거장PRP-500(Double)내역포함" xfId="2930"/>
    <cellStyle name=" _수량및 단가 산출내용표_간지_325전기설비기초_양차장님(PRP, MOZART)" xfId="2931"/>
    <cellStyle name=" _수량및 단가 산출내용표_간지_325전기설비기초_양차장님(PRP, MOZART)_양차장님LINER 벽체단가(PRP, MOZART,사면절곡)" xfId="2932"/>
    <cellStyle name=" _수량및 단가 산출내용표_간지_329전기설비기초-비교" xfId="2933"/>
    <cellStyle name=" _수량및 단가 산출내용표_간지_329전기설비기초-비교_PRP-500 TYPE" xfId="2934"/>
    <cellStyle name=" _수량및 단가 산출내용표_간지_329전기설비기초-비교_남부, 석산정거장(익진ENG 실행)" xfId="2935"/>
    <cellStyle name=" _수량및 단가 산출내용표_간지_329전기설비기초-비교_남부, 석산정거장PRP-500(Double)내역포함" xfId="2936"/>
    <cellStyle name=" _수량및 단가 산출내용표_간지_329전기설비기초-비교_양차장님(PRP, MOZART)" xfId="2937"/>
    <cellStyle name=" _수량및 단가 산출내용표_간지_329전기설비기초-비교_양차장님(PRP, MOZART)_양차장님LINER 벽체단가(PRP, MOZART,사면절곡)" xfId="2938"/>
    <cellStyle name=" _수량및 단가 산출내용표_간지_AC-01 보일러 설계서 수정" xfId="2939"/>
    <cellStyle name=" _수량및 단가 산출내용표_간지_AC-01 보일러 설계서 수정_AC-14(최종수정)" xfId="2940"/>
    <cellStyle name=" _수량및 단가 산출내용표_간지_AC-01 보일러 설계서 수정_AC-14(최종수정)_Book1" xfId="2941"/>
    <cellStyle name=" _수량및 단가 산출내용표_간지_AC-01 보일러 설계서 수정_AC-14(최종수정)_발전설비 보수공사" xfId="2942"/>
    <cellStyle name=" _수량및 단가 산출내용표_간지_AC-01 보일러 설계서 수정_AC-14(최종수정)_발전설비 보수공사_Book1" xfId="2943"/>
    <cellStyle name=" _수량및 단가 산출내용표_간지_AC-01 보일러 설계서 수정_Book1" xfId="2944"/>
    <cellStyle name=" _수량및 단가 산출내용표_간지_AC-01 본관기초(가설계서 9월단가)" xfId="2945"/>
    <cellStyle name=" _수량및 단가 산출내용표_간지_AC-01 본관기초(가설계서 9월단가)_AC-14(최종수정)" xfId="2952"/>
    <cellStyle name=" _수량및 단가 산출내용표_간지_AC-01 본관기초(가설계서 9월단가)_AC-14(최종수정)_Book1" xfId="2953"/>
    <cellStyle name=" _수량및 단가 산출내용표_간지_AC-01 본관기초(가설계서 9월단가)_AC-14(최종수정)_발전설비 보수공사" xfId="2954"/>
    <cellStyle name=" _수량및 단가 산출내용표_간지_AC-01 본관기초(가설계서 9월단가)_AC-14(최종수정)_발전설비 보수공사_Book1" xfId="2955"/>
    <cellStyle name=" _수량및 단가 산출내용표_간지_AC-01 본관기초(가설계서 9월단가)_Book1" xfId="2956"/>
    <cellStyle name=" _수량및 단가 산출내용표_간지_AC-01 본관기초(가설계서 9월단가)-2" xfId="2946"/>
    <cellStyle name=" _수량및 단가 산출내용표_간지_AC-01 본관기초(가설계서 9월단가)-2_AC-14(최종수정)" xfId="2947"/>
    <cellStyle name=" _수량및 단가 산출내용표_간지_AC-01 본관기초(가설계서 9월단가)-2_AC-14(최종수정)_Book1" xfId="2948"/>
    <cellStyle name=" _수량및 단가 산출내용표_간지_AC-01 본관기초(가설계서 9월단가)-2_AC-14(최종수정)_발전설비 보수공사" xfId="2949"/>
    <cellStyle name=" _수량및 단가 산출내용표_간지_AC-01 본관기초(가설계서 9월단가)-2_AC-14(최종수정)_발전설비 보수공사_Book1" xfId="2950"/>
    <cellStyle name=" _수량및 단가 산출내용표_간지_AC-01 본관기초(가설계서 9월단가)-2_Book1" xfId="2951"/>
    <cellStyle name=" _수량및 단가 산출내용표_간지_AC-14건설사무소환경개선공사설계서(제출)REV10" xfId="2957"/>
    <cellStyle name=" _수량및 단가 산출내용표_간지_AC-14건설사무소환경개선공사설계서(제출)REV10_AC-14(최종수정)" xfId="2958"/>
    <cellStyle name=" _수량및 단가 산출내용표_간지_AC-14건설사무소환경개선공사설계서(제출)REV10_AC-14(최종수정)_Book1" xfId="2959"/>
    <cellStyle name=" _수량및 단가 산출내용표_간지_AC-14건설사무소환경개선공사설계서(제출)REV10_AC-14(최종수정)_발전설비 보수공사" xfId="2960"/>
    <cellStyle name=" _수량및 단가 산출내용표_간지_AC-14건설사무소환경개선공사설계서(제출)REV10_AC-14(최종수정)_발전설비 보수공사_Book1" xfId="2961"/>
    <cellStyle name=" _수량및 단가 산출내용표_간지_AC-14건설사무소환경개선공사설계서(제출)REV10_Book1" xfId="2962"/>
    <cellStyle name=" _수량및 단가 산출내용표_간지_Book1" xfId="2963"/>
    <cellStyle name=" _수량및 단가 산출내용표_간지_PRP-500 TYPE" xfId="2964"/>
    <cellStyle name=" _수량및 단가 산출내용표_간지_Songdo Convention Center 신축공사(060106제출수정본)" xfId="2965"/>
    <cellStyle name=" _수량및 단가 산출내용표_간지_공사비집계표" xfId="2966"/>
    <cellStyle name=" _수량및 단가 산출내용표_간지_공사비집계표(품의용)" xfId="2967"/>
    <cellStyle name=" _수량및 단가 산출내용표_간지_공사비집계표(품의용)_PRP-500 TYPE" xfId="2968"/>
    <cellStyle name=" _수량및 단가 산출내용표_간지_공사비집계표(품의용)_남부, 석산정거장(익진ENG 실행)" xfId="2969"/>
    <cellStyle name=" _수량및 단가 산출내용표_간지_공사비집계표(품의용)_남부, 석산정거장PRP-500(Double)내역포함" xfId="2970"/>
    <cellStyle name=" _수량및 단가 산출내용표_간지_공사비집계표(품의용)_양차장님(PRP, MOZART)" xfId="2971"/>
    <cellStyle name=" _수량및 단가 산출내용표_간지_공사비집계표(품의용)_양차장님(PRP, MOZART)_양차장님LINER 벽체단가(PRP, MOZART,사면절곡)" xfId="2972"/>
    <cellStyle name=" _수량및 단가 산출내용표_간지_공사비집계표_AC-14(최종수정)" xfId="2973"/>
    <cellStyle name=" _수량및 단가 산출내용표_간지_공사비집계표_AC-14(최종수정)_Book1" xfId="2974"/>
    <cellStyle name=" _수량및 단가 산출내용표_간지_공사비집계표_AC-14(최종수정)_발전설비 보수공사" xfId="2975"/>
    <cellStyle name=" _수량및 단가 산출내용표_간지_공사비집계표_AC-14(최종수정)_발전설비 보수공사_Book1" xfId="2976"/>
    <cellStyle name=" _수량및 단가 산출내용표_간지_공사비집계표_Book1" xfId="2977"/>
    <cellStyle name=" _수량및 단가 산출내용표_간지_남부, 석산정거장(익진ENG 실행)" xfId="2978"/>
    <cellStyle name=" _수량및 단가 산출내용표_간지_남부, 석산정거장PRP-500(Double)내역포함" xfId="2979"/>
    <cellStyle name=" _수량및 단가 산출내용표_간지_대표공종 분류내역" xfId="2980"/>
    <cellStyle name=" _수량및 단가 산출내용표_간지_대표공종 분류내역_PRP-500 TYPE" xfId="2981"/>
    <cellStyle name=" _수량및 단가 산출내용표_간지_대표공종 분류내역_공사비집계표(품의용)" xfId="2982"/>
    <cellStyle name=" _수량및 단가 산출내용표_간지_대표공종 분류내역_공사비집계표(품의용)_PRP-500 TYPE" xfId="2983"/>
    <cellStyle name=" _수량및 단가 산출내용표_간지_대표공종 분류내역_공사비집계표(품의용)_남부, 석산정거장(익진ENG 실행)" xfId="2984"/>
    <cellStyle name=" _수량및 단가 산출내용표_간지_대표공종 분류내역_공사비집계표(품의용)_남부, 석산정거장PRP-500(Double)내역포함" xfId="2985"/>
    <cellStyle name=" _수량및 단가 산출내용표_간지_대표공종 분류내역_공사비집계표(품의용)_양차장님(PRP, MOZART)" xfId="2986"/>
    <cellStyle name=" _수량및 단가 산출내용표_간지_대표공종 분류내역_공사비집계표(품의용)_양차장님(PRP, MOZART)_양차장님LINER 벽체단가(PRP, MOZART,사면절곡)" xfId="2987"/>
    <cellStyle name=" _수량및 단가 산출내용표_간지_대표공종 분류내역_남부, 석산정거장(익진ENG 실행)" xfId="2988"/>
    <cellStyle name=" _수량및 단가 산출내용표_간지_대표공종 분류내역_남부, 석산정거장PRP-500(Double)내역포함" xfId="2989"/>
    <cellStyle name=" _수량및 단가 산출내용표_간지_대표공종 분류내역_냉각수배수로-비교" xfId="2990"/>
    <cellStyle name=" _수량및 단가 산출내용표_간지_대표공종 분류내역_냉각수배수로-비교_PRP-500 TYPE" xfId="2991"/>
    <cellStyle name=" _수량및 단가 산출내용표_간지_대표공종 분류내역_냉각수배수로-비교_남부, 석산정거장(익진ENG 실행)" xfId="2992"/>
    <cellStyle name=" _수량및 단가 산출내용표_간지_대표공종 분류내역_냉각수배수로-비교_남부, 석산정거장PRP-500(Double)내역포함" xfId="2993"/>
    <cellStyle name=" _수량및 단가 산출내용표_간지_대표공종 분류내역_냉각수배수로-비교_양차장님(PRP, MOZART)" xfId="2994"/>
    <cellStyle name=" _수량및 단가 산출내용표_간지_대표공종 분류내역_냉각수배수로-비교_양차장님(PRP, MOZART)_양차장님LINER 벽체단가(PRP, MOZART,사면절곡)" xfId="2995"/>
    <cellStyle name=" _수량및 단가 산출내용표_간지_대표공종 분류내역_냉각수취수펌프구조물-비교" xfId="2996"/>
    <cellStyle name=" _수량및 단가 산출내용표_간지_대표공종 분류내역_냉각수취수펌프구조물-비교_PRP-500 TYPE" xfId="2997"/>
    <cellStyle name=" _수량및 단가 산출내용표_간지_대표공종 분류내역_냉각수취수펌프구조물-비교_남부, 석산정거장(익진ENG 실행)" xfId="2998"/>
    <cellStyle name=" _수량및 단가 산출내용표_간지_대표공종 분류내역_냉각수취수펌프구조물-비교_남부, 석산정거장PRP-500(Double)내역포함" xfId="2999"/>
    <cellStyle name=" _수량및 단가 산출내용표_간지_대표공종 분류내역_냉각수취수펌프구조물-비교_양차장님(PRP, MOZART)" xfId="3000"/>
    <cellStyle name=" _수량및 단가 산출내용표_간지_대표공종 분류내역_냉각수취수펌프구조물-비교_양차장님(PRP, MOZART)_양차장님LINER 벽체단가(PRP, MOZART,사면절곡)" xfId="3001"/>
    <cellStyle name=" _수량및 단가 산출내용표_간지_대표공종 분류내역_양차장님(PRP, MOZART)" xfId="3002"/>
    <cellStyle name=" _수량및 단가 산출내용표_간지_대표공종 분류내역_양차장님(PRP, MOZART)_양차장님LINER 벽체단가(PRP, MOZART,사면절곡)" xfId="3003"/>
    <cellStyle name=" _수량및 단가 산출내용표_간지_대표공종분류" xfId="3004"/>
    <cellStyle name=" _수량및 단가 산출내용표_간지_대표공종분류_PRP-500 TYPE" xfId="3005"/>
    <cellStyle name=" _수량및 단가 산출내용표_간지_대표공종분류_공사비집계표(품의용)" xfId="3006"/>
    <cellStyle name=" _수량및 단가 산출내용표_간지_대표공종분류_공사비집계표(품의용)_PRP-500 TYPE" xfId="3007"/>
    <cellStyle name=" _수량및 단가 산출내용표_간지_대표공종분류_공사비집계표(품의용)_남부, 석산정거장(익진ENG 실행)" xfId="3008"/>
    <cellStyle name=" _수량및 단가 산출내용표_간지_대표공종분류_공사비집계표(품의용)_남부, 석산정거장PRP-500(Double)내역포함" xfId="3009"/>
    <cellStyle name=" _수량및 단가 산출내용표_간지_대표공종분류_공사비집계표(품의용)_양차장님(PRP, MOZART)" xfId="3010"/>
    <cellStyle name=" _수량및 단가 산출내용표_간지_대표공종분류_공사비집계표(품의용)_양차장님(PRP, MOZART)_양차장님LINER 벽체단가(PRP, MOZART,사면절곡)" xfId="3011"/>
    <cellStyle name=" _수량및 단가 산출내용표_간지_대표공종분류_남부, 석산정거장(익진ENG 실행)" xfId="3012"/>
    <cellStyle name=" _수량및 단가 산출내용표_간지_대표공종분류_남부, 석산정거장PRP-500(Double)내역포함" xfId="3013"/>
    <cellStyle name=" _수량및 단가 산출내용표_간지_대표공종분류_양차장님(PRP, MOZART)" xfId="3014"/>
    <cellStyle name=" _수량및 단가 산출내용표_간지_대표공종분류_양차장님(PRP, MOZART)_양차장님LINER 벽체단가(PRP, MOZART,사면절곡)" xfId="3015"/>
    <cellStyle name=" _수량및 단가 산출내용표_간지_발전설비 보수공사" xfId="3016"/>
    <cellStyle name=" _수량및 단가 산출내용표_간지_발전설비 보수공사_Book1" xfId="3017"/>
    <cellStyle name=" _수량및 단가 산출내용표_간지_보일러판넬현장설명회(배부용)" xfId="3018"/>
    <cellStyle name=" _수량및 단가 산출내용표_간지_본관기초굴착(단가)" xfId="3019"/>
    <cellStyle name=" _수량및 단가 산출내용표_간지_본관기초굴착(단가)_PRP-500 TYPE" xfId="3020"/>
    <cellStyle name=" _수량및 단가 산출내용표_간지_본관기초굴착(단가)_남부, 석산정거장(익진ENG 실행)" xfId="3021"/>
    <cellStyle name=" _수량및 단가 산출내용표_간지_본관기초굴착(단가)_남부, 석산정거장PRP-500(Double)내역포함" xfId="3022"/>
    <cellStyle name=" _수량및 단가 산출내용표_간지_본관기초굴착(단가)_양차장님(PRP, MOZART)" xfId="3023"/>
    <cellStyle name=" _수량및 단가 산출내용표_간지_본관기초굴착(단가)_양차장님(PRP, MOZART)_양차장님LINER 벽체단가(PRP, MOZART,사면절곡)" xfId="3024"/>
    <cellStyle name=" _수량및 단가 산출내용표_간지_사급및확정분공통품" xfId="3025"/>
    <cellStyle name=" _수량및 단가 산출내용표_간지_사급및확정분공통품_보일러판넬현장설명회(배부용)" xfId="3026"/>
    <cellStyle name=" _수량및 단가 산출내용표_간지_사급자재총괄표" xfId="3027"/>
    <cellStyle name=" _수량및 단가 산출내용표_간지_사급자재총괄표_PRP-500 TYPE" xfId="3028"/>
    <cellStyle name=" _수량및 단가 산출내용표_간지_사급자재총괄표_공사비집계표(품의용)" xfId="3029"/>
    <cellStyle name=" _수량및 단가 산출내용표_간지_사급자재총괄표_공사비집계표(품의용)_PRP-500 TYPE" xfId="3030"/>
    <cellStyle name=" _수량및 단가 산출내용표_간지_사급자재총괄표_공사비집계표(품의용)_남부, 석산정거장(익진ENG 실행)" xfId="3031"/>
    <cellStyle name=" _수량및 단가 산출내용표_간지_사급자재총괄표_공사비집계표(품의용)_남부, 석산정거장PRP-500(Double)내역포함" xfId="3032"/>
    <cellStyle name=" _수량및 단가 산출내용표_간지_사급자재총괄표_공사비집계표(품의용)_양차장님(PRP, MOZART)" xfId="3033"/>
    <cellStyle name=" _수량및 단가 산출내용표_간지_사급자재총괄표_공사비집계표(품의용)_양차장님(PRP, MOZART)_양차장님LINER 벽체단가(PRP, MOZART,사면절곡)" xfId="3034"/>
    <cellStyle name=" _수량및 단가 산출내용표_간지_사급자재총괄표_남부, 석산정거장(익진ENG 실행)" xfId="3035"/>
    <cellStyle name=" _수량및 단가 산출내용표_간지_사급자재총괄표_남부, 석산정거장PRP-500(Double)내역포함" xfId="3036"/>
    <cellStyle name=" _수량및 단가 산출내용표_간지_사급자재총괄표_양차장님(PRP, MOZART)" xfId="3037"/>
    <cellStyle name=" _수량및 단가 산출내용표_간지_사급자재총괄표_양차장님(PRP, MOZART)_양차장님LINER 벽체단가(PRP, MOZART,사면절곡)" xfId="3038"/>
    <cellStyle name=" _수량및 단가 산출내용표_간지_설계개요" xfId="3039"/>
    <cellStyle name=" _수량및 단가 산출내용표_간지_설계개요_PRP-500 TYPE" xfId="3040"/>
    <cellStyle name=" _수량및 단가 산출내용표_간지_설계개요_공사비집계표(품의용)" xfId="3041"/>
    <cellStyle name=" _수량및 단가 산출내용표_간지_설계개요_공사비집계표(품의용)_PRP-500 TYPE" xfId="3042"/>
    <cellStyle name=" _수량및 단가 산출내용표_간지_설계개요_공사비집계표(품의용)_남부, 석산정거장(익진ENG 실행)" xfId="3043"/>
    <cellStyle name=" _수량및 단가 산출내용표_간지_설계개요_공사비집계표(품의용)_남부, 석산정거장PRP-500(Double)내역포함" xfId="3044"/>
    <cellStyle name=" _수량및 단가 산출내용표_간지_설계개요_공사비집계표(품의용)_양차장님(PRP, MOZART)" xfId="3045"/>
    <cellStyle name=" _수량및 단가 산출내용표_간지_설계개요_공사비집계표(품의용)_양차장님(PRP, MOZART)_양차장님LINER 벽체단가(PRP, MOZART,사면절곡)" xfId="3046"/>
    <cellStyle name=" _수량및 단가 산출내용표_간지_설계개요_남부, 석산정거장(익진ENG 실행)" xfId="3047"/>
    <cellStyle name=" _수량및 단가 산출내용표_간지_설계개요_남부, 석산정거장PRP-500(Double)내역포함" xfId="3048"/>
    <cellStyle name=" _수량및 단가 산출내용표_간지_설계개요_냉각수배수로-비교" xfId="3049"/>
    <cellStyle name=" _수량및 단가 산출내용표_간지_설계개요_냉각수배수로-비교_PRP-500 TYPE" xfId="3050"/>
    <cellStyle name=" _수량및 단가 산출내용표_간지_설계개요_냉각수배수로-비교_남부, 석산정거장(익진ENG 실행)" xfId="3051"/>
    <cellStyle name=" _수량및 단가 산출내용표_간지_설계개요_냉각수배수로-비교_남부, 석산정거장PRP-500(Double)내역포함" xfId="3052"/>
    <cellStyle name=" _수량및 단가 산출내용표_간지_설계개요_냉각수배수로-비교_양차장님(PRP, MOZART)" xfId="3053"/>
    <cellStyle name=" _수량및 단가 산출내용표_간지_설계개요_냉각수배수로-비교_양차장님(PRP, MOZART)_양차장님LINER 벽체단가(PRP, MOZART,사면절곡)" xfId="3054"/>
    <cellStyle name=" _수량및 단가 산출내용표_간지_설계개요_냉각수취수펌프구조물-비교" xfId="3055"/>
    <cellStyle name=" _수량및 단가 산출내용표_간지_설계개요_냉각수취수펌프구조물-비교_PRP-500 TYPE" xfId="3056"/>
    <cellStyle name=" _수량및 단가 산출내용표_간지_설계개요_냉각수취수펌프구조물-비교_남부, 석산정거장(익진ENG 실행)" xfId="3057"/>
    <cellStyle name=" _수량및 단가 산출내용표_간지_설계개요_냉각수취수펌프구조물-비교_남부, 석산정거장PRP-500(Double)내역포함" xfId="3058"/>
    <cellStyle name=" _수량및 단가 산출내용표_간지_설계개요_냉각수취수펌프구조물-비교_양차장님(PRP, MOZART)" xfId="3059"/>
    <cellStyle name=" _수량및 단가 산출내용표_간지_설계개요_냉각수취수펌프구조물-비교_양차장님(PRP, MOZART)_양차장님LINER 벽체단가(PRP, MOZART,사면절곡)" xfId="3060"/>
    <cellStyle name=" _수량및 단가 산출내용표_간지_설계개요_양차장님(PRP, MOZART)" xfId="3061"/>
    <cellStyle name=" _수량및 단가 산출내용표_간지_설계개요_양차장님(PRP, MOZART)_양차장님LINER 벽체단가(PRP, MOZART,사면절곡)" xfId="3062"/>
    <cellStyle name=" _수량및 단가 산출내용표_간지_설계명세서" xfId="3063"/>
    <cellStyle name=" _수량및 단가 산출내용표_간지_설계명세서_325전기설비기초" xfId="3064"/>
    <cellStyle name=" _수량및 단가 산출내용표_간지_설계명세서_325전기설비기초_PRP-500 TYPE" xfId="3065"/>
    <cellStyle name=" _수량및 단가 산출내용표_간지_설계명세서_325전기설비기초_공사비집계표(품의용)" xfId="3066"/>
    <cellStyle name=" _수량및 단가 산출내용표_간지_설계명세서_325전기설비기초_공사비집계표(품의용)_PRP-500 TYPE" xfId="3067"/>
    <cellStyle name=" _수량및 단가 산출내용표_간지_설계명세서_325전기설비기초_공사비집계표(품의용)_남부, 석산정거장(익진ENG 실행)" xfId="3068"/>
    <cellStyle name=" _수량및 단가 산출내용표_간지_설계명세서_325전기설비기초_공사비집계표(품의용)_남부, 석산정거장PRP-500(Double)내역포함" xfId="3069"/>
    <cellStyle name=" _수량및 단가 산출내용표_간지_설계명세서_325전기설비기초_공사비집계표(품의용)_양차장님(PRP, MOZART)" xfId="3070"/>
    <cellStyle name=" _수량및 단가 산출내용표_간지_설계명세서_325전기설비기초_공사비집계표(품의용)_양차장님(PRP, MOZART)_양차장님LINER 벽체단가(PRP, MOZART,사면절곡)" xfId="3071"/>
    <cellStyle name=" _수량및 단가 산출내용표_간지_설계명세서_325전기설비기초_남부, 석산정거장(익진ENG 실행)" xfId="3072"/>
    <cellStyle name=" _수량및 단가 산출내용표_간지_설계명세서_325전기설비기초_남부, 석산정거장PRP-500(Double)내역포함" xfId="3073"/>
    <cellStyle name=" _수량및 단가 산출내용표_간지_설계명세서_325전기설비기초_양차장님(PRP, MOZART)" xfId="3074"/>
    <cellStyle name=" _수량및 단가 산출내용표_간지_설계명세서_325전기설비기초_양차장님(PRP, MOZART)_양차장님LINER 벽체단가(PRP, MOZART,사면절곡)" xfId="3075"/>
    <cellStyle name=" _수량및 단가 산출내용표_간지_설계명세서_PRP-500 TYPE" xfId="3076"/>
    <cellStyle name=" _수량및 단가 산출내용표_간지_설계명세서_공사비집계표(품의용)" xfId="3077"/>
    <cellStyle name=" _수량및 단가 산출내용표_간지_설계명세서_공사비집계표(품의용)_PRP-500 TYPE" xfId="3078"/>
    <cellStyle name=" _수량및 단가 산출내용표_간지_설계명세서_공사비집계표(품의용)_남부, 석산정거장(익진ENG 실행)" xfId="3079"/>
    <cellStyle name=" _수량및 단가 산출내용표_간지_설계명세서_공사비집계표(품의용)_남부, 석산정거장PRP-500(Double)내역포함" xfId="3080"/>
    <cellStyle name=" _수량및 단가 산출내용표_간지_설계명세서_공사비집계표(품의용)_양차장님(PRP, MOZART)" xfId="3081"/>
    <cellStyle name=" _수량및 단가 산출내용표_간지_설계명세서_공사비집계표(품의용)_양차장님(PRP, MOZART)_양차장님LINER 벽체단가(PRP, MOZART,사면절곡)" xfId="3082"/>
    <cellStyle name=" _수량및 단가 산출내용표_간지_설계명세서_남부, 석산정거장(익진ENG 실행)" xfId="3083"/>
    <cellStyle name=" _수량및 단가 산출내용표_간지_설계명세서_남부, 석산정거장PRP-500(Double)내역포함" xfId="3084"/>
    <cellStyle name=" _수량및 단가 산출내용표_간지_설계명세서_냉각수배수로-비교" xfId="3085"/>
    <cellStyle name=" _수량및 단가 산출내용표_간지_설계명세서_냉각수배수로-비교_PRP-500 TYPE" xfId="3086"/>
    <cellStyle name=" _수량및 단가 산출내용표_간지_설계명세서_냉각수배수로-비교_남부, 석산정거장(익진ENG 실행)" xfId="3087"/>
    <cellStyle name=" _수량및 단가 산출내용표_간지_설계명세서_냉각수배수로-비교_남부, 석산정거장PRP-500(Double)내역포함" xfId="3088"/>
    <cellStyle name=" _수량및 단가 산출내용표_간지_설계명세서_냉각수배수로-비교_양차장님(PRP, MOZART)" xfId="3089"/>
    <cellStyle name=" _수량및 단가 산출내용표_간지_설계명세서_냉각수배수로-비교_양차장님(PRP, MOZART)_양차장님LINER 벽체단가(PRP, MOZART,사면절곡)" xfId="3090"/>
    <cellStyle name=" _수량및 단가 산출내용표_간지_설계명세서_냉각수취수펌프구조물-비교" xfId="3091"/>
    <cellStyle name=" _수량및 단가 산출내용표_간지_설계명세서_냉각수취수펌프구조물-비교_PRP-500 TYPE" xfId="3092"/>
    <cellStyle name=" _수량및 단가 산출내용표_간지_설계명세서_냉각수취수펌프구조물-비교_남부, 석산정거장(익진ENG 실행)" xfId="3093"/>
    <cellStyle name=" _수량및 단가 산출내용표_간지_설계명세서_냉각수취수펌프구조물-비교_남부, 석산정거장PRP-500(Double)내역포함" xfId="3094"/>
    <cellStyle name=" _수량및 단가 산출내용표_간지_설계명세서_냉각수취수펌프구조물-비교_양차장님(PRP, MOZART)" xfId="3095"/>
    <cellStyle name=" _수량및 단가 산출내용표_간지_설계명세서_냉각수취수펌프구조물-비교_양차장님(PRP, MOZART)_양차장님LINER 벽체단가(PRP, MOZART,사면절곡)" xfId="3096"/>
    <cellStyle name=" _수량및 단가 산출내용표_간지_설계명세서_설계개요" xfId="3097"/>
    <cellStyle name=" _수량및 단가 산출내용표_간지_설계명세서_설계개요_PRP-500 TYPE" xfId="3098"/>
    <cellStyle name=" _수량및 단가 산출내용표_간지_설계명세서_설계개요_공사비집계표(품의용)" xfId="3099"/>
    <cellStyle name=" _수량및 단가 산출내용표_간지_설계명세서_설계개요_공사비집계표(품의용)_PRP-500 TYPE" xfId="3100"/>
    <cellStyle name=" _수량및 단가 산출내용표_간지_설계명세서_설계개요_공사비집계표(품의용)_남부, 석산정거장(익진ENG 실행)" xfId="3101"/>
    <cellStyle name=" _수량및 단가 산출내용표_간지_설계명세서_설계개요_공사비집계표(품의용)_남부, 석산정거장PRP-500(Double)내역포함" xfId="3102"/>
    <cellStyle name=" _수량및 단가 산출내용표_간지_설계명세서_설계개요_공사비집계표(품의용)_양차장님(PRP, MOZART)" xfId="3103"/>
    <cellStyle name=" _수량및 단가 산출내용표_간지_설계명세서_설계개요_공사비집계표(품의용)_양차장님(PRP, MOZART)_양차장님LINER 벽체단가(PRP, MOZART,사면절곡)" xfId="3104"/>
    <cellStyle name=" _수량및 단가 산출내용표_간지_설계명세서_설계개요_남부, 석산정거장(익진ENG 실행)" xfId="3105"/>
    <cellStyle name=" _수량및 단가 산출내용표_간지_설계명세서_설계개요_남부, 석산정거장PRP-500(Double)내역포함" xfId="3106"/>
    <cellStyle name=" _수량및 단가 산출내용표_간지_설계명세서_설계개요_양차장님(PRP, MOZART)" xfId="3107"/>
    <cellStyle name=" _수량및 단가 산출내용표_간지_설계명세서_설계개요_양차장님(PRP, MOZART)_양차장님LINER 벽체단가(PRP, MOZART,사면절곡)" xfId="3108"/>
    <cellStyle name=" _수량및 단가 산출내용표_간지_설계명세서_양차장님(PRP, MOZART)" xfId="3109"/>
    <cellStyle name=" _수량및 단가 산출내용표_간지_설계명세서_양차장님(PRP, MOZART)_양차장님LINER 벽체단가(PRP, MOZART,사면절곡)" xfId="3110"/>
    <cellStyle name=" _수량및 단가 산출내용표_간지_양차장님(PRP, MOZART)" xfId="3111"/>
    <cellStyle name=" _수량및 단가 산출내용표_간지_양차장님(PRP, MOZART)_양차장님LINER 벽체단가(PRP, MOZART,사면절곡)" xfId="3112"/>
    <cellStyle name=" _수량및 단가 산출내용표_간지_영흥#3,4 터빈발전기기초(AC-04)" xfId="3113"/>
    <cellStyle name=" _수량및 단가 산출내용표_간지_영흥34품셈" xfId="3114"/>
    <cellStyle name=" _수량및 단가 산출내용표_간지_영흥34품셈_보일러판넬현장설명회(배부용)" xfId="3115"/>
    <cellStyle name=" _수량및 단가 산출내용표_간지_옥외탱크기초(단가)" xfId="3116"/>
    <cellStyle name=" _수량및 단가 산출내용표_간지_옥외탱크기초(단가)_PRP-500 TYPE" xfId="3117"/>
    <cellStyle name=" _수량및 단가 산출내용표_간지_옥외탱크기초(단가)_공사비집계표(품의용)" xfId="3118"/>
    <cellStyle name=" _수량및 단가 산출내용표_간지_옥외탱크기초(단가)_공사비집계표(품의용)_PRP-500 TYPE" xfId="3119"/>
    <cellStyle name=" _수량및 단가 산출내용표_간지_옥외탱크기초(단가)_공사비집계표(품의용)_남부, 석산정거장(익진ENG 실행)" xfId="3120"/>
    <cellStyle name=" _수량및 단가 산출내용표_간지_옥외탱크기초(단가)_공사비집계표(품의용)_남부, 석산정거장PRP-500(Double)내역포함" xfId="3121"/>
    <cellStyle name=" _수량및 단가 산출내용표_간지_옥외탱크기초(단가)_공사비집계표(품의용)_양차장님(PRP, MOZART)" xfId="3122"/>
    <cellStyle name=" _수량및 단가 산출내용표_간지_옥외탱크기초(단가)_공사비집계표(품의용)_양차장님(PRP, MOZART)_양차장님LINER 벽체단가(PRP, MOZART,사면절곡)" xfId="3123"/>
    <cellStyle name=" _수량및 단가 산출내용표_간지_옥외탱크기초(단가)_남부, 석산정거장(익진ENG 실행)" xfId="3124"/>
    <cellStyle name=" _수량및 단가 산출내용표_간지_옥외탱크기초(단가)_남부, 석산정거장PRP-500(Double)내역포함" xfId="3125"/>
    <cellStyle name=" _수량및 단가 산출내용표_간지_옥외탱크기초(단가)_양차장님(PRP, MOZART)" xfId="3126"/>
    <cellStyle name=" _수량및 단가 산출내용표_간지_옥외탱크기초(단가)_양차장님(PRP, MOZART)_양차장님LINER 벽체단가(PRP, MOZART,사면절곡)" xfId="3127"/>
    <cellStyle name=" _수량및 단가 산출내용표_간지_옥외탱크기초-비교" xfId="3128"/>
    <cellStyle name=" _수량및 단가 산출내용표_간지_옥외탱크기초-비교_PRP-500 TYPE" xfId="3129"/>
    <cellStyle name=" _수량및 단가 산출내용표_간지_옥외탱크기초-비교_남부, 석산정거장(익진ENG 실행)" xfId="3130"/>
    <cellStyle name=" _수량및 단가 산출내용표_간지_옥외탱크기초-비교_남부, 석산정거장PRP-500(Double)내역포함" xfId="3131"/>
    <cellStyle name=" _수량및 단가 산출내용표_간지_옥외탱크기초-비교_양차장님(PRP, MOZART)" xfId="3132"/>
    <cellStyle name=" _수량및 단가 산출내용표_간지_옥외탱크기초-비교_양차장님(PRP, MOZART)_양차장님LINER 벽체단가(PRP, MOZART,사면절곡)" xfId="3133"/>
    <cellStyle name=" _수량및 단가 산출내용표_간지_조경(final)-비교" xfId="3134"/>
    <cellStyle name=" _수량및 단가 산출내용표_간지_조경(final)-비교_PRP-500 TYPE" xfId="3135"/>
    <cellStyle name=" _수량및 단가 산출내용표_간지_조경(final)-비교_남부, 석산정거장(익진ENG 실행)" xfId="3136"/>
    <cellStyle name=" _수량및 단가 산출내용표_간지_조경(final)-비교_남부, 석산정거장PRP-500(Double)내역포함" xfId="3137"/>
    <cellStyle name=" _수량및 단가 산출내용표_간지_조경(final)-비교_양차장님(PRP, MOZART)" xfId="3138"/>
    <cellStyle name=" _수량및 단가 산출내용표_간지_조경(final)-비교_양차장님(PRP, MOZART)_양차장님LINER 벽체단가(PRP, MOZART,사면절곡)" xfId="3139"/>
    <cellStyle name=" _수량및 단가 산출내용표_간지_추가품셈1" xfId="3140"/>
    <cellStyle name=" _수량및 단가 산출내용표_간지_추가품셈1_AC-01 보일러 설계서 수정" xfId="3147"/>
    <cellStyle name=" _수량및 단가 산출내용표_간지_추가품셈1_AC-01 보일러 설계서 수정_AC-14(최종수정)" xfId="3148"/>
    <cellStyle name=" _수량및 단가 산출내용표_간지_추가품셈1_AC-01 보일러 설계서 수정_AC-14(최종수정)_Book1" xfId="3149"/>
    <cellStyle name=" _수량및 단가 산출내용표_간지_추가품셈1_AC-01 보일러 설계서 수정_AC-14(최종수정)_발전설비 보수공사" xfId="3150"/>
    <cellStyle name=" _수량및 단가 산출내용표_간지_추가품셈1_AC-01 보일러 설계서 수정_AC-14(최종수정)_발전설비 보수공사_Book1" xfId="3151"/>
    <cellStyle name=" _수량및 단가 산출내용표_간지_추가품셈1_AC-01 보일러 설계서 수정_Book1" xfId="3152"/>
    <cellStyle name=" _수량및 단가 산출내용표_간지_추가품셈1_AC-01 본관기초(가설계서 9월단가)" xfId="3153"/>
    <cellStyle name=" _수량및 단가 산출내용표_간지_추가품셈1_AC-01 본관기초(가설계서 9월단가)_AC-14(최종수정)" xfId="3160"/>
    <cellStyle name=" _수량및 단가 산출내용표_간지_추가품셈1_AC-01 본관기초(가설계서 9월단가)_AC-14(최종수정)_Book1" xfId="3161"/>
    <cellStyle name=" _수량및 단가 산출내용표_간지_추가품셈1_AC-01 본관기초(가설계서 9월단가)_AC-14(최종수정)_발전설비 보수공사" xfId="3162"/>
    <cellStyle name=" _수량및 단가 산출내용표_간지_추가품셈1_AC-01 본관기초(가설계서 9월단가)_AC-14(최종수정)_발전설비 보수공사_Book1" xfId="3163"/>
    <cellStyle name=" _수량및 단가 산출내용표_간지_추가품셈1_AC-01 본관기초(가설계서 9월단가)_Book1" xfId="3164"/>
    <cellStyle name=" _수량및 단가 산출내용표_간지_추가품셈1_AC-01 본관기초(가설계서 9월단가)-2" xfId="3154"/>
    <cellStyle name=" _수량및 단가 산출내용표_간지_추가품셈1_AC-01 본관기초(가설계서 9월단가)-2_AC-14(최종수정)" xfId="3155"/>
    <cellStyle name=" _수량및 단가 산출내용표_간지_추가품셈1_AC-01 본관기초(가설계서 9월단가)-2_AC-14(최종수정)_Book1" xfId="3156"/>
    <cellStyle name=" _수량및 단가 산출내용표_간지_추가품셈1_AC-01 본관기초(가설계서 9월단가)-2_AC-14(최종수정)_발전설비 보수공사" xfId="3157"/>
    <cellStyle name=" _수량및 단가 산출내용표_간지_추가품셈1_AC-01 본관기초(가설계서 9월단가)-2_AC-14(최종수정)_발전설비 보수공사_Book1" xfId="3158"/>
    <cellStyle name=" _수량및 단가 산출내용표_간지_추가품셈1_AC-01 본관기초(가설계서 9월단가)-2_Book1" xfId="3159"/>
    <cellStyle name=" _수량및 단가 산출내용표_간지_추가품셈1_AC-14건설사무소환경개선공사설계서(제출)REV10" xfId="3165"/>
    <cellStyle name=" _수량및 단가 산출내용표_간지_추가품셈1_AC-14건설사무소환경개선공사설계서(제출)REV10_AC-14(최종수정)" xfId="3166"/>
    <cellStyle name=" _수량및 단가 산출내용표_간지_추가품셈1_AC-14건설사무소환경개선공사설계서(제출)REV10_AC-14(최종수정)_Book1" xfId="3167"/>
    <cellStyle name=" _수량및 단가 산출내용표_간지_추가품셈1_AC-14건설사무소환경개선공사설계서(제출)REV10_AC-14(최종수정)_발전설비 보수공사" xfId="3168"/>
    <cellStyle name=" _수량및 단가 산출내용표_간지_추가품셈1_AC-14건설사무소환경개선공사설계서(제출)REV10_AC-14(최종수정)_발전설비 보수공사_Book1" xfId="3169"/>
    <cellStyle name=" _수량및 단가 산출내용표_간지_추가품셈1_AC-14건설사무소환경개선공사설계서(제출)REV10_Book1" xfId="3170"/>
    <cellStyle name=" _수량및 단가 산출내용표_간지_추가품셈1_Book1" xfId="3171"/>
    <cellStyle name=" _수량및 단가 산출내용표_간지_추가품셈1_PRP-500 TYPE" xfId="3172"/>
    <cellStyle name=" _수량및 단가 산출내용표_간지_추가품셈1_Songdo Convention Center 신축공사(060106제출수정본)" xfId="3173"/>
    <cellStyle name=" _수량및 단가 산출내용표_간지_추가품셈1_공사비집계표" xfId="3174"/>
    <cellStyle name=" _수량및 단가 산출내용표_간지_추가품셈1_공사비집계표(품의용)" xfId="3175"/>
    <cellStyle name=" _수량및 단가 산출내용표_간지_추가품셈1_공사비집계표(품의용)_PRP-500 TYPE" xfId="3176"/>
    <cellStyle name=" _수량및 단가 산출내용표_간지_추가품셈1_공사비집계표(품의용)_남부, 석산정거장(익진ENG 실행)" xfId="3177"/>
    <cellStyle name=" _수량및 단가 산출내용표_간지_추가품셈1_공사비집계표(품의용)_남부, 석산정거장PRP-500(Double)내역포함" xfId="3178"/>
    <cellStyle name=" _수량및 단가 산출내용표_간지_추가품셈1_공사비집계표(품의용)_양차장님(PRP, MOZART)" xfId="3179"/>
    <cellStyle name=" _수량및 단가 산출내용표_간지_추가품셈1_공사비집계표(품의용)_양차장님(PRP, MOZART)_양차장님LINER 벽체단가(PRP, MOZART,사면절곡)" xfId="3180"/>
    <cellStyle name=" _수량및 단가 산출내용표_간지_추가품셈1_공사비집계표_AC-14(최종수정)" xfId="3181"/>
    <cellStyle name=" _수량및 단가 산출내용표_간지_추가품셈1_공사비집계표_AC-14(최종수정)_Book1" xfId="3182"/>
    <cellStyle name=" _수량및 단가 산출내용표_간지_추가품셈1_공사비집계표_AC-14(최종수정)_발전설비 보수공사" xfId="3183"/>
    <cellStyle name=" _수량및 단가 산출내용표_간지_추가품셈1_공사비집계표_AC-14(최종수정)_발전설비 보수공사_Book1" xfId="3184"/>
    <cellStyle name=" _수량및 단가 산출내용표_간지_추가품셈1_공사비집계표_Book1" xfId="3185"/>
    <cellStyle name=" _수량및 단가 산출내용표_간지_추가품셈1_남부, 석산정거장(익진ENG 실행)" xfId="3186"/>
    <cellStyle name=" _수량및 단가 산출내용표_간지_추가품셈1_남부, 석산정거장PRP-500(Double)내역포함" xfId="3187"/>
    <cellStyle name=" _수량및 단가 산출내용표_간지_추가품셈1_발전설비 보수공사" xfId="3188"/>
    <cellStyle name=" _수량및 단가 산출내용표_간지_추가품셈1_발전설비 보수공사_Book1" xfId="3189"/>
    <cellStyle name=" _수량및 단가 산출내용표_간지_추가품셈1_보일러판넬현장설명회(배부용)" xfId="3190"/>
    <cellStyle name=" _수량및 단가 산출내용표_간지_추가품셈1_양차장님(PRP, MOZART)" xfId="3191"/>
    <cellStyle name=" _수량및 단가 산출내용표_간지_추가품셈1_양차장님(PRP, MOZART)_양차장님LINER 벽체단가(PRP, MOZART,사면절곡)" xfId="3192"/>
    <cellStyle name=" _수량및 단가 산출내용표_간지_추가품셈1_영흥#3,4 터빈발전기기초(AC-04)" xfId="3193"/>
    <cellStyle name=" _수량및 단가 산출내용표_간지_추가품셈1-박" xfId="3141"/>
    <cellStyle name=" _수량및 단가 산출내용표_간지_추가품셈1-박_PRP-500 TYPE" xfId="3142"/>
    <cellStyle name=" _수량및 단가 산출내용표_간지_추가품셈1-박_남부, 석산정거장(익진ENG 실행)" xfId="3143"/>
    <cellStyle name=" _수량및 단가 산출내용표_간지_추가품셈1-박_남부, 석산정거장PRP-500(Double)내역포함" xfId="3144"/>
    <cellStyle name=" _수량및 단가 산출내용표_간지_추가품셈1-박_양차장님(PRP, MOZART)" xfId="3145"/>
    <cellStyle name=" _수량및 단가 산출내용표_간지_추가품셈1-박_양차장님(PRP, MOZART)_양차장님LINER 벽체단가(PRP, MOZART,사면절곡)" xfId="3146"/>
    <cellStyle name=" _수량및 단가 산출내용표_건축보령7,8(총액확정)" xfId="3194"/>
    <cellStyle name=" _수량및 단가 산출내용표_건축보령7,8(총액확정)_PRP-500 TYPE" xfId="3195"/>
    <cellStyle name=" _수량및 단가 산출내용표_건축보령7,8(총액확정)_남부, 석산정거장(익진ENG 실행)" xfId="3196"/>
    <cellStyle name=" _수량및 단가 산출내용표_건축보령7,8(총액확정)_남부, 석산정거장PRP-500(Double)내역포함" xfId="3197"/>
    <cellStyle name=" _수량및 단가 산출내용표_건축보령7,8(총액확정)_양차장님(PRP, MOZART)" xfId="3198"/>
    <cellStyle name=" _수량및 단가 산출내용표_건축보령7,8(총액확정)_양차장님(PRP, MOZART)_양차장님LINER 벽체단가(PRP, MOZART,사면절곡)" xfId="3199"/>
    <cellStyle name=" _수량및 단가 산출내용표_경상정비 가설계서(12.07)" xfId="3200"/>
    <cellStyle name=" _수량및 단가 산출내용표_경상정비 설계서(최종결재본)" xfId="3201"/>
    <cellStyle name=" _수량및 단가 산출내용표_경상정비 설계서(최종분11월19)" xfId="3202"/>
    <cellStyle name=" _수량및 단가 산출내용표_공사비집계표" xfId="3203"/>
    <cellStyle name=" _수량및 단가 산출내용표_공사비집계표(품의용)" xfId="3204"/>
    <cellStyle name=" _수량및 단가 산출내용표_공사비집계표(품의용)_PRP-500 TYPE" xfId="3205"/>
    <cellStyle name=" _수량및 단가 산출내용표_공사비집계표(품의용)_남부, 석산정거장(익진ENG 실행)" xfId="3206"/>
    <cellStyle name=" _수량및 단가 산출내용표_공사비집계표(품의용)_남부, 석산정거장PRP-500(Double)내역포함" xfId="3207"/>
    <cellStyle name=" _수량및 단가 산출내용표_공사비집계표(품의용)_양차장님(PRP, MOZART)" xfId="3208"/>
    <cellStyle name=" _수량및 단가 산출내용표_공사비집계표(품의용)_양차장님(PRP, MOZART)_양차장님LINER 벽체단가(PRP, MOZART,사면절곡)" xfId="3209"/>
    <cellStyle name=" _수량및 단가 산출내용표_공사비집계표_1-온배수 양식장 가설계서" xfId="3210"/>
    <cellStyle name=" _수량및 단가 산출내용표_공사비집계표_AC-14(최종수정)" xfId="3211"/>
    <cellStyle name=" _수량및 단가 산출내용표_공사비집계표_AC-14(최종수정)_1-온배수 양식장 가설계서" xfId="3212"/>
    <cellStyle name=" _수량및 단가 산출내용표_공사비집계표_AC-14(최종수정)_Book1" xfId="3213"/>
    <cellStyle name=" _수량및 단가 산출내용표_공사비집계표_AC-14(최종수정)_경상정비 가설계서(12.07)" xfId="3214"/>
    <cellStyle name=" _수량및 단가 산출내용표_공사비집계표_AC-14(최종수정)_경상정비 설계서(최종결재본)" xfId="3215"/>
    <cellStyle name=" _수량및 단가 산출내용표_공사비집계표_AC-14(최종수정)_경상정비 설계서(최종분11월19)" xfId="3216"/>
    <cellStyle name=" _수량및 단가 산출내용표_공사비집계표_AC-14(최종수정)_발전설비 보수공사" xfId="3217"/>
    <cellStyle name=" _수량및 단가 산출내용표_공사비집계표_AC-14(최종수정)_발전설비 보수공사_1-온배수 양식장 가설계서" xfId="3218"/>
    <cellStyle name=" _수량및 단가 산출내용표_공사비집계표_AC-14(최종수정)_발전설비 보수공사_Book1" xfId="3219"/>
    <cellStyle name=" _수량및 단가 산출내용표_공사비집계표_AC-14(최종수정)_발전설비 보수공사_경상정비 가설계서(12.07)" xfId="3220"/>
    <cellStyle name=" _수량및 단가 산출내용표_공사비집계표_AC-14(최종수정)_발전설비 보수공사_경상정비 설계서(최종결재본)" xfId="3221"/>
    <cellStyle name=" _수량및 단가 산출내용표_공사비집계표_AC-14(최종수정)_발전설비 보수공사_경상정비 설계서(최종분11월19)" xfId="3222"/>
    <cellStyle name=" _수량및 단가 산출내용표_공사비집계표_AC-14(최종수정)_발전설비 보수공사_부품" xfId="3223"/>
    <cellStyle name=" _수량및 단가 산출내용표_공사비집계표_AC-14(최종수정)_부품" xfId="3224"/>
    <cellStyle name=" _수량및 단가 산출내용표_공사비집계표_Book1" xfId="3225"/>
    <cellStyle name=" _수량및 단가 산출내용표_공사비집계표_경상정비 가설계서(12.07)" xfId="3226"/>
    <cellStyle name=" _수량및 단가 산출내용표_공사비집계표_경상정비 설계서(최종결재본)" xfId="3227"/>
    <cellStyle name=" _수량및 단가 산출내용표_공사비집계표_경상정비 설계서(최종분11월19)" xfId="3228"/>
    <cellStyle name=" _수량및 단가 산출내용표_공사비집계표_부품" xfId="3229"/>
    <cellStyle name=" _수량및 단가 산출내용표_구내도로 및 배수(단가)" xfId="3230"/>
    <cellStyle name=" _수량및 단가 산출내용표_구내도로 및 배수(단가)_AC-01 보일러 설계서 수정" xfId="3231"/>
    <cellStyle name=" _수량및 단가 산출내용표_구내도로 및 배수(단가)_AC-01 보일러 설계서 수정_AC-14(최종수정)" xfId="3232"/>
    <cellStyle name=" _수량및 단가 산출내용표_구내도로 및 배수(단가)_AC-01 보일러 설계서 수정_AC-14(최종수정)_Book1" xfId="3233"/>
    <cellStyle name=" _수량및 단가 산출내용표_구내도로 및 배수(단가)_AC-01 보일러 설계서 수정_AC-14(최종수정)_발전설비 보수공사" xfId="3234"/>
    <cellStyle name=" _수량및 단가 산출내용표_구내도로 및 배수(단가)_AC-01 보일러 설계서 수정_AC-14(최종수정)_발전설비 보수공사_Book1" xfId="3235"/>
    <cellStyle name=" _수량및 단가 산출내용표_구내도로 및 배수(단가)_AC-01 보일러 설계서 수정_Book1" xfId="3236"/>
    <cellStyle name=" _수량및 단가 산출내용표_구내도로 및 배수(단가)_AC-01 본관기초(가설계서 9월단가)" xfId="3237"/>
    <cellStyle name=" _수량및 단가 산출내용표_구내도로 및 배수(단가)_AC-01 본관기초(가설계서 9월단가)_AC-14(최종수정)" xfId="3244"/>
    <cellStyle name=" _수량및 단가 산출내용표_구내도로 및 배수(단가)_AC-01 본관기초(가설계서 9월단가)_AC-14(최종수정)_Book1" xfId="3245"/>
    <cellStyle name=" _수량및 단가 산출내용표_구내도로 및 배수(단가)_AC-01 본관기초(가설계서 9월단가)_AC-14(최종수정)_발전설비 보수공사" xfId="3246"/>
    <cellStyle name=" _수량및 단가 산출내용표_구내도로 및 배수(단가)_AC-01 본관기초(가설계서 9월단가)_AC-14(최종수정)_발전설비 보수공사_Book1" xfId="3247"/>
    <cellStyle name=" _수량및 단가 산출내용표_구내도로 및 배수(단가)_AC-01 본관기초(가설계서 9월단가)_Book1" xfId="3248"/>
    <cellStyle name=" _수량및 단가 산출내용표_구내도로 및 배수(단가)_AC-01 본관기초(가설계서 9월단가)-2" xfId="3238"/>
    <cellStyle name=" _수량및 단가 산출내용표_구내도로 및 배수(단가)_AC-01 본관기초(가설계서 9월단가)-2_AC-14(최종수정)" xfId="3239"/>
    <cellStyle name=" _수량및 단가 산출내용표_구내도로 및 배수(단가)_AC-01 본관기초(가설계서 9월단가)-2_AC-14(최종수정)_Book1" xfId="3240"/>
    <cellStyle name=" _수량및 단가 산출내용표_구내도로 및 배수(단가)_AC-01 본관기초(가설계서 9월단가)-2_AC-14(최종수정)_발전설비 보수공사" xfId="3241"/>
    <cellStyle name=" _수량및 단가 산출내용표_구내도로 및 배수(단가)_AC-01 본관기초(가설계서 9월단가)-2_AC-14(최종수정)_발전설비 보수공사_Book1" xfId="3242"/>
    <cellStyle name=" _수량및 단가 산출내용표_구내도로 및 배수(단가)_AC-01 본관기초(가설계서 9월단가)-2_Book1" xfId="3243"/>
    <cellStyle name=" _수량및 단가 산출내용표_구내도로 및 배수(단가)_AC-14건설사무소환경개선공사설계서(제출)REV10" xfId="3249"/>
    <cellStyle name=" _수량및 단가 산출내용표_구내도로 및 배수(단가)_AC-14건설사무소환경개선공사설계서(제출)REV10_AC-14(최종수정)" xfId="3250"/>
    <cellStyle name=" _수량및 단가 산출내용표_구내도로 및 배수(단가)_AC-14건설사무소환경개선공사설계서(제출)REV10_AC-14(최종수정)_Book1" xfId="3251"/>
    <cellStyle name=" _수량및 단가 산출내용표_구내도로 및 배수(단가)_AC-14건설사무소환경개선공사설계서(제출)REV10_AC-14(최종수정)_발전설비 보수공사" xfId="3252"/>
    <cellStyle name=" _수량및 단가 산출내용표_구내도로 및 배수(단가)_AC-14건설사무소환경개선공사설계서(제출)REV10_AC-14(최종수정)_발전설비 보수공사_Book1" xfId="3253"/>
    <cellStyle name=" _수량및 단가 산출내용표_구내도로 및 배수(단가)_AC-14건설사무소환경개선공사설계서(제출)REV10_Book1" xfId="3254"/>
    <cellStyle name=" _수량및 단가 산출내용표_구내도로 및 배수(단가)_Book1" xfId="3255"/>
    <cellStyle name=" _수량및 단가 산출내용표_구내도로 및 배수(단가)_PRP-500 TYPE" xfId="3256"/>
    <cellStyle name=" _수량및 단가 산출내용표_구내도로 및 배수(단가)_Songdo Convention Center 신축공사(060106제출수정본)" xfId="3257"/>
    <cellStyle name=" _수량및 단가 산출내용표_구내도로 및 배수(단가)_공사비집계표" xfId="3258"/>
    <cellStyle name=" _수량및 단가 산출내용표_구내도로 및 배수(단가)_공사비집계표(품의용)" xfId="3259"/>
    <cellStyle name=" _수량및 단가 산출내용표_구내도로 및 배수(단가)_공사비집계표(품의용)_PRP-500 TYPE" xfId="3260"/>
    <cellStyle name=" _수량및 단가 산출내용표_구내도로 및 배수(단가)_공사비집계표(품의용)_남부, 석산정거장(익진ENG 실행)" xfId="3261"/>
    <cellStyle name=" _수량및 단가 산출내용표_구내도로 및 배수(단가)_공사비집계표(품의용)_남부, 석산정거장PRP-500(Double)내역포함" xfId="3262"/>
    <cellStyle name=" _수량및 단가 산출내용표_구내도로 및 배수(단가)_공사비집계표(품의용)_양차장님(PRP, MOZART)" xfId="3263"/>
    <cellStyle name=" _수량및 단가 산출내용표_구내도로 및 배수(단가)_공사비집계표(품의용)_양차장님(PRP, MOZART)_양차장님LINER 벽체단가(PRP, MOZART,사면절곡)" xfId="3264"/>
    <cellStyle name=" _수량및 단가 산출내용표_구내도로 및 배수(단가)_공사비집계표_AC-14(최종수정)" xfId="3265"/>
    <cellStyle name=" _수량및 단가 산출내용표_구내도로 및 배수(단가)_공사비집계표_AC-14(최종수정)_Book1" xfId="3266"/>
    <cellStyle name=" _수량및 단가 산출내용표_구내도로 및 배수(단가)_공사비집계표_AC-14(최종수정)_발전설비 보수공사" xfId="3267"/>
    <cellStyle name=" _수량및 단가 산출내용표_구내도로 및 배수(단가)_공사비집계표_AC-14(최종수정)_발전설비 보수공사_Book1" xfId="3268"/>
    <cellStyle name=" _수량및 단가 산출내용표_구내도로 및 배수(단가)_공사비집계표_Book1" xfId="3269"/>
    <cellStyle name=" _수량및 단가 산출내용표_구내도로 및 배수(단가)_남부, 석산정거장(익진ENG 실행)" xfId="3270"/>
    <cellStyle name=" _수량및 단가 산출내용표_구내도로 및 배수(단가)_남부, 석산정거장PRP-500(Double)내역포함" xfId="3271"/>
    <cellStyle name=" _수량및 단가 산출내용표_구내도로 및 배수(단가)_발전설비 보수공사" xfId="3272"/>
    <cellStyle name=" _수량및 단가 산출내용표_구내도로 및 배수(단가)_발전설비 보수공사_Book1" xfId="3273"/>
    <cellStyle name=" _수량및 단가 산출내용표_구내도로 및 배수(단가)_보일러판넬현장설명회(배부용)" xfId="3274"/>
    <cellStyle name=" _수량및 단가 산출내용표_구내도로 및 배수(단가)_양차장님(PRP, MOZART)" xfId="3275"/>
    <cellStyle name=" _수량및 단가 산출내용표_구내도로 및 배수(단가)_양차장님(PRP, MOZART)_양차장님LINER 벽체단가(PRP, MOZART,사면절곡)" xfId="3276"/>
    <cellStyle name=" _수량및 단가 산출내용표_구내도로 및 배수(단가)_영흥#3,4 터빈발전기기초(AC-04)" xfId="3277"/>
    <cellStyle name=" _수량및 단가 산출내용표_구내도로 및 배수-비교" xfId="3278"/>
    <cellStyle name=" _수량및 단가 산출내용표_구내도로 및 배수-비교_PRP-500 TYPE" xfId="3279"/>
    <cellStyle name=" _수량및 단가 산출내용표_구내도로 및 배수-비교_남부, 석산정거장(익진ENG 실행)" xfId="3280"/>
    <cellStyle name=" _수량및 단가 산출내용표_구내도로 및 배수-비교_남부, 석산정거장PRP-500(Double)내역포함" xfId="3281"/>
    <cellStyle name=" _수량및 단가 산출내용표_구내도로 및 배수-비교_양차장님(PRP, MOZART)" xfId="3282"/>
    <cellStyle name=" _수량및 단가 산출내용표_구내도로 및 배수-비교_양차장님(PRP, MOZART)_양차장님LINER 벽체단가(PRP, MOZART,사면절곡)" xfId="3283"/>
    <cellStyle name=" _수량및 단가 산출내용표_기흥사업장 ERM 센타(3차실행)" xfId="3284"/>
    <cellStyle name=" _수량및 단가 산출내용표_남부, 석산정거장(익진ENG 실행)" xfId="3285"/>
    <cellStyle name=" _수량및 단가 산출내용표_남부, 석산정거장PRP-500(Double)내역포함" xfId="3286"/>
    <cellStyle name=" _수량및 단가 산출내용표_냉각수배수로-비교" xfId="3287"/>
    <cellStyle name=" _수량및 단가 산출내용표_냉각수배수로-비교_PRP-500 TYPE" xfId="3288"/>
    <cellStyle name=" _수량및 단가 산출내용표_냉각수배수로-비교_남부, 석산정거장(익진ENG 실행)" xfId="3289"/>
    <cellStyle name=" _수량및 단가 산출내용표_냉각수배수로-비교_남부, 석산정거장PRP-500(Double)내역포함" xfId="3290"/>
    <cellStyle name=" _수량및 단가 산출내용표_냉각수배수로-비교_양차장님(PRP, MOZART)" xfId="3291"/>
    <cellStyle name=" _수량및 단가 산출내용표_냉각수배수로-비교_양차장님(PRP, MOZART)_양차장님LINER 벽체단가(PRP, MOZART,사면절곡)" xfId="3292"/>
    <cellStyle name=" _수량및 단가 산출내용표_냉각수취수펌프구조물-비교" xfId="3293"/>
    <cellStyle name=" _수량및 단가 산출내용표_냉각수취수펌프구조물-비교_PRP-500 TYPE" xfId="3294"/>
    <cellStyle name=" _수량및 단가 산출내용표_냉각수취수펌프구조물-비교_남부, 석산정거장(익진ENG 실행)" xfId="3295"/>
    <cellStyle name=" _수량및 단가 산출내용표_냉각수취수펌프구조물-비교_남부, 석산정거장PRP-500(Double)내역포함" xfId="3296"/>
    <cellStyle name=" _수량및 단가 산출내용표_냉각수취수펌프구조물-비교_양차장님(PRP, MOZART)" xfId="3297"/>
    <cellStyle name=" _수량및 단가 산출내용표_냉각수취수펌프구조물-비교_양차장님(PRP, MOZART)_양차장님LINER 벽체단가(PRP, MOZART,사면절곡)" xfId="3298"/>
    <cellStyle name=" _수량및 단가 산출내용표_단가견적2006년(호성)" xfId="3299"/>
    <cellStyle name=" _수량및 단가 산출내용표_단가견적FRP채광창(1.5T+1.2T)" xfId="3300"/>
    <cellStyle name=" _수량및 단가 산출내용표_두산중공업단가견적(제출)" xfId="3301"/>
    <cellStyle name=" _수량및 단가 산출내용표_메탈판넬" xfId="3302"/>
    <cellStyle name=" _수량및 단가 산출내용표_발전설비 보수공사" xfId="3303"/>
    <cellStyle name=" _수량및 단가 산출내용표_발전설비 보수공사_1-온배수 양식장 가설계서" xfId="3304"/>
    <cellStyle name=" _수량및 단가 산출내용표_발전설비 보수공사_Book1" xfId="3305"/>
    <cellStyle name=" _수량및 단가 산출내용표_발전설비 보수공사_경상정비 가설계서(12.07)" xfId="3306"/>
    <cellStyle name=" _수량및 단가 산출내용표_발전설비 보수공사_경상정비 설계서(최종결재본)" xfId="3307"/>
    <cellStyle name=" _수량및 단가 산출내용표_발전설비 보수공사_경상정비 설계서(최종분11월19)" xfId="3308"/>
    <cellStyle name=" _수량및 단가 산출내용표_발전설비 보수공사_부품" xfId="3309"/>
    <cellStyle name=" _수량및 단가 산출내용표_변경승인(서천,1차변경)050126" xfId="3310"/>
    <cellStyle name=" _수량및 단가 산출내용표_보일러판넬현장설명회(배부용)" xfId="3311"/>
    <cellStyle name=" _수량및 단가 산출내용표_본관기초굴착 하도급저가심사" xfId="3312"/>
    <cellStyle name=" _수량및 단가 산출내용표_본관기초굴착 하도급저가심사_1-온배수 양식장 가설계서" xfId="3313"/>
    <cellStyle name=" _수량및 단가 산출내용표_본관기초굴착 하도급저가심사_경상정비 가설계서(12.07)" xfId="3314"/>
    <cellStyle name=" _수량및 단가 산출내용표_본관기초굴착 하도급저가심사_경상정비 설계서(최종결재본)" xfId="3315"/>
    <cellStyle name=" _수량및 단가 산출내용표_본관기초굴착 하도급저가심사_경상정비 설계서(최종분11월19)" xfId="3316"/>
    <cellStyle name=" _수량및 단가 산출내용표_본관기초굴착 하도급저가심사_부품" xfId="3317"/>
    <cellStyle name=" _수량및 단가 산출내용표_본관기초굴착(CC-01)최종(입찰용)" xfId="3318"/>
    <cellStyle name=" _수량및 단가 산출내용표_본관기초굴착(CC-01)최종(입찰용)_보일러판넬현장설명회(배부용)" xfId="3319"/>
    <cellStyle name=" _수량및 단가 산출내용표_본관기초굴착(단가)" xfId="3320"/>
    <cellStyle name=" _수량및 단가 산출내용표_본관기초굴착(단가)_AC-01 보일러 설계서 수정" xfId="3327"/>
    <cellStyle name=" _수량및 단가 산출내용표_본관기초굴착(단가)_AC-01 보일러 설계서 수정_AC-14(최종수정)" xfId="3328"/>
    <cellStyle name=" _수량및 단가 산출내용표_본관기초굴착(단가)_AC-01 보일러 설계서 수정_AC-14(최종수정)_Book1" xfId="3329"/>
    <cellStyle name=" _수량및 단가 산출내용표_본관기초굴착(단가)_AC-01 보일러 설계서 수정_AC-14(최종수정)_발전설비 보수공사" xfId="3330"/>
    <cellStyle name=" _수량및 단가 산출내용표_본관기초굴착(단가)_AC-01 보일러 설계서 수정_AC-14(최종수정)_발전설비 보수공사_Book1" xfId="3331"/>
    <cellStyle name=" _수량및 단가 산출내용표_본관기초굴착(단가)_AC-01 보일러 설계서 수정_Book1" xfId="3332"/>
    <cellStyle name=" _수량및 단가 산출내용표_본관기초굴착(단가)_AC-01 본관기초(가설계서 9월단가)" xfId="3333"/>
    <cellStyle name=" _수량및 단가 산출내용표_본관기초굴착(단가)_AC-01 본관기초(가설계서 9월단가)_AC-14(최종수정)" xfId="3340"/>
    <cellStyle name=" _수량및 단가 산출내용표_본관기초굴착(단가)_AC-01 본관기초(가설계서 9월단가)_AC-14(최종수정)_Book1" xfId="3341"/>
    <cellStyle name=" _수량및 단가 산출내용표_본관기초굴착(단가)_AC-01 본관기초(가설계서 9월단가)_AC-14(최종수정)_발전설비 보수공사" xfId="3342"/>
    <cellStyle name=" _수량및 단가 산출내용표_본관기초굴착(단가)_AC-01 본관기초(가설계서 9월단가)_AC-14(최종수정)_발전설비 보수공사_Book1" xfId="3343"/>
    <cellStyle name=" _수량및 단가 산출내용표_본관기초굴착(단가)_AC-01 본관기초(가설계서 9월단가)_Book1" xfId="3344"/>
    <cellStyle name=" _수량및 단가 산출내용표_본관기초굴착(단가)_AC-01 본관기초(가설계서 9월단가)-2" xfId="3334"/>
    <cellStyle name=" _수량및 단가 산출내용표_본관기초굴착(단가)_AC-01 본관기초(가설계서 9월단가)-2_AC-14(최종수정)" xfId="3335"/>
    <cellStyle name=" _수량및 단가 산출내용표_본관기초굴착(단가)_AC-01 본관기초(가설계서 9월단가)-2_AC-14(최종수정)_Book1" xfId="3336"/>
    <cellStyle name=" _수량및 단가 산출내용표_본관기초굴착(단가)_AC-01 본관기초(가설계서 9월단가)-2_AC-14(최종수정)_발전설비 보수공사" xfId="3337"/>
    <cellStyle name=" _수량및 단가 산출내용표_본관기초굴착(단가)_AC-01 본관기초(가설계서 9월단가)-2_AC-14(최종수정)_발전설비 보수공사_Book1" xfId="3338"/>
    <cellStyle name=" _수량및 단가 산출내용표_본관기초굴착(단가)_AC-01 본관기초(가설계서 9월단가)-2_Book1" xfId="3339"/>
    <cellStyle name=" _수량및 단가 산출내용표_본관기초굴착(단가)_AC-14건설사무소환경개선공사설계서(제출)REV10" xfId="3345"/>
    <cellStyle name=" _수량및 단가 산출내용표_본관기초굴착(단가)_AC-14건설사무소환경개선공사설계서(제출)REV10_AC-14(최종수정)" xfId="3346"/>
    <cellStyle name=" _수량및 단가 산출내용표_본관기초굴착(단가)_AC-14건설사무소환경개선공사설계서(제출)REV10_AC-14(최종수정)_Book1" xfId="3347"/>
    <cellStyle name=" _수량및 단가 산출내용표_본관기초굴착(단가)_AC-14건설사무소환경개선공사설계서(제출)REV10_AC-14(최종수정)_발전설비 보수공사" xfId="3348"/>
    <cellStyle name=" _수량및 단가 산출내용표_본관기초굴착(단가)_AC-14건설사무소환경개선공사설계서(제출)REV10_AC-14(최종수정)_발전설비 보수공사_Book1" xfId="3349"/>
    <cellStyle name=" _수량및 단가 산출내용표_본관기초굴착(단가)_AC-14건설사무소환경개선공사설계서(제출)REV10_Book1" xfId="3350"/>
    <cellStyle name=" _수량및 단가 산출내용표_본관기초굴착(단가)_Book1" xfId="3351"/>
    <cellStyle name=" _수량및 단가 산출내용표_본관기초굴착(단가)_공사비집계표" xfId="3352"/>
    <cellStyle name=" _수량및 단가 산출내용표_본관기초굴착(단가)_공사비집계표_AC-14(최종수정)" xfId="3353"/>
    <cellStyle name=" _수량및 단가 산출내용표_본관기초굴착(단가)_공사비집계표_AC-14(최종수정)_Book1" xfId="3354"/>
    <cellStyle name=" _수량및 단가 산출내용표_본관기초굴착(단가)_공사비집계표_AC-14(최종수정)_발전설비 보수공사" xfId="3355"/>
    <cellStyle name=" _수량및 단가 산출내용표_본관기초굴착(단가)_공사비집계표_AC-14(최종수정)_발전설비 보수공사_Book1" xfId="3356"/>
    <cellStyle name=" _수량및 단가 산출내용표_본관기초굴착(단가)_공사비집계표_Book1" xfId="3357"/>
    <cellStyle name=" _수량및 단가 산출내용표_본관기초굴착(단가)_발전설비 보수공사" xfId="3358"/>
    <cellStyle name=" _수량및 단가 산출내용표_본관기초굴착(단가)_발전설비 보수공사_Book1" xfId="3359"/>
    <cellStyle name=" _수량및 단가 산출내용표_본관기초굴착(단가)_보일러판넬현장설명회(배부용)" xfId="3360"/>
    <cellStyle name=" _수량및 단가 산출내용표_본관기초굴착(단가)_영흥#3,4 터빈발전기기초(AC-04)" xfId="3361"/>
    <cellStyle name=" _수량및 단가 산출내용표_본관기초굴착(단가)-비교" xfId="3321"/>
    <cellStyle name=" _수량및 단가 산출내용표_본관기초굴착(단가)-비교_PRP-500 TYPE" xfId="3322"/>
    <cellStyle name=" _수량및 단가 산출내용표_본관기초굴착(단가)-비교_남부, 석산정거장(익진ENG 실행)" xfId="3323"/>
    <cellStyle name=" _수량및 단가 산출내용표_본관기초굴착(단가)-비교_남부, 석산정거장PRP-500(Double)내역포함" xfId="3324"/>
    <cellStyle name=" _수량및 단가 산출내용표_본관기초굴착(단가)-비교_양차장님(PRP, MOZART)" xfId="3325"/>
    <cellStyle name=" _수량및 단가 산출내용표_본관기초굴착(단가)-비교_양차장님(PRP, MOZART)_양차장님LINER 벽체단가(PRP, MOZART,사면절곡)" xfId="3326"/>
    <cellStyle name=" _수량및 단가 산출내용표_부품" xfId="3362"/>
    <cellStyle name=" _수량및 단가 산출내용표_사급자재단가산출" xfId="3363"/>
    <cellStyle name=" _수량및 단가 산출내용표_사급자재단가산출_325전기설비기초" xfId="3364"/>
    <cellStyle name=" _수량및 단가 산출내용표_사급자재단가산출_325전기설비기초_PRP-500 TYPE" xfId="3365"/>
    <cellStyle name=" _수량및 단가 산출내용표_사급자재단가산출_325전기설비기초_공사비집계표(품의용)" xfId="3366"/>
    <cellStyle name=" _수량및 단가 산출내용표_사급자재단가산출_325전기설비기초_공사비집계표(품의용)_PRP-500 TYPE" xfId="3367"/>
    <cellStyle name=" _수량및 단가 산출내용표_사급자재단가산출_325전기설비기초_공사비집계표(품의용)_남부, 석산정거장(익진ENG 실행)" xfId="3368"/>
    <cellStyle name=" _수량및 단가 산출내용표_사급자재단가산출_325전기설비기초_공사비집계표(품의용)_남부, 석산정거장PRP-500(Double)내역포함" xfId="3369"/>
    <cellStyle name=" _수량및 단가 산출내용표_사급자재단가산출_325전기설비기초_공사비집계표(품의용)_양차장님(PRP, MOZART)" xfId="3370"/>
    <cellStyle name=" _수량및 단가 산출내용표_사급자재단가산출_325전기설비기초_공사비집계표(품의용)_양차장님(PRP, MOZART)_양차장님LINER 벽체단가(PRP, MOZART,사면절곡)" xfId="3371"/>
    <cellStyle name=" _수량및 단가 산출내용표_사급자재단가산출_325전기설비기초_남부, 석산정거장(익진ENG 실행)" xfId="3372"/>
    <cellStyle name=" _수량및 단가 산출내용표_사급자재단가산출_325전기설비기초_남부, 석산정거장PRP-500(Double)내역포함" xfId="3373"/>
    <cellStyle name=" _수량및 단가 산출내용표_사급자재단가산출_325전기설비기초_양차장님(PRP, MOZART)" xfId="3374"/>
    <cellStyle name=" _수량및 단가 산출내용표_사급자재단가산출_325전기설비기초_양차장님(PRP, MOZART)_양차장님LINER 벽체단가(PRP, MOZART,사면절곡)" xfId="3375"/>
    <cellStyle name=" _수량및 단가 산출내용표_사급자재단가산출_329전기설비기초-비교" xfId="3376"/>
    <cellStyle name=" _수량및 단가 산출내용표_사급자재단가산출_329전기설비기초-비교_PRP-500 TYPE" xfId="3377"/>
    <cellStyle name=" _수량및 단가 산출내용표_사급자재단가산출_329전기설비기초-비교_남부, 석산정거장(익진ENG 실행)" xfId="3378"/>
    <cellStyle name=" _수량및 단가 산출내용표_사급자재단가산출_329전기설비기초-비교_남부, 석산정거장PRP-500(Double)내역포함" xfId="3379"/>
    <cellStyle name=" _수량및 단가 산출내용표_사급자재단가산출_329전기설비기초-비교_양차장님(PRP, MOZART)" xfId="3380"/>
    <cellStyle name=" _수량및 단가 산출내용표_사급자재단가산출_329전기설비기초-비교_양차장님(PRP, MOZART)_양차장님LINER 벽체단가(PRP, MOZART,사면절곡)" xfId="3381"/>
    <cellStyle name=" _수량및 단가 산출내용표_사급자재단가산출_AC-01 보일러 설계서 수정" xfId="3382"/>
    <cellStyle name=" _수량및 단가 산출내용표_사급자재단가산출_AC-01 보일러 설계서 수정_AC-14(최종수정)" xfId="3383"/>
    <cellStyle name=" _수량및 단가 산출내용표_사급자재단가산출_AC-01 보일러 설계서 수정_AC-14(최종수정)_Book1" xfId="3384"/>
    <cellStyle name=" _수량및 단가 산출내용표_사급자재단가산출_AC-01 보일러 설계서 수정_AC-14(최종수정)_발전설비 보수공사" xfId="3385"/>
    <cellStyle name=" _수량및 단가 산출내용표_사급자재단가산출_AC-01 보일러 설계서 수정_AC-14(최종수정)_발전설비 보수공사_Book1" xfId="3386"/>
    <cellStyle name=" _수량및 단가 산출내용표_사급자재단가산출_AC-01 보일러 설계서 수정_Book1" xfId="3387"/>
    <cellStyle name=" _수량및 단가 산출내용표_사급자재단가산출_AC-01 본관기초(가설계서 9월단가)" xfId="3388"/>
    <cellStyle name=" _수량및 단가 산출내용표_사급자재단가산출_AC-01 본관기초(가설계서 9월단가)_AC-14(최종수정)" xfId="3395"/>
    <cellStyle name=" _수량및 단가 산출내용표_사급자재단가산출_AC-01 본관기초(가설계서 9월단가)_AC-14(최종수정)_Book1" xfId="3396"/>
    <cellStyle name=" _수량및 단가 산출내용표_사급자재단가산출_AC-01 본관기초(가설계서 9월단가)_AC-14(최종수정)_발전설비 보수공사" xfId="3397"/>
    <cellStyle name=" _수량및 단가 산출내용표_사급자재단가산출_AC-01 본관기초(가설계서 9월단가)_AC-14(최종수정)_발전설비 보수공사_Book1" xfId="3398"/>
    <cellStyle name=" _수량및 단가 산출내용표_사급자재단가산출_AC-01 본관기초(가설계서 9월단가)_Book1" xfId="3399"/>
    <cellStyle name=" _수량및 단가 산출내용표_사급자재단가산출_AC-01 본관기초(가설계서 9월단가)-2" xfId="3389"/>
    <cellStyle name=" _수량및 단가 산출내용표_사급자재단가산출_AC-01 본관기초(가설계서 9월단가)-2_AC-14(최종수정)" xfId="3390"/>
    <cellStyle name=" _수량및 단가 산출내용표_사급자재단가산출_AC-01 본관기초(가설계서 9월단가)-2_AC-14(최종수정)_Book1" xfId="3391"/>
    <cellStyle name=" _수량및 단가 산출내용표_사급자재단가산출_AC-01 본관기초(가설계서 9월단가)-2_AC-14(최종수정)_발전설비 보수공사" xfId="3392"/>
    <cellStyle name=" _수량및 단가 산출내용표_사급자재단가산출_AC-01 본관기초(가설계서 9월단가)-2_AC-14(최종수정)_발전설비 보수공사_Book1" xfId="3393"/>
    <cellStyle name=" _수량및 단가 산출내용표_사급자재단가산출_AC-01 본관기초(가설계서 9월단가)-2_Book1" xfId="3394"/>
    <cellStyle name=" _수량및 단가 산출내용표_사급자재단가산출_AC-14건설사무소환경개선공사설계서(제출)REV10" xfId="3400"/>
    <cellStyle name=" _수량및 단가 산출내용표_사급자재단가산출_AC-14건설사무소환경개선공사설계서(제출)REV10_AC-14(최종수정)" xfId="3401"/>
    <cellStyle name=" _수량및 단가 산출내용표_사급자재단가산출_AC-14건설사무소환경개선공사설계서(제출)REV10_AC-14(최종수정)_Book1" xfId="3402"/>
    <cellStyle name=" _수량및 단가 산출내용표_사급자재단가산출_AC-14건설사무소환경개선공사설계서(제출)REV10_AC-14(최종수정)_발전설비 보수공사" xfId="3403"/>
    <cellStyle name=" _수량및 단가 산출내용표_사급자재단가산출_AC-14건설사무소환경개선공사설계서(제출)REV10_AC-14(최종수정)_발전설비 보수공사_Book1" xfId="3404"/>
    <cellStyle name=" _수량및 단가 산출내용표_사급자재단가산출_AC-14건설사무소환경개선공사설계서(제출)REV10_Book1" xfId="3405"/>
    <cellStyle name=" _수량및 단가 산출내용표_사급자재단가산출_Book1" xfId="3406"/>
    <cellStyle name=" _수량및 단가 산출내용표_사급자재단가산출_PRP-500 TYPE" xfId="3407"/>
    <cellStyle name=" _수량및 단가 산출내용표_사급자재단가산출_Songdo Convention Center 신축공사(060106제출수정본)" xfId="3408"/>
    <cellStyle name=" _수량및 단가 산출내용표_사급자재단가산출_공사비집계표" xfId="3409"/>
    <cellStyle name=" _수량및 단가 산출내용표_사급자재단가산출_공사비집계표(품의용)" xfId="3410"/>
    <cellStyle name=" _수량및 단가 산출내용표_사급자재단가산출_공사비집계표(품의용)_PRP-500 TYPE" xfId="3411"/>
    <cellStyle name=" _수량및 단가 산출내용표_사급자재단가산출_공사비집계표(품의용)_남부, 석산정거장(익진ENG 실행)" xfId="3412"/>
    <cellStyle name=" _수량및 단가 산출내용표_사급자재단가산출_공사비집계표(품의용)_남부, 석산정거장PRP-500(Double)내역포함" xfId="3413"/>
    <cellStyle name=" _수량및 단가 산출내용표_사급자재단가산출_공사비집계표(품의용)_양차장님(PRP, MOZART)" xfId="3414"/>
    <cellStyle name=" _수량및 단가 산출내용표_사급자재단가산출_공사비집계표(품의용)_양차장님(PRP, MOZART)_양차장님LINER 벽체단가(PRP, MOZART,사면절곡)" xfId="3415"/>
    <cellStyle name=" _수량및 단가 산출내용표_사급자재단가산출_공사비집계표_AC-14(최종수정)" xfId="3416"/>
    <cellStyle name=" _수량및 단가 산출내용표_사급자재단가산출_공사비집계표_AC-14(최종수정)_Book1" xfId="3417"/>
    <cellStyle name=" _수량및 단가 산출내용표_사급자재단가산출_공사비집계표_AC-14(최종수정)_발전설비 보수공사" xfId="3418"/>
    <cellStyle name=" _수량및 단가 산출내용표_사급자재단가산출_공사비집계표_AC-14(최종수정)_발전설비 보수공사_Book1" xfId="3419"/>
    <cellStyle name=" _수량및 단가 산출내용표_사급자재단가산출_공사비집계표_Book1" xfId="3420"/>
    <cellStyle name=" _수량및 단가 산출내용표_사급자재단가산출_남부, 석산정거장(익진ENG 실행)" xfId="3421"/>
    <cellStyle name=" _수량및 단가 산출내용표_사급자재단가산출_남부, 석산정거장PRP-500(Double)내역포함" xfId="3422"/>
    <cellStyle name=" _수량및 단가 산출내용표_사급자재단가산출_대표공종 분류내역" xfId="3423"/>
    <cellStyle name=" _수량및 단가 산출내용표_사급자재단가산출_대표공종 분류내역_PRP-500 TYPE" xfId="3424"/>
    <cellStyle name=" _수량및 단가 산출내용표_사급자재단가산출_대표공종 분류내역_공사비집계표(품의용)" xfId="3425"/>
    <cellStyle name=" _수량및 단가 산출내용표_사급자재단가산출_대표공종 분류내역_공사비집계표(품의용)_PRP-500 TYPE" xfId="3426"/>
    <cellStyle name=" _수량및 단가 산출내용표_사급자재단가산출_대표공종 분류내역_공사비집계표(품의용)_남부, 석산정거장(익진ENG 실행)" xfId="3427"/>
    <cellStyle name=" _수량및 단가 산출내용표_사급자재단가산출_대표공종 분류내역_공사비집계표(품의용)_남부, 석산정거장PRP-500(Double)내역포함" xfId="3428"/>
    <cellStyle name=" _수량및 단가 산출내용표_사급자재단가산출_대표공종 분류내역_공사비집계표(품의용)_양차장님(PRP, MOZART)" xfId="3429"/>
    <cellStyle name=" _수량및 단가 산출내용표_사급자재단가산출_대표공종 분류내역_공사비집계표(품의용)_양차장님(PRP, MOZART)_양차장님LINER 벽체단가(PRP, MOZART,사면절곡)" xfId="3430"/>
    <cellStyle name=" _수량및 단가 산출내용표_사급자재단가산출_대표공종 분류내역_남부, 석산정거장(익진ENG 실행)" xfId="3431"/>
    <cellStyle name=" _수량및 단가 산출내용표_사급자재단가산출_대표공종 분류내역_남부, 석산정거장PRP-500(Double)내역포함" xfId="3432"/>
    <cellStyle name=" _수량및 단가 산출내용표_사급자재단가산출_대표공종 분류내역_냉각수배수로-비교" xfId="3433"/>
    <cellStyle name=" _수량및 단가 산출내용표_사급자재단가산출_대표공종 분류내역_냉각수배수로-비교_PRP-500 TYPE" xfId="3434"/>
    <cellStyle name=" _수량및 단가 산출내용표_사급자재단가산출_대표공종 분류내역_냉각수배수로-비교_남부, 석산정거장(익진ENG 실행)" xfId="3435"/>
    <cellStyle name=" _수량및 단가 산출내용표_사급자재단가산출_대표공종 분류내역_냉각수배수로-비교_남부, 석산정거장PRP-500(Double)내역포함" xfId="3436"/>
    <cellStyle name=" _수량및 단가 산출내용표_사급자재단가산출_대표공종 분류내역_냉각수배수로-비교_양차장님(PRP, MOZART)" xfId="3437"/>
    <cellStyle name=" _수량및 단가 산출내용표_사급자재단가산출_대표공종 분류내역_냉각수배수로-비교_양차장님(PRP, MOZART)_양차장님LINER 벽체단가(PRP, MOZART,사면절곡)" xfId="3438"/>
    <cellStyle name=" _수량및 단가 산출내용표_사급자재단가산출_대표공종 분류내역_냉각수취수펌프구조물-비교" xfId="3439"/>
    <cellStyle name=" _수량및 단가 산출내용표_사급자재단가산출_대표공종 분류내역_냉각수취수펌프구조물-비교_PRP-500 TYPE" xfId="3440"/>
    <cellStyle name=" _수량및 단가 산출내용표_사급자재단가산출_대표공종 분류내역_냉각수취수펌프구조물-비교_남부, 석산정거장(익진ENG 실행)" xfId="3441"/>
    <cellStyle name=" _수량및 단가 산출내용표_사급자재단가산출_대표공종 분류내역_냉각수취수펌프구조물-비교_남부, 석산정거장PRP-500(Double)내역포함" xfId="3442"/>
    <cellStyle name=" _수량및 단가 산출내용표_사급자재단가산출_대표공종 분류내역_냉각수취수펌프구조물-비교_양차장님(PRP, MOZART)" xfId="3443"/>
    <cellStyle name=" _수량및 단가 산출내용표_사급자재단가산출_대표공종 분류내역_냉각수취수펌프구조물-비교_양차장님(PRP, MOZART)_양차장님LINER 벽체단가(PRP, MOZART,사면절곡)" xfId="3444"/>
    <cellStyle name=" _수량및 단가 산출내용표_사급자재단가산출_대표공종 분류내역_양차장님(PRP, MOZART)" xfId="3445"/>
    <cellStyle name=" _수량및 단가 산출내용표_사급자재단가산출_대표공종 분류내역_양차장님(PRP, MOZART)_양차장님LINER 벽체단가(PRP, MOZART,사면절곡)" xfId="3446"/>
    <cellStyle name=" _수량및 단가 산출내용표_사급자재단가산출_대표공종분류" xfId="3447"/>
    <cellStyle name=" _수량및 단가 산출내용표_사급자재단가산출_대표공종분류_PRP-500 TYPE" xfId="3448"/>
    <cellStyle name=" _수량및 단가 산출내용표_사급자재단가산출_대표공종분류_공사비집계표(품의용)" xfId="3449"/>
    <cellStyle name=" _수량및 단가 산출내용표_사급자재단가산출_대표공종분류_공사비집계표(품의용)_PRP-500 TYPE" xfId="3450"/>
    <cellStyle name=" _수량및 단가 산출내용표_사급자재단가산출_대표공종분류_공사비집계표(품의용)_남부, 석산정거장(익진ENG 실행)" xfId="3451"/>
    <cellStyle name=" _수량및 단가 산출내용표_사급자재단가산출_대표공종분류_공사비집계표(품의용)_남부, 석산정거장PRP-500(Double)내역포함" xfId="3452"/>
    <cellStyle name=" _수량및 단가 산출내용표_사급자재단가산출_대표공종분류_공사비집계표(품의용)_양차장님(PRP, MOZART)" xfId="3453"/>
    <cellStyle name=" _수량및 단가 산출내용표_사급자재단가산출_대표공종분류_공사비집계표(품의용)_양차장님(PRP, MOZART)_양차장님LINER 벽체단가(PRP, MOZART,사면절곡)" xfId="3454"/>
    <cellStyle name=" _수량및 단가 산출내용표_사급자재단가산출_대표공종분류_남부, 석산정거장(익진ENG 실행)" xfId="3455"/>
    <cellStyle name=" _수량및 단가 산출내용표_사급자재단가산출_대표공종분류_남부, 석산정거장PRP-500(Double)내역포함" xfId="3456"/>
    <cellStyle name=" _수량및 단가 산출내용표_사급자재단가산출_대표공종분류_양차장님(PRP, MOZART)" xfId="3457"/>
    <cellStyle name=" _수량및 단가 산출내용표_사급자재단가산출_대표공종분류_양차장님(PRP, MOZART)_양차장님LINER 벽체단가(PRP, MOZART,사면절곡)" xfId="3458"/>
    <cellStyle name=" _수량및 단가 산출내용표_사급자재단가산출_발전설비 보수공사" xfId="3459"/>
    <cellStyle name=" _수량및 단가 산출내용표_사급자재단가산출_발전설비 보수공사_Book1" xfId="3460"/>
    <cellStyle name=" _수량및 단가 산출내용표_사급자재단가산출_보일러판넬현장설명회(배부용)" xfId="3461"/>
    <cellStyle name=" _수량및 단가 산출내용표_사급자재단가산출_본관기초굴착(단가)" xfId="3462"/>
    <cellStyle name=" _수량및 단가 산출내용표_사급자재단가산출_본관기초굴착(단가)_PRP-500 TYPE" xfId="3463"/>
    <cellStyle name=" _수량및 단가 산출내용표_사급자재단가산출_본관기초굴착(단가)_남부, 석산정거장(익진ENG 실행)" xfId="3464"/>
    <cellStyle name=" _수량및 단가 산출내용표_사급자재단가산출_본관기초굴착(단가)_남부, 석산정거장PRP-500(Double)내역포함" xfId="3465"/>
    <cellStyle name=" _수량및 단가 산출내용표_사급자재단가산출_본관기초굴착(단가)_양차장님(PRP, MOZART)" xfId="3466"/>
    <cellStyle name=" _수량및 단가 산출내용표_사급자재단가산출_본관기초굴착(단가)_양차장님(PRP, MOZART)_양차장님LINER 벽체단가(PRP, MOZART,사면절곡)" xfId="3467"/>
    <cellStyle name=" _수량및 단가 산출내용표_사급자재단가산출_사급및확정분공통품" xfId="3468"/>
    <cellStyle name=" _수량및 단가 산출내용표_사급자재단가산출_사급및확정분공통품_보일러판넬현장설명회(배부용)" xfId="3469"/>
    <cellStyle name=" _수량및 단가 산출내용표_사급자재단가산출_사급자재총괄표" xfId="3470"/>
    <cellStyle name=" _수량및 단가 산출내용표_사급자재단가산출_사급자재총괄표_PRP-500 TYPE" xfId="3471"/>
    <cellStyle name=" _수량및 단가 산출내용표_사급자재단가산출_사급자재총괄표_공사비집계표(품의용)" xfId="3472"/>
    <cellStyle name=" _수량및 단가 산출내용표_사급자재단가산출_사급자재총괄표_공사비집계표(품의용)_PRP-500 TYPE" xfId="3473"/>
    <cellStyle name=" _수량및 단가 산출내용표_사급자재단가산출_사급자재총괄표_공사비집계표(품의용)_남부, 석산정거장(익진ENG 실행)" xfId="3474"/>
    <cellStyle name=" _수량및 단가 산출내용표_사급자재단가산출_사급자재총괄표_공사비집계표(품의용)_남부, 석산정거장PRP-500(Double)내역포함" xfId="3475"/>
    <cellStyle name=" _수량및 단가 산출내용표_사급자재단가산출_사급자재총괄표_공사비집계표(품의용)_양차장님(PRP, MOZART)" xfId="3476"/>
    <cellStyle name=" _수량및 단가 산출내용표_사급자재단가산출_사급자재총괄표_공사비집계표(품의용)_양차장님(PRP, MOZART)_양차장님LINER 벽체단가(PRP, MOZART,사면절곡)" xfId="3477"/>
    <cellStyle name=" _수량및 단가 산출내용표_사급자재단가산출_사급자재총괄표_남부, 석산정거장(익진ENG 실행)" xfId="3478"/>
    <cellStyle name=" _수량및 단가 산출내용표_사급자재단가산출_사급자재총괄표_남부, 석산정거장PRP-500(Double)내역포함" xfId="3479"/>
    <cellStyle name=" _수량및 단가 산출내용표_사급자재단가산출_사급자재총괄표_양차장님(PRP, MOZART)" xfId="3480"/>
    <cellStyle name=" _수량및 단가 산출내용표_사급자재단가산출_사급자재총괄표_양차장님(PRP, MOZART)_양차장님LINER 벽체단가(PRP, MOZART,사면절곡)" xfId="3481"/>
    <cellStyle name=" _수량및 단가 산출내용표_사급자재단가산출_설계개요" xfId="3482"/>
    <cellStyle name=" _수량및 단가 산출내용표_사급자재단가산출_설계개요_PRP-500 TYPE" xfId="3483"/>
    <cellStyle name=" _수량및 단가 산출내용표_사급자재단가산출_설계개요_공사비집계표(품의용)" xfId="3484"/>
    <cellStyle name=" _수량및 단가 산출내용표_사급자재단가산출_설계개요_공사비집계표(품의용)_PRP-500 TYPE" xfId="3485"/>
    <cellStyle name=" _수량및 단가 산출내용표_사급자재단가산출_설계개요_공사비집계표(품의용)_남부, 석산정거장(익진ENG 실행)" xfId="3486"/>
    <cellStyle name=" _수량및 단가 산출내용표_사급자재단가산출_설계개요_공사비집계표(품의용)_남부, 석산정거장PRP-500(Double)내역포함" xfId="3487"/>
    <cellStyle name=" _수량및 단가 산출내용표_사급자재단가산출_설계개요_공사비집계표(품의용)_양차장님(PRP, MOZART)" xfId="3488"/>
    <cellStyle name=" _수량및 단가 산출내용표_사급자재단가산출_설계개요_공사비집계표(품의용)_양차장님(PRP, MOZART)_양차장님LINER 벽체단가(PRP, MOZART,사면절곡)" xfId="3489"/>
    <cellStyle name=" _수량및 단가 산출내용표_사급자재단가산출_설계개요_남부, 석산정거장(익진ENG 실행)" xfId="3490"/>
    <cellStyle name=" _수량및 단가 산출내용표_사급자재단가산출_설계개요_남부, 석산정거장PRP-500(Double)내역포함" xfId="3491"/>
    <cellStyle name=" _수량및 단가 산출내용표_사급자재단가산출_설계개요_냉각수배수로-비교" xfId="3492"/>
    <cellStyle name=" _수량및 단가 산출내용표_사급자재단가산출_설계개요_냉각수배수로-비교_PRP-500 TYPE" xfId="3493"/>
    <cellStyle name=" _수량및 단가 산출내용표_사급자재단가산출_설계개요_냉각수배수로-비교_남부, 석산정거장(익진ENG 실행)" xfId="3494"/>
    <cellStyle name=" _수량및 단가 산출내용표_사급자재단가산출_설계개요_냉각수배수로-비교_남부, 석산정거장PRP-500(Double)내역포함" xfId="3495"/>
    <cellStyle name=" _수량및 단가 산출내용표_사급자재단가산출_설계개요_냉각수배수로-비교_양차장님(PRP, MOZART)" xfId="3496"/>
    <cellStyle name=" _수량및 단가 산출내용표_사급자재단가산출_설계개요_냉각수배수로-비교_양차장님(PRP, MOZART)_양차장님LINER 벽체단가(PRP, MOZART,사면절곡)" xfId="3497"/>
    <cellStyle name=" _수량및 단가 산출내용표_사급자재단가산출_설계개요_냉각수취수펌프구조물-비교" xfId="3498"/>
    <cellStyle name=" _수량및 단가 산출내용표_사급자재단가산출_설계개요_냉각수취수펌프구조물-비교_PRP-500 TYPE" xfId="3499"/>
    <cellStyle name=" _수량및 단가 산출내용표_사급자재단가산출_설계개요_냉각수취수펌프구조물-비교_남부, 석산정거장(익진ENG 실행)" xfId="3500"/>
    <cellStyle name=" _수량및 단가 산출내용표_사급자재단가산출_설계개요_냉각수취수펌프구조물-비교_남부, 석산정거장PRP-500(Double)내역포함" xfId="3501"/>
    <cellStyle name=" _수량및 단가 산출내용표_사급자재단가산출_설계개요_냉각수취수펌프구조물-비교_양차장님(PRP, MOZART)" xfId="3502"/>
    <cellStyle name=" _수량및 단가 산출내용표_사급자재단가산출_설계개요_냉각수취수펌프구조물-비교_양차장님(PRP, MOZART)_양차장님LINER 벽체단가(PRP, MOZART,사면절곡)" xfId="3503"/>
    <cellStyle name=" _수량및 단가 산출내용표_사급자재단가산출_설계개요_양차장님(PRP, MOZART)" xfId="3504"/>
    <cellStyle name=" _수량및 단가 산출내용표_사급자재단가산출_설계개요_양차장님(PRP, MOZART)_양차장님LINER 벽체단가(PRP, MOZART,사면절곡)" xfId="3505"/>
    <cellStyle name=" _수량및 단가 산출내용표_사급자재단가산출_설계명세서" xfId="3506"/>
    <cellStyle name=" _수량및 단가 산출내용표_사급자재단가산출_설계명세서_325전기설비기초" xfId="3507"/>
    <cellStyle name=" _수량및 단가 산출내용표_사급자재단가산출_설계명세서_325전기설비기초_PRP-500 TYPE" xfId="3508"/>
    <cellStyle name=" _수량및 단가 산출내용표_사급자재단가산출_설계명세서_325전기설비기초_공사비집계표(품의용)" xfId="3509"/>
    <cellStyle name=" _수량및 단가 산출내용표_사급자재단가산출_설계명세서_325전기설비기초_공사비집계표(품의용)_PRP-500 TYPE" xfId="3510"/>
    <cellStyle name=" _수량및 단가 산출내용표_사급자재단가산출_설계명세서_325전기설비기초_공사비집계표(품의용)_남부, 석산정거장(익진ENG 실행)" xfId="3511"/>
    <cellStyle name=" _수량및 단가 산출내용표_사급자재단가산출_설계명세서_325전기설비기초_공사비집계표(품의용)_남부, 석산정거장PRP-500(Double)내역포함" xfId="3512"/>
    <cellStyle name=" _수량및 단가 산출내용표_사급자재단가산출_설계명세서_325전기설비기초_공사비집계표(품의용)_양차장님(PRP, MOZART)" xfId="3513"/>
    <cellStyle name=" _수량및 단가 산출내용표_사급자재단가산출_설계명세서_325전기설비기초_공사비집계표(품의용)_양차장님(PRP, MOZART)_양차장님LINER 벽체단가(PRP, MOZART,사면절곡)" xfId="3514"/>
    <cellStyle name=" _수량및 단가 산출내용표_사급자재단가산출_설계명세서_325전기설비기초_남부, 석산정거장(익진ENG 실행)" xfId="3515"/>
    <cellStyle name=" _수량및 단가 산출내용표_사급자재단가산출_설계명세서_325전기설비기초_남부, 석산정거장PRP-500(Double)내역포함" xfId="3516"/>
    <cellStyle name=" _수량및 단가 산출내용표_사급자재단가산출_설계명세서_325전기설비기초_양차장님(PRP, MOZART)" xfId="3517"/>
    <cellStyle name=" _수량및 단가 산출내용표_사급자재단가산출_설계명세서_325전기설비기초_양차장님(PRP, MOZART)_양차장님LINER 벽체단가(PRP, MOZART,사면절곡)" xfId="3518"/>
    <cellStyle name=" _수량및 단가 산출내용표_사급자재단가산출_설계명세서_PRP-500 TYPE" xfId="3519"/>
    <cellStyle name=" _수량및 단가 산출내용표_사급자재단가산출_설계명세서_공사비집계표(품의용)" xfId="3520"/>
    <cellStyle name=" _수량및 단가 산출내용표_사급자재단가산출_설계명세서_공사비집계표(품의용)_PRP-500 TYPE" xfId="3521"/>
    <cellStyle name=" _수량및 단가 산출내용표_사급자재단가산출_설계명세서_공사비집계표(품의용)_남부, 석산정거장(익진ENG 실행)" xfId="3522"/>
    <cellStyle name=" _수량및 단가 산출내용표_사급자재단가산출_설계명세서_공사비집계표(품의용)_남부, 석산정거장PRP-500(Double)내역포함" xfId="3523"/>
    <cellStyle name=" _수량및 단가 산출내용표_사급자재단가산출_설계명세서_공사비집계표(품의용)_양차장님(PRP, MOZART)" xfId="3524"/>
    <cellStyle name=" _수량및 단가 산출내용표_사급자재단가산출_설계명세서_공사비집계표(품의용)_양차장님(PRP, MOZART)_양차장님LINER 벽체단가(PRP, MOZART,사면절곡)" xfId="3525"/>
    <cellStyle name=" _수량및 단가 산출내용표_사급자재단가산출_설계명세서_남부, 석산정거장(익진ENG 실행)" xfId="3526"/>
    <cellStyle name=" _수량및 단가 산출내용표_사급자재단가산출_설계명세서_남부, 석산정거장PRP-500(Double)내역포함" xfId="3527"/>
    <cellStyle name=" _수량및 단가 산출내용표_사급자재단가산출_설계명세서_냉각수배수로-비교" xfId="3528"/>
    <cellStyle name=" _수량및 단가 산출내용표_사급자재단가산출_설계명세서_냉각수배수로-비교_PRP-500 TYPE" xfId="3529"/>
    <cellStyle name=" _수량및 단가 산출내용표_사급자재단가산출_설계명세서_냉각수배수로-비교_남부, 석산정거장(익진ENG 실행)" xfId="3530"/>
    <cellStyle name=" _수량및 단가 산출내용표_사급자재단가산출_설계명세서_냉각수배수로-비교_남부, 석산정거장PRP-500(Double)내역포함" xfId="3531"/>
    <cellStyle name=" _수량및 단가 산출내용표_사급자재단가산출_설계명세서_냉각수배수로-비교_양차장님(PRP, MOZART)" xfId="3532"/>
    <cellStyle name=" _수량및 단가 산출내용표_사급자재단가산출_설계명세서_냉각수배수로-비교_양차장님(PRP, MOZART)_양차장님LINER 벽체단가(PRP, MOZART,사면절곡)" xfId="3533"/>
    <cellStyle name=" _수량및 단가 산출내용표_사급자재단가산출_설계명세서_냉각수취수펌프구조물-비교" xfId="3534"/>
    <cellStyle name=" _수량및 단가 산출내용표_사급자재단가산출_설계명세서_냉각수취수펌프구조물-비교_PRP-500 TYPE" xfId="3535"/>
    <cellStyle name=" _수량및 단가 산출내용표_사급자재단가산출_설계명세서_냉각수취수펌프구조물-비교_남부, 석산정거장(익진ENG 실행)" xfId="3536"/>
    <cellStyle name=" _수량및 단가 산출내용표_사급자재단가산출_설계명세서_냉각수취수펌프구조물-비교_남부, 석산정거장PRP-500(Double)내역포함" xfId="3537"/>
    <cellStyle name=" _수량및 단가 산출내용표_사급자재단가산출_설계명세서_냉각수취수펌프구조물-비교_양차장님(PRP, MOZART)" xfId="3538"/>
    <cellStyle name=" _수량및 단가 산출내용표_사급자재단가산출_설계명세서_냉각수취수펌프구조물-비교_양차장님(PRP, MOZART)_양차장님LINER 벽체단가(PRP, MOZART,사면절곡)" xfId="3539"/>
    <cellStyle name=" _수량및 단가 산출내용표_사급자재단가산출_설계명세서_설계개요" xfId="3540"/>
    <cellStyle name=" _수량및 단가 산출내용표_사급자재단가산출_설계명세서_설계개요_PRP-500 TYPE" xfId="3541"/>
    <cellStyle name=" _수량및 단가 산출내용표_사급자재단가산출_설계명세서_설계개요_공사비집계표(품의용)" xfId="3542"/>
    <cellStyle name=" _수량및 단가 산출내용표_사급자재단가산출_설계명세서_설계개요_공사비집계표(품의용)_PRP-500 TYPE" xfId="3543"/>
    <cellStyle name=" _수량및 단가 산출내용표_사급자재단가산출_설계명세서_설계개요_공사비집계표(품의용)_남부, 석산정거장(익진ENG 실행)" xfId="3544"/>
    <cellStyle name=" _수량및 단가 산출내용표_사급자재단가산출_설계명세서_설계개요_공사비집계표(품의용)_남부, 석산정거장PRP-500(Double)내역포함" xfId="3545"/>
    <cellStyle name=" _수량및 단가 산출내용표_사급자재단가산출_설계명세서_설계개요_공사비집계표(품의용)_양차장님(PRP, MOZART)" xfId="3546"/>
    <cellStyle name=" _수량및 단가 산출내용표_사급자재단가산출_설계명세서_설계개요_공사비집계표(품의용)_양차장님(PRP, MOZART)_양차장님LINER 벽체단가(PRP, MOZART,사면절곡)" xfId="3547"/>
    <cellStyle name=" _수량및 단가 산출내용표_사급자재단가산출_설계명세서_설계개요_남부, 석산정거장(익진ENG 실행)" xfId="3548"/>
    <cellStyle name=" _수량및 단가 산출내용표_사급자재단가산출_설계명세서_설계개요_남부, 석산정거장PRP-500(Double)내역포함" xfId="3549"/>
    <cellStyle name=" _수량및 단가 산출내용표_사급자재단가산출_설계명세서_설계개요_양차장님(PRP, MOZART)" xfId="3550"/>
    <cellStyle name=" _수량및 단가 산출내용표_사급자재단가산출_설계명세서_설계개요_양차장님(PRP, MOZART)_양차장님LINER 벽체단가(PRP, MOZART,사면절곡)" xfId="3551"/>
    <cellStyle name=" _수량및 단가 산출내용표_사급자재단가산출_설계명세서_양차장님(PRP, MOZART)" xfId="3552"/>
    <cellStyle name=" _수량및 단가 산출내용표_사급자재단가산출_설계명세서_양차장님(PRP, MOZART)_양차장님LINER 벽체단가(PRP, MOZART,사면절곡)" xfId="3553"/>
    <cellStyle name=" _수량및 단가 산출내용표_사급자재단가산출_양차장님(PRP, MOZART)" xfId="3554"/>
    <cellStyle name=" _수량및 단가 산출내용표_사급자재단가산출_양차장님(PRP, MOZART)_양차장님LINER 벽체단가(PRP, MOZART,사면절곡)" xfId="3555"/>
    <cellStyle name=" _수량및 단가 산출내용표_사급자재단가산출_영흥#3,4 터빈발전기기초(AC-04)" xfId="3556"/>
    <cellStyle name=" _수량및 단가 산출내용표_사급자재단가산출_영흥34품셈" xfId="3557"/>
    <cellStyle name=" _수량및 단가 산출내용표_사급자재단가산출_영흥34품셈_보일러판넬현장설명회(배부용)" xfId="3558"/>
    <cellStyle name=" _수량및 단가 산출내용표_사급자재단가산출_옥외탱크기초(단가)" xfId="3559"/>
    <cellStyle name=" _수량및 단가 산출내용표_사급자재단가산출_옥외탱크기초(단가)_PRP-500 TYPE" xfId="3560"/>
    <cellStyle name=" _수량및 단가 산출내용표_사급자재단가산출_옥외탱크기초(단가)_공사비집계표(품의용)" xfId="3561"/>
    <cellStyle name=" _수량및 단가 산출내용표_사급자재단가산출_옥외탱크기초(단가)_공사비집계표(품의용)_PRP-500 TYPE" xfId="3562"/>
    <cellStyle name=" _수량및 단가 산출내용표_사급자재단가산출_옥외탱크기초(단가)_공사비집계표(품의용)_남부, 석산정거장(익진ENG 실행)" xfId="3563"/>
    <cellStyle name=" _수량및 단가 산출내용표_사급자재단가산출_옥외탱크기초(단가)_공사비집계표(품의용)_남부, 석산정거장PRP-500(Double)내역포함" xfId="3564"/>
    <cellStyle name=" _수량및 단가 산출내용표_사급자재단가산출_옥외탱크기초(단가)_공사비집계표(품의용)_양차장님(PRP, MOZART)" xfId="3565"/>
    <cellStyle name=" _수량및 단가 산출내용표_사급자재단가산출_옥외탱크기초(단가)_공사비집계표(품의용)_양차장님(PRP, MOZART)_양차장님LINER 벽체단가(PRP, MOZART,사면절곡)" xfId="3566"/>
    <cellStyle name=" _수량및 단가 산출내용표_사급자재단가산출_옥외탱크기초(단가)_남부, 석산정거장(익진ENG 실행)" xfId="3567"/>
    <cellStyle name=" _수량및 단가 산출내용표_사급자재단가산출_옥외탱크기초(단가)_남부, 석산정거장PRP-500(Double)내역포함" xfId="3568"/>
    <cellStyle name=" _수량및 단가 산출내용표_사급자재단가산출_옥외탱크기초(단가)_양차장님(PRP, MOZART)" xfId="3569"/>
    <cellStyle name=" _수량및 단가 산출내용표_사급자재단가산출_옥외탱크기초(단가)_양차장님(PRP, MOZART)_양차장님LINER 벽체단가(PRP, MOZART,사면절곡)" xfId="3570"/>
    <cellStyle name=" _수량및 단가 산출내용표_사급자재단가산출_옥외탱크기초-비교" xfId="3571"/>
    <cellStyle name=" _수량및 단가 산출내용표_사급자재단가산출_옥외탱크기초-비교_PRP-500 TYPE" xfId="3572"/>
    <cellStyle name=" _수량및 단가 산출내용표_사급자재단가산출_옥외탱크기초-비교_남부, 석산정거장(익진ENG 실행)" xfId="3573"/>
    <cellStyle name=" _수량및 단가 산출내용표_사급자재단가산출_옥외탱크기초-비교_남부, 석산정거장PRP-500(Double)내역포함" xfId="3574"/>
    <cellStyle name=" _수량및 단가 산출내용표_사급자재단가산출_옥외탱크기초-비교_양차장님(PRP, MOZART)" xfId="3575"/>
    <cellStyle name=" _수량및 단가 산출내용표_사급자재단가산출_옥외탱크기초-비교_양차장님(PRP, MOZART)_양차장님LINER 벽체단가(PRP, MOZART,사면절곡)" xfId="3576"/>
    <cellStyle name=" _수량및 단가 산출내용표_사급자재단가산출_옥외탱크및기기기초(단가)" xfId="3577"/>
    <cellStyle name=" _수량및 단가 산출내용표_사급자재단가산출_옥외탱크및기기기초(단가)_329전기설비기초-비교" xfId="3578"/>
    <cellStyle name=" _수량및 단가 산출내용표_사급자재단가산출_옥외탱크및기기기초(단가)_329전기설비기초-비교_PRP-500 TYPE" xfId="3579"/>
    <cellStyle name=" _수량및 단가 산출내용표_사급자재단가산출_옥외탱크및기기기초(단가)_329전기설비기초-비교_남부, 석산정거장(익진ENG 실행)" xfId="3580"/>
    <cellStyle name=" _수량및 단가 산출내용표_사급자재단가산출_옥외탱크및기기기초(단가)_329전기설비기초-비교_남부, 석산정거장PRP-500(Double)내역포함" xfId="3581"/>
    <cellStyle name=" _수량및 단가 산출내용표_사급자재단가산출_옥외탱크및기기기초(단가)_329전기설비기초-비교_양차장님(PRP, MOZART)" xfId="3582"/>
    <cellStyle name=" _수량및 단가 산출내용표_사급자재단가산출_옥외탱크및기기기초(단가)_329전기설비기초-비교_양차장님(PRP, MOZART)_양차장님LINER 벽체단가(PRP, MOZART,사면절곡)" xfId="3583"/>
    <cellStyle name=" _수량및 단가 산출내용표_사급자재단가산출_옥외탱크및기기기초(단가)_PRP-500 TYPE" xfId="3584"/>
    <cellStyle name=" _수량및 단가 산출내용표_사급자재단가산출_옥외탱크및기기기초(단가)_공사비집계표(품의용)" xfId="3585"/>
    <cellStyle name=" _수량및 단가 산출내용표_사급자재단가산출_옥외탱크및기기기초(단가)_공사비집계표(품의용)_PRP-500 TYPE" xfId="3586"/>
    <cellStyle name=" _수량및 단가 산출내용표_사급자재단가산출_옥외탱크및기기기초(단가)_공사비집계표(품의용)_남부, 석산정거장(익진ENG 실행)" xfId="3587"/>
    <cellStyle name=" _수량및 단가 산출내용표_사급자재단가산출_옥외탱크및기기기초(단가)_공사비집계표(품의용)_남부, 석산정거장PRP-500(Double)내역포함" xfId="3588"/>
    <cellStyle name=" _수량및 단가 산출내용표_사급자재단가산출_옥외탱크및기기기초(단가)_공사비집계표(품의용)_양차장님(PRP, MOZART)" xfId="3589"/>
    <cellStyle name=" _수량및 단가 산출내용표_사급자재단가산출_옥외탱크및기기기초(단가)_공사비집계표(품의용)_양차장님(PRP, MOZART)_양차장님LINER 벽체단가(PRP, MOZART,사면절곡)" xfId="3590"/>
    <cellStyle name=" _수량및 단가 산출내용표_사급자재단가산출_옥외탱크및기기기초(단가)_남부, 석산정거장(익진ENG 실행)" xfId="3591"/>
    <cellStyle name=" _수량및 단가 산출내용표_사급자재단가산출_옥외탱크및기기기초(단가)_남부, 석산정거장PRP-500(Double)내역포함" xfId="3592"/>
    <cellStyle name=" _수량및 단가 산출내용표_사급자재단가산출_옥외탱크및기기기초(단가)_석탄취급설비기초-비교" xfId="3593"/>
    <cellStyle name=" _수량및 단가 산출내용표_사급자재단가산출_옥외탱크및기기기초(단가)_석탄취급설비기초-비교_PRP-500 TYPE" xfId="3594"/>
    <cellStyle name=" _수량및 단가 산출내용표_사급자재단가산출_옥외탱크및기기기초(단가)_석탄취급설비기초-비교_남부, 석산정거장(익진ENG 실행)" xfId="3595"/>
    <cellStyle name=" _수량및 단가 산출내용표_사급자재단가산출_옥외탱크및기기기초(단가)_석탄취급설비기초-비교_남부, 석산정거장PRP-500(Double)내역포함" xfId="3596"/>
    <cellStyle name=" _수량및 단가 산출내용표_사급자재단가산출_옥외탱크및기기기초(단가)_석탄취급설비기초-비교_양차장님(PRP, MOZART)" xfId="3597"/>
    <cellStyle name=" _수량및 단가 산출내용표_사급자재단가산출_옥외탱크및기기기초(단가)_석탄취급설비기초-비교_양차장님(PRP, MOZART)_양차장님LINER 벽체단가(PRP, MOZART,사면절곡)" xfId="3598"/>
    <cellStyle name=" _수량및 단가 산출내용표_사급자재단가산출_옥외탱크및기기기초(단가)_양차장님(PRP, MOZART)" xfId="3599"/>
    <cellStyle name=" _수량및 단가 산출내용표_사급자재단가산출_옥외탱크및기기기초(단가)_양차장님(PRP, MOZART)_양차장님LINER 벽체단가(PRP, MOZART,사면절곡)" xfId="3600"/>
    <cellStyle name=" _수량및 단가 산출내용표_사급자재단가산출_조경(final)-비교" xfId="3601"/>
    <cellStyle name=" _수량및 단가 산출내용표_사급자재단가산출_조경(final)-비교_PRP-500 TYPE" xfId="3602"/>
    <cellStyle name=" _수량및 단가 산출내용표_사급자재단가산출_조경(final)-비교_남부, 석산정거장(익진ENG 실행)" xfId="3603"/>
    <cellStyle name=" _수량및 단가 산출내용표_사급자재단가산출_조경(final)-비교_남부, 석산정거장PRP-500(Double)내역포함" xfId="3604"/>
    <cellStyle name=" _수량및 단가 산출내용표_사급자재단가산출_조경(final)-비교_양차장님(PRP, MOZART)" xfId="3605"/>
    <cellStyle name=" _수량및 단가 산출내용표_사급자재단가산출_조경(final)-비교_양차장님(PRP, MOZART)_양차장님LINER 벽체단가(PRP, MOZART,사면절곡)" xfId="3606"/>
    <cellStyle name=" _수량및 단가 산출내용표_사급자재단가산출_추가품셈1" xfId="3607"/>
    <cellStyle name=" _수량및 단가 산출내용표_사급자재단가산출_추가품셈1_AC-01 보일러 설계서 수정" xfId="3614"/>
    <cellStyle name=" _수량및 단가 산출내용표_사급자재단가산출_추가품셈1_AC-01 보일러 설계서 수정_AC-14(최종수정)" xfId="3615"/>
    <cellStyle name=" _수량및 단가 산출내용표_사급자재단가산출_추가품셈1_AC-01 보일러 설계서 수정_AC-14(최종수정)_Book1" xfId="3616"/>
    <cellStyle name=" _수량및 단가 산출내용표_사급자재단가산출_추가품셈1_AC-01 보일러 설계서 수정_AC-14(최종수정)_발전설비 보수공사" xfId="3617"/>
    <cellStyle name=" _수량및 단가 산출내용표_사급자재단가산출_추가품셈1_AC-01 보일러 설계서 수정_AC-14(최종수정)_발전설비 보수공사_Book1" xfId="3618"/>
    <cellStyle name=" _수량및 단가 산출내용표_사급자재단가산출_추가품셈1_AC-01 보일러 설계서 수정_Book1" xfId="3619"/>
    <cellStyle name=" _수량및 단가 산출내용표_사급자재단가산출_추가품셈1_AC-01 본관기초(가설계서 9월단가)" xfId="3620"/>
    <cellStyle name=" _수량및 단가 산출내용표_사급자재단가산출_추가품셈1_AC-01 본관기초(가설계서 9월단가)_AC-14(최종수정)" xfId="3627"/>
    <cellStyle name=" _수량및 단가 산출내용표_사급자재단가산출_추가품셈1_AC-01 본관기초(가설계서 9월단가)_AC-14(최종수정)_Book1" xfId="3628"/>
    <cellStyle name=" _수량및 단가 산출내용표_사급자재단가산출_추가품셈1_AC-01 본관기초(가설계서 9월단가)_AC-14(최종수정)_발전설비 보수공사" xfId="3629"/>
    <cellStyle name=" _수량및 단가 산출내용표_사급자재단가산출_추가품셈1_AC-01 본관기초(가설계서 9월단가)_AC-14(최종수정)_발전설비 보수공사_Book1" xfId="3630"/>
    <cellStyle name=" _수량및 단가 산출내용표_사급자재단가산출_추가품셈1_AC-01 본관기초(가설계서 9월단가)_Book1" xfId="3631"/>
    <cellStyle name=" _수량및 단가 산출내용표_사급자재단가산출_추가품셈1_AC-01 본관기초(가설계서 9월단가)-2" xfId="3621"/>
    <cellStyle name=" _수량및 단가 산출내용표_사급자재단가산출_추가품셈1_AC-01 본관기초(가설계서 9월단가)-2_AC-14(최종수정)" xfId="3622"/>
    <cellStyle name=" _수량및 단가 산출내용표_사급자재단가산출_추가품셈1_AC-01 본관기초(가설계서 9월단가)-2_AC-14(최종수정)_Book1" xfId="3623"/>
    <cellStyle name=" _수량및 단가 산출내용표_사급자재단가산출_추가품셈1_AC-01 본관기초(가설계서 9월단가)-2_AC-14(최종수정)_발전설비 보수공사" xfId="3624"/>
    <cellStyle name=" _수량및 단가 산출내용표_사급자재단가산출_추가품셈1_AC-01 본관기초(가설계서 9월단가)-2_AC-14(최종수정)_발전설비 보수공사_Book1" xfId="3625"/>
    <cellStyle name=" _수량및 단가 산출내용표_사급자재단가산출_추가품셈1_AC-01 본관기초(가설계서 9월단가)-2_Book1" xfId="3626"/>
    <cellStyle name=" _수량및 단가 산출내용표_사급자재단가산출_추가품셈1_AC-14건설사무소환경개선공사설계서(제출)REV10" xfId="3632"/>
    <cellStyle name=" _수량및 단가 산출내용표_사급자재단가산출_추가품셈1_AC-14건설사무소환경개선공사설계서(제출)REV10_AC-14(최종수정)" xfId="3633"/>
    <cellStyle name=" _수량및 단가 산출내용표_사급자재단가산출_추가품셈1_AC-14건설사무소환경개선공사설계서(제출)REV10_AC-14(최종수정)_Book1" xfId="3634"/>
    <cellStyle name=" _수량및 단가 산출내용표_사급자재단가산출_추가품셈1_AC-14건설사무소환경개선공사설계서(제출)REV10_AC-14(최종수정)_발전설비 보수공사" xfId="3635"/>
    <cellStyle name=" _수량및 단가 산출내용표_사급자재단가산출_추가품셈1_AC-14건설사무소환경개선공사설계서(제출)REV10_AC-14(최종수정)_발전설비 보수공사_Book1" xfId="3636"/>
    <cellStyle name=" _수량및 단가 산출내용표_사급자재단가산출_추가품셈1_AC-14건설사무소환경개선공사설계서(제출)REV10_Book1" xfId="3637"/>
    <cellStyle name=" _수량및 단가 산출내용표_사급자재단가산출_추가품셈1_Book1" xfId="3638"/>
    <cellStyle name=" _수량및 단가 산출내용표_사급자재단가산출_추가품셈1_PRP-500 TYPE" xfId="3639"/>
    <cellStyle name=" _수량및 단가 산출내용표_사급자재단가산출_추가품셈1_Songdo Convention Center 신축공사(060106제출수정본)" xfId="3640"/>
    <cellStyle name=" _수량및 단가 산출내용표_사급자재단가산출_추가품셈1_공사비집계표" xfId="3641"/>
    <cellStyle name=" _수량및 단가 산출내용표_사급자재단가산출_추가품셈1_공사비집계표(품의용)" xfId="3642"/>
    <cellStyle name=" _수량및 단가 산출내용표_사급자재단가산출_추가품셈1_공사비집계표(품의용)_PRP-500 TYPE" xfId="3643"/>
    <cellStyle name=" _수량및 단가 산출내용표_사급자재단가산출_추가품셈1_공사비집계표(품의용)_남부, 석산정거장(익진ENG 실행)" xfId="3644"/>
    <cellStyle name=" _수량및 단가 산출내용표_사급자재단가산출_추가품셈1_공사비집계표(품의용)_남부, 석산정거장PRP-500(Double)내역포함" xfId="3645"/>
    <cellStyle name=" _수량및 단가 산출내용표_사급자재단가산출_추가품셈1_공사비집계표(품의용)_양차장님(PRP, MOZART)" xfId="3646"/>
    <cellStyle name=" _수량및 단가 산출내용표_사급자재단가산출_추가품셈1_공사비집계표(품의용)_양차장님(PRP, MOZART)_양차장님LINER 벽체단가(PRP, MOZART,사면절곡)" xfId="3647"/>
    <cellStyle name=" _수량및 단가 산출내용표_사급자재단가산출_추가품셈1_공사비집계표_AC-14(최종수정)" xfId="3648"/>
    <cellStyle name=" _수량및 단가 산출내용표_사급자재단가산출_추가품셈1_공사비집계표_AC-14(최종수정)_Book1" xfId="3649"/>
    <cellStyle name=" _수량및 단가 산출내용표_사급자재단가산출_추가품셈1_공사비집계표_AC-14(최종수정)_발전설비 보수공사" xfId="3650"/>
    <cellStyle name=" _수량및 단가 산출내용표_사급자재단가산출_추가품셈1_공사비집계표_AC-14(최종수정)_발전설비 보수공사_Book1" xfId="3651"/>
    <cellStyle name=" _수량및 단가 산출내용표_사급자재단가산출_추가품셈1_공사비집계표_Book1" xfId="3652"/>
    <cellStyle name=" _수량및 단가 산출내용표_사급자재단가산출_추가품셈1_남부, 석산정거장(익진ENG 실행)" xfId="3653"/>
    <cellStyle name=" _수량및 단가 산출내용표_사급자재단가산출_추가품셈1_남부, 석산정거장PRP-500(Double)내역포함" xfId="3654"/>
    <cellStyle name=" _수량및 단가 산출내용표_사급자재단가산출_추가품셈1_발전설비 보수공사" xfId="3655"/>
    <cellStyle name=" _수량및 단가 산출내용표_사급자재단가산출_추가품셈1_발전설비 보수공사_Book1" xfId="3656"/>
    <cellStyle name=" _수량및 단가 산출내용표_사급자재단가산출_추가품셈1_보일러판넬현장설명회(배부용)" xfId="3657"/>
    <cellStyle name=" _수량및 단가 산출내용표_사급자재단가산출_추가품셈1_양차장님(PRP, MOZART)" xfId="3658"/>
    <cellStyle name=" _수량및 단가 산출내용표_사급자재단가산출_추가품셈1_양차장님(PRP, MOZART)_양차장님LINER 벽체단가(PRP, MOZART,사면절곡)" xfId="3659"/>
    <cellStyle name=" _수량및 단가 산출내용표_사급자재단가산출_추가품셈1_영흥#3,4 터빈발전기기초(AC-04)" xfId="3660"/>
    <cellStyle name=" _수량및 단가 산출내용표_사급자재단가산출_추가품셈1-박" xfId="3608"/>
    <cellStyle name=" _수량및 단가 산출내용표_사급자재단가산출_추가품셈1-박_PRP-500 TYPE" xfId="3609"/>
    <cellStyle name=" _수량및 단가 산출내용표_사급자재단가산출_추가품셈1-박_남부, 석산정거장(익진ENG 실행)" xfId="3610"/>
    <cellStyle name=" _수량및 단가 산출내용표_사급자재단가산출_추가품셈1-박_남부, 석산정거장PRP-500(Double)내역포함" xfId="3611"/>
    <cellStyle name=" _수량및 단가 산출내용표_사급자재단가산출_추가품셈1-박_양차장님(PRP, MOZART)" xfId="3612"/>
    <cellStyle name=" _수량및 단가 산출내용표_사급자재단가산출_추가품셈1-박_양차장님(PRP, MOZART)_양차장님LINER 벽체단가(PRP, MOZART,사면절곡)" xfId="3613"/>
    <cellStyle name=" _수량및 단가 산출내용표_석탄취급설비기초-비교" xfId="3661"/>
    <cellStyle name=" _수량및 단가 산출내용표_석탄취급설비기초-비교_PRP-500 TYPE" xfId="3662"/>
    <cellStyle name=" _수량및 단가 산출내용표_석탄취급설비기초-비교_남부, 석산정거장(익진ENG 실행)" xfId="3663"/>
    <cellStyle name=" _수량및 단가 산출내용표_석탄취급설비기초-비교_남부, 석산정거장PRP-500(Double)내역포함" xfId="3664"/>
    <cellStyle name=" _수량및 단가 산출내용표_석탄취급설비기초-비교_양차장님(PRP, MOZART)" xfId="3665"/>
    <cellStyle name=" _수량및 단가 산출내용표_석탄취급설비기초-비교_양차장님(PRP, MOZART)_양차장님LINER 벽체단가(PRP, MOZART,사면절곡)" xfId="3666"/>
    <cellStyle name=" _수량및 단가 산출내용표_실행예산" xfId="3668"/>
    <cellStyle name=" _수량및 단가 산출내용표_실행예산_PRP-500 TYPE" xfId="3669"/>
    <cellStyle name=" _수량및 단가 산출내용표_실행예산_남부, 석산정거장(익진ENG 실행)" xfId="3670"/>
    <cellStyle name=" _수량및 단가 산출내용표_실행예산_남부, 석산정거장PRP-500(Double)내역포함" xfId="3671"/>
    <cellStyle name=" _수량및 단가 산출내용표_실행예산_양차장님(PRP, MOZART)" xfId="3672"/>
    <cellStyle name=" _수량및 단가 산출내용표_실행예산_양차장님(PRP, MOZART)_양차장님LINER 벽체단가(PRP, MOZART,사면절곡)" xfId="3673"/>
    <cellStyle name=" _수량및 단가 산출내용표_실행-인천국제공항제2단계건설부대건물(11월8일)-실행검토(폴리메탈사이즈별_F메탈)" xfId="3667"/>
    <cellStyle name=" _수량및 단가 산출내용표_양차장님(PRP, MOZART)" xfId="3674"/>
    <cellStyle name=" _수량및 단가 산출내용표_양차장님(PRP, MOZART)_양차장님LINER 벽체단가(PRP, MOZART,사면절곡)" xfId="3675"/>
    <cellStyle name=" _수량및 단가 산출내용표_영흥#3,4 배수로축조공사(CC-03)최종(입찰용)" xfId="3676"/>
    <cellStyle name=" _수량및 단가 산출내용표_영흥#3,4 배수로축조공사(CC-03)최종(입찰용)_보일러판넬현장설명회(배부용)" xfId="3677"/>
    <cellStyle name=" _수량및 단가 산출내용표_영흥#3,4 옥내기기기초(AC-05)" xfId="3678"/>
    <cellStyle name=" _수량및 단가 산출내용표_영흥#3,4 옥내기기기초(AC-05)_보일러판넬현장설명회(배부용)" xfId="3679"/>
    <cellStyle name=" _수량및 단가 산출내용표_영흥#3,4 터빈발전기기초(AC-04)" xfId="3680"/>
    <cellStyle name=" _수량및 단가 산출내용표_영흥#3,4 터빈발전기기초(AC-04)_1-온배수 양식장 가설계서" xfId="3681"/>
    <cellStyle name=" _수량및 단가 산출내용표_영흥#3,4 터빈발전기기초(AC-04)_경상정비 가설계서(12.07)" xfId="3682"/>
    <cellStyle name=" _수량및 단가 산출내용표_영흥#3,4 터빈발전기기초(AC-04)_경상정비 설계서(최종결재본)" xfId="3683"/>
    <cellStyle name=" _수량및 단가 산출내용표_영흥#3,4 터빈발전기기초(AC-04)_경상정비 설계서(최종분11월19)" xfId="3684"/>
    <cellStyle name=" _수량및 단가 산출내용표_영흥#3,4 터빈발전기기초(AC-04)_부품" xfId="3685"/>
    <cellStyle name=" _수량및 단가 산출내용표_영흥#3,4터빈발전기기초공사(AC-04)" xfId="3686"/>
    <cellStyle name=" _수량및 단가 산출내용표_영흥#3,4터빈발전기기초공사(AC-04)_1-온배수 양식장 가설계서" xfId="3687"/>
    <cellStyle name=" _수량및 단가 산출내용표_영흥#3,4터빈발전기기초공사(AC-04)_경상정비 가설계서(12.07)" xfId="3688"/>
    <cellStyle name=" _수량및 단가 산출내용표_영흥#3,4터빈발전기기초공사(AC-04)_경상정비 설계서(최종결재본)" xfId="3689"/>
    <cellStyle name=" _수량및 단가 산출내용표_영흥#3,4터빈발전기기초공사(AC-04)_경상정비 설계서(최종분11월19)" xfId="3690"/>
    <cellStyle name=" _수량및 단가 산출내용표_영흥#3,4터빈발전기기초공사(AC-04)_보일러판넬현장설명회(배부용)" xfId="3691"/>
    <cellStyle name=" _수량및 단가 산출내용표_영흥#3,4터빈발전기기초공사(AC-04)_부품" xfId="3692"/>
    <cellStyle name=" _수량및 단가 산출내용표_옥외탱크기초-비교" xfId="3693"/>
    <cellStyle name=" _수량및 단가 산출내용표_옥외탱크기초-비교_PRP-500 TYPE" xfId="3694"/>
    <cellStyle name=" _수량및 단가 산출내용표_옥외탱크기초-비교_남부, 석산정거장(익진ENG 실행)" xfId="3695"/>
    <cellStyle name=" _수량및 단가 산출내용표_옥외탱크기초-비교_남부, 석산정거장PRP-500(Double)내역포함" xfId="3696"/>
    <cellStyle name=" _수량및 단가 산출내용표_옥외탱크기초-비교_양차장님(PRP, MOZART)" xfId="3697"/>
    <cellStyle name=" _수량및 단가 산출내용표_옥외탱크기초-비교_양차장님(PRP, MOZART)_양차장님LINER 벽체단가(PRP, MOZART,사면절곡)" xfId="3698"/>
    <cellStyle name=" _수량및 단가 산출내용표_제일모직 DF PROJECT 2차공사(실행)" xfId="3699"/>
    <cellStyle name=" _수량및 단가 산출내용표_조경(final)-비교" xfId="3700"/>
    <cellStyle name=" _수량및 단가 산출내용표_조경(final)-비교_PRP-500 TYPE" xfId="3701"/>
    <cellStyle name=" _수량및 단가 산출내용표_조경(final)-비교_남부, 석산정거장(익진ENG 실행)" xfId="3702"/>
    <cellStyle name=" _수량및 단가 산출내용표_조경(final)-비교_남부, 석산정거장PRP-500(Double)내역포함" xfId="3703"/>
    <cellStyle name=" _수량및 단가 산출내용표_조경(final)-비교_양차장님(PRP, MOZART)" xfId="3704"/>
    <cellStyle name=" _수량및 단가 산출내용표_조경(final)-비교_양차장님(PRP, MOZART)_양차장님LINER 벽체단가(PRP, MOZART,사면절곡)" xfId="3705"/>
    <cellStyle name=" _수량및 단가 산출내용표_추가품셈1-박" xfId="3706"/>
    <cellStyle name=" _수량및 단가 산출내용표_추가품셈1-박_PRP-500 TYPE" xfId="3707"/>
    <cellStyle name=" _수량및 단가 산출내용표_추가품셈1-박_남부, 석산정거장(익진ENG 실행)" xfId="3708"/>
    <cellStyle name=" _수량및 단가 산출내용표_추가품셈1-박_남부, 석산정거장PRP-500(Double)내역포함" xfId="3709"/>
    <cellStyle name=" _수량및 단가 산출내용표_추가품셈1-박_양차장님(PRP, MOZART)" xfId="3710"/>
    <cellStyle name=" _수량및 단가 산출내용표_추가품셈1-박_양차장님(PRP, MOZART)_양차장님LINER 벽체단가(PRP, MOZART,사면절곡)" xfId="3711"/>
    <cellStyle name=" _수량및 단가 산출내용표_태안7,8 건설공사(기계분야_계약)-1" xfId="3712"/>
    <cellStyle name=" _수량및 단가 산출내용표_태안7,8 건설공사(기계분야_계약)-1_PRP-500 TYPE" xfId="3713"/>
    <cellStyle name=" _수량및 단가 산출내용표_태안7,8 건설공사(기계분야_계약)-1_남부, 석산정거장(익진ENG 실행)" xfId="3714"/>
    <cellStyle name=" _수량및 단가 산출내용표_태안7,8 건설공사(기계분야_계약)-1_남부, 석산정거장PRP-500(Double)내역포함" xfId="3715"/>
    <cellStyle name=" _수량및 단가 산출내용표_태안7,8 건설공사(기계분야_계약)-1_양차장님(PRP, MOZART)" xfId="3716"/>
    <cellStyle name=" _수량및 단가 산출내용표_태안7,8 건설공사(기계분야_계약)-1_양차장님(PRP, MOZART)_양차장님LINER 벽체단가(PRP, MOZART,사면절곡)" xfId="3717"/>
    <cellStyle name=" _수량및 단가 산출내용표_태안7,8 건설공사(제어분야_계약)" xfId="3718"/>
    <cellStyle name=" _수량및 단가 산출내용표_태안7,8 건설공사(제어분야_계약)_PRP-500 TYPE" xfId="3719"/>
    <cellStyle name=" _수량및 단가 산출내용표_태안7,8 건설공사(제어분야_계약)_남부, 석산정거장(익진ENG 실행)" xfId="3720"/>
    <cellStyle name=" _수량및 단가 산출내용표_태안7,8 건설공사(제어분야_계약)_남부, 석산정거장PRP-500(Double)내역포함" xfId="3721"/>
    <cellStyle name=" _수량및 단가 산출내용표_태안7,8 건설공사(제어분야_계약)_양차장님(PRP, MOZART)" xfId="3722"/>
    <cellStyle name=" _수량및 단가 산출내용표_태안7,8 건설공사(제어분야_계약)_양차장님(PRP, MOZART)_양차장님LINER 벽체단가(PRP, MOZART,사면절곡)" xfId="3723"/>
    <cellStyle name=" _수량및 단가 산출내용표_품셈 및 별표-RA" xfId="3724"/>
    <cellStyle name=" _수량및 단가 산출내용표_품셈 및 별표-RA_AC-01_GT건물신축공사_061031_RA" xfId="3725"/>
    <cellStyle name=" _수량및 단가 산출내용표_품셈 및 별표-RA_AC-01_GT건물신축공사_061031_RA_AC-08_보조보일러건물신축공사_061031_RA" xfId="3726"/>
    <cellStyle name=" _수량및 단가 산출내용표_품셈 및 별표-RA_AC-01_GT건물신축공사_061031_RA_AC-09_수처리및폐수처리건물신축공사_061031_RA" xfId="3727"/>
    <cellStyle name=" _수량및 단가 산출내용표_품셈 및 별표-RA_AC-05_주제어건물신축공사_061031_RA" xfId="3728"/>
    <cellStyle name=" _수량및 단가 산출내용표_품셈 및 별표-RA_AC-05_주제어건물신축공사_061031_RA_AC-08_보조보일러건물신축공사_061031_RA" xfId="3729"/>
    <cellStyle name=" _수량및 단가 산출내용표_품셈 및 별표-RA_AC-05_주제어건물신축공사_061031_RA_AC-09_수처리및폐수처리건물신축공사_061031_RA" xfId="3730"/>
    <cellStyle name=" _수량및 단가 산출내용표_품셈 및 별표-RA_AC-08_보조보일러건물신축공사_061031_RA" xfId="3731"/>
    <cellStyle name=" _수량및 단가 산출내용표_품셈 및 별표-RA_AC-09_수처리및폐수처리건물신축공사_061031_RA" xfId="3732"/>
    <cellStyle name=" _수량및 단가 산출내용표_하도급신고용본관기초굴착설계서(040816)" xfId="3733"/>
    <cellStyle name=" _수량및 단가 산출내용표_하도급신고용본관기초굴착설계서(040823)" xfId="3734"/>
    <cellStyle name=" _수량및 단가 산출내용표_한국항공 세탁물시설 지붕공사-1차" xfId="3735"/>
    <cellStyle name=" _수량산출서(3차)" xfId="3736"/>
    <cellStyle name=" _수리초설비제출=091218" xfId="3737"/>
    <cellStyle name=" _연돌 현장타설말뚝(RCD)설계서" xfId="3738"/>
    <cellStyle name=" _영흥#3,4 보일러철골설치및마감(MC-01)FINAL" xfId="3739"/>
    <cellStyle name=" _영흥#3,4 보일러철골설치및마감(MC-01)FINAL_1-온배수 양식장 가설계서" xfId="3740"/>
    <cellStyle name=" _영흥#3,4 보일러철골설치및마감(MC-01)FINAL_경상정비 가설계서(12.07)" xfId="3741"/>
    <cellStyle name=" _영흥#3,4 보일러철골설치및마감(MC-01)FINAL_경상정비 설계서(최종결재본)" xfId="3742"/>
    <cellStyle name=" _영흥#3,4 보일러철골설치및마감(MC-01)FINAL_경상정비 설계서(최종분11월19)" xfId="3743"/>
    <cellStyle name=" _영흥#3,4 보일러철골설치및마감(MC-01)FINAL_보일러판넬현장설명회(배부용)" xfId="3744"/>
    <cellStyle name=" _영흥#3,4 보일러철골설치및마감(MC-01)FINAL_부품" xfId="3745"/>
    <cellStyle name=" _영흥#3,4 터빈발전기기초(AC-04)" xfId="3746"/>
    <cellStyle name=" _영흥#3,4 터빈발전기기초(AC-04)_1-온배수 양식장 가설계서" xfId="3747"/>
    <cellStyle name=" _영흥#3,4 터빈발전기기초(AC-04)_경상정비 가설계서(12.07)" xfId="3748"/>
    <cellStyle name=" _영흥#3,4 터빈발전기기초(AC-04)_경상정비 설계서(최종결재본)" xfId="3749"/>
    <cellStyle name=" _영흥#3,4 터빈발전기기초(AC-04)_경상정비 설계서(최종분11월19)" xfId="3750"/>
    <cellStyle name=" _영흥#3,4 터빈발전기기초(AC-04)_보일러판넬현장설명회(배부용)" xfId="3751"/>
    <cellStyle name=" _영흥#3,4 터빈발전기기초(AC-04)_부품" xfId="3752"/>
    <cellStyle name=" _영흥#3,4터빈발전기기초(AC-04)" xfId="3753"/>
    <cellStyle name=" _영흥#3,4터빈발전기기초(AC-04)_1-온배수 양식장 가설계서" xfId="3754"/>
    <cellStyle name=" _영흥#3,4터빈발전기기초(AC-04)_경상정비 가설계서(12.07)" xfId="3755"/>
    <cellStyle name=" _영흥#3,4터빈발전기기초(AC-04)_경상정비 설계서(최종결재본)" xfId="3756"/>
    <cellStyle name=" _영흥#3,4터빈발전기기초(AC-04)_경상정비 설계서(최종분11월19)" xfId="3757"/>
    <cellStyle name=" _영흥#3,4터빈발전기기초(AC-04)_부품" xfId="3758"/>
    <cellStyle name=" _영흥#3,4터빈발전기기초공사(AC-04)" xfId="3759"/>
    <cellStyle name=" _영흥#3,4터빈발전기기초공사(AC-04)_1-온배수 양식장 가설계서" xfId="3760"/>
    <cellStyle name=" _영흥#3,4터빈발전기기초공사(AC-04)_경상정비 가설계서(12.07)" xfId="3761"/>
    <cellStyle name=" _영흥#3,4터빈발전기기초공사(AC-04)_경상정비 설계서(최종결재본)" xfId="3762"/>
    <cellStyle name=" _영흥#3,4터빈발전기기초공사(AC-04)_경상정비 설계서(최종분11월19)" xfId="3763"/>
    <cellStyle name=" _영흥#3,4터빈발전기기초공사(AC-04)_보일러판넬현장설명회(배부용)" xfId="3764"/>
    <cellStyle name=" _영흥#3,4터빈발전기기초공사(AC-04)_부품" xfId="3765"/>
    <cellStyle name=" _영흥_3,4 가스창고신축(AC-08)확정-샘플내역서" xfId="3766"/>
    <cellStyle name=" _옥내기기기초공설" xfId="3767"/>
    <cellStyle name=" _옥내기기기초공설_영흥_3,4 가스창고신축(AC-08)확정-샘플내역서" xfId="3768"/>
    <cellStyle name=" _옥외탱크기초-비교" xfId="3769"/>
    <cellStyle name=" _옥외탱크및기기기초(단가)" xfId="3770"/>
    <cellStyle name=" _임시공정율-탈황건축물량(동서)r1" xfId="3771"/>
    <cellStyle name=" _자곡동-내역서" xfId="3772"/>
    <cellStyle name=" _장비부표(2004 하반기)" xfId="3773"/>
    <cellStyle name=" _장비부표(2004 하반기)_1-온배수 양식장 가설계서" xfId="3774"/>
    <cellStyle name=" _장비부표(2004 하반기)_Book1" xfId="3775"/>
    <cellStyle name=" _장비부표(2004 하반기)_경상정비 가설계서(12.07)" xfId="3776"/>
    <cellStyle name=" _장비부표(2004 하반기)_경상정비 설계서(최종결재본)" xfId="3777"/>
    <cellStyle name=" _장비부표(2004 하반기)_경상정비 설계서(최종분11월19)" xfId="3778"/>
    <cellStyle name=" _장비부표(2004 하반기)_부품" xfId="3779"/>
    <cellStyle name=" _전기설비기초-FF" xfId="3780"/>
    <cellStyle name=" _정산설계서" xfId="3781"/>
    <cellStyle name=" _주제어마감수량산출서" xfId="3782"/>
    <cellStyle name=" _직접공사비 집계" xfId="3783"/>
    <cellStyle name=" _직접공사비 집계_1 당진78-연돌-공사설계서(REV.0 12.14-kopec)" xfId="3784"/>
    <cellStyle name=" _직접공사비 집계_1.0t 당진78-연돌-수량산출서(REV.0 12.27-kopec)" xfId="3785"/>
    <cellStyle name=" _직접공사비 집계_CC-02 본관기초굴착 예상" xfId="3786"/>
    <cellStyle name=" _직접공사비 집계_CC-02 본관기초굴착 예상_1 당진78-연돌-공사설계서(REV.0 12.14-kopec)" xfId="3787"/>
    <cellStyle name=" _직접공사비 집계_CC-02 본관기초굴착 예상_1.0t 당진78-연돌-수량산출서(REV.0 12.27-kopec)" xfId="3788"/>
    <cellStyle name=" _직접공사비 집계_CC-02 본관기초굴착 예상_당진78-연돌-개략공사비" xfId="3789"/>
    <cellStyle name=" _직접공사비 집계_CC-02 본관기초굴착 예상_연돌 현장타설말뚝(RCD)설계서" xfId="3790"/>
    <cellStyle name=" _직접공사비 집계_당진78-연돌-개략공사비" xfId="3791"/>
    <cellStyle name=" _직접공사비 집계_본관기초 가실행" xfId="3792"/>
    <cellStyle name=" _직접공사비 집계_본관기초 가실행_1 당진78-연돌-공사설계서(REV.0 12.14-kopec)" xfId="3793"/>
    <cellStyle name=" _직접공사비 집계_본관기초 가실행_1.0t 당진78-연돌-수량산출서(REV.0 12.27-kopec)" xfId="3794"/>
    <cellStyle name=" _직접공사비 집계_본관기초 가실행_당진78-연돌-개략공사비" xfId="3795"/>
    <cellStyle name=" _직접공사비 집계_본관기초 가실행_연돌 현장타설말뚝(RCD)설계서" xfId="3796"/>
    <cellStyle name=" _직접공사비 집계_본관기초굴착 예상도급" xfId="3797"/>
    <cellStyle name=" _직접공사비 집계_본관기초굴착 예상도급_1 당진78-연돌-공사설계서(REV.0 12.14-kopec)" xfId="3798"/>
    <cellStyle name=" _직접공사비 집계_본관기초굴착 예상도급_1.0t 당진78-연돌-수량산출서(REV.0 12.27-kopec)" xfId="3799"/>
    <cellStyle name=" _직접공사비 집계_본관기초굴착 예상도급_당진78-연돌-개략공사비" xfId="3800"/>
    <cellStyle name=" _직접공사비 집계_본관기초굴착 예상도급_연돌 현장타설말뚝(RCD)설계서" xfId="3801"/>
    <cellStyle name=" _직접공사비 집계_연돌 현장타설말뚝(RCD)설계서" xfId="3802"/>
    <cellStyle name=" _직접공사비 집계_한태견적의뢰" xfId="3803"/>
    <cellStyle name=" _철거공사비(050629-박유준감독검토)" xfId="3804"/>
    <cellStyle name=" _철근운반비" xfId="3805"/>
    <cellStyle name=" _철근운반비_7,8물량반영-전기설비기초0224" xfId="3806"/>
    <cellStyle name=" _철근운반비_7,8물량반영-전기설비기초0224_PRP-500 TYPE" xfId="3807"/>
    <cellStyle name=" _철근운반비_7,8물량반영-전기설비기초0224_공사비집계표(품의용)" xfId="3808"/>
    <cellStyle name=" _철근운반비_7,8물량반영-전기설비기초0224_공사비집계표(품의용)_PRP-500 TYPE" xfId="3809"/>
    <cellStyle name=" _철근운반비_7,8물량반영-전기설비기초0224_공사비집계표(품의용)_남부, 석산정거장(익진ENG 실행)" xfId="3810"/>
    <cellStyle name=" _철근운반비_7,8물량반영-전기설비기초0224_공사비집계표(품의용)_남부, 석산정거장PRP-500(Double)내역포함" xfId="3811"/>
    <cellStyle name=" _철근운반비_7,8물량반영-전기설비기초0224_공사비집계표(품의용)_양차장님(PRP, MOZART)" xfId="3812"/>
    <cellStyle name=" _철근운반비_7,8물량반영-전기설비기초0224_공사비집계표(품의용)_양차장님(PRP, MOZART)_양차장님LINER 벽체단가(PRP, MOZART,사면절곡)" xfId="3813"/>
    <cellStyle name=" _철근운반비_7,8물량반영-전기설비기초0224_남부, 석산정거장(익진ENG 실행)" xfId="3814"/>
    <cellStyle name=" _철근운반비_7,8물량반영-전기설비기초0224_남부, 석산정거장PRP-500(Double)내역포함" xfId="3815"/>
    <cellStyle name=" _철근운반비_7,8물량반영-전기설비기초0224_양차장님(PRP, MOZART)" xfId="3816"/>
    <cellStyle name=" _철근운반비_7,8물량반영-전기설비기초0224_양차장님(PRP, MOZART)_양차장님LINER 벽체단가(PRP, MOZART,사면절곡)" xfId="3817"/>
    <cellStyle name=" _철근운반비_AC-01 보일러 설계서 수정" xfId="3818"/>
    <cellStyle name=" _철근운반비_AC-01 보일러 설계서 수정_AC-14(최종수정)" xfId="3819"/>
    <cellStyle name=" _철근운반비_AC-01 보일러 설계서 수정_AC-14(최종수정)_Book1" xfId="3820"/>
    <cellStyle name=" _철근운반비_AC-01 보일러 설계서 수정_AC-14(최종수정)_발전설비 보수공사" xfId="3821"/>
    <cellStyle name=" _철근운반비_AC-01 보일러 설계서 수정_AC-14(최종수정)_발전설비 보수공사_Book1" xfId="3822"/>
    <cellStyle name=" _철근운반비_AC-01 보일러 설계서 수정_Book1" xfId="3823"/>
    <cellStyle name=" _철근운반비_AC-01 본관기초(가설계서 9월단가)" xfId="3824"/>
    <cellStyle name=" _철근운반비_AC-01 본관기초(가설계서 9월단가)_AC-14(최종수정)" xfId="3831"/>
    <cellStyle name=" _철근운반비_AC-01 본관기초(가설계서 9월단가)_AC-14(최종수정)_Book1" xfId="3832"/>
    <cellStyle name=" _철근운반비_AC-01 본관기초(가설계서 9월단가)_AC-14(최종수정)_발전설비 보수공사" xfId="3833"/>
    <cellStyle name=" _철근운반비_AC-01 본관기초(가설계서 9월단가)_AC-14(최종수정)_발전설비 보수공사_Book1" xfId="3834"/>
    <cellStyle name=" _철근운반비_AC-01 본관기초(가설계서 9월단가)_Book1" xfId="3835"/>
    <cellStyle name=" _철근운반비_AC-01 본관기초(가설계서 9월단가)-2" xfId="3825"/>
    <cellStyle name=" _철근운반비_AC-01 본관기초(가설계서 9월단가)-2_AC-14(최종수정)" xfId="3826"/>
    <cellStyle name=" _철근운반비_AC-01 본관기초(가설계서 9월단가)-2_AC-14(최종수정)_Book1" xfId="3827"/>
    <cellStyle name=" _철근운반비_AC-01 본관기초(가설계서 9월단가)-2_AC-14(최종수정)_발전설비 보수공사" xfId="3828"/>
    <cellStyle name=" _철근운반비_AC-01 본관기초(가설계서 9월단가)-2_AC-14(최종수정)_발전설비 보수공사_Book1" xfId="3829"/>
    <cellStyle name=" _철근운반비_AC-01 본관기초(가설계서 9월단가)-2_Book1" xfId="3830"/>
    <cellStyle name=" _철근운반비_AC-14건설사무소환경개선공사설계서(제출)REV10" xfId="3836"/>
    <cellStyle name=" _철근운반비_AC-14건설사무소환경개선공사설계서(제출)REV10_AC-14(최종수정)" xfId="3837"/>
    <cellStyle name=" _철근운반비_AC-14건설사무소환경개선공사설계서(제출)REV10_AC-14(최종수정)_Book1" xfId="3838"/>
    <cellStyle name=" _철근운반비_AC-14건설사무소환경개선공사설계서(제출)REV10_AC-14(최종수정)_발전설비 보수공사" xfId="3839"/>
    <cellStyle name=" _철근운반비_AC-14건설사무소환경개선공사설계서(제출)REV10_AC-14(최종수정)_발전설비 보수공사_Book1" xfId="3840"/>
    <cellStyle name=" _철근운반비_AC-14건설사무소환경개선공사설계서(제출)REV10_Book1" xfId="3841"/>
    <cellStyle name=" _철근운반비_Book1" xfId="3842"/>
    <cellStyle name=" _철근운반비_PRP-500 TYPE" xfId="3843"/>
    <cellStyle name=" _철근운반비_Songdo Convention Center 신축공사(060106제출수정본)" xfId="3844"/>
    <cellStyle name=" _철근운반비_공사비집계표" xfId="3845"/>
    <cellStyle name=" _철근운반비_공사비집계표(품의용)" xfId="3846"/>
    <cellStyle name=" _철근운반비_공사비집계표(품의용)_PRP-500 TYPE" xfId="3847"/>
    <cellStyle name=" _철근운반비_공사비집계표(품의용)_남부, 석산정거장(익진ENG 실행)" xfId="3848"/>
    <cellStyle name=" _철근운반비_공사비집계표(품의용)_남부, 석산정거장PRP-500(Double)내역포함" xfId="3849"/>
    <cellStyle name=" _철근운반비_공사비집계표(품의용)_양차장님(PRP, MOZART)" xfId="3850"/>
    <cellStyle name=" _철근운반비_공사비집계표(품의용)_양차장님(PRP, MOZART)_양차장님LINER 벽체단가(PRP, MOZART,사면절곡)" xfId="3851"/>
    <cellStyle name=" _철근운반비_공사비집계표_AC-14(최종수정)" xfId="3852"/>
    <cellStyle name=" _철근운반비_공사비집계표_AC-14(최종수정)_Book1" xfId="3853"/>
    <cellStyle name=" _철근운반비_공사비집계표_AC-14(최종수정)_발전설비 보수공사" xfId="3854"/>
    <cellStyle name=" _철근운반비_공사비집계표_AC-14(최종수정)_발전설비 보수공사_Book1" xfId="3855"/>
    <cellStyle name=" _철근운반비_공사비집계표_Book1" xfId="3856"/>
    <cellStyle name=" _철근운반비_구내도로 및 배수(단가)" xfId="3857"/>
    <cellStyle name=" _철근운반비_구내도로 및 배수(단가)_AC-01 보일러 설계서 수정" xfId="3858"/>
    <cellStyle name=" _철근운반비_구내도로 및 배수(단가)_AC-01 보일러 설계서 수정_AC-14(최종수정)" xfId="3859"/>
    <cellStyle name=" _철근운반비_구내도로 및 배수(단가)_AC-01 보일러 설계서 수정_AC-14(최종수정)_Book1" xfId="3860"/>
    <cellStyle name=" _철근운반비_구내도로 및 배수(단가)_AC-01 보일러 설계서 수정_AC-14(최종수정)_발전설비 보수공사" xfId="3861"/>
    <cellStyle name=" _철근운반비_구내도로 및 배수(단가)_AC-01 보일러 설계서 수정_AC-14(최종수정)_발전설비 보수공사_Book1" xfId="3862"/>
    <cellStyle name=" _철근운반비_구내도로 및 배수(단가)_AC-01 보일러 설계서 수정_Book1" xfId="3863"/>
    <cellStyle name=" _철근운반비_구내도로 및 배수(단가)_AC-01 본관기초(가설계서 9월단가)" xfId="3864"/>
    <cellStyle name=" _철근운반비_구내도로 및 배수(단가)_AC-01 본관기초(가설계서 9월단가)_AC-14(최종수정)" xfId="3871"/>
    <cellStyle name=" _철근운반비_구내도로 및 배수(단가)_AC-01 본관기초(가설계서 9월단가)_AC-14(최종수정)_Book1" xfId="3872"/>
    <cellStyle name=" _철근운반비_구내도로 및 배수(단가)_AC-01 본관기초(가설계서 9월단가)_AC-14(최종수정)_발전설비 보수공사" xfId="3873"/>
    <cellStyle name=" _철근운반비_구내도로 및 배수(단가)_AC-01 본관기초(가설계서 9월단가)_AC-14(최종수정)_발전설비 보수공사_Book1" xfId="3874"/>
    <cellStyle name=" _철근운반비_구내도로 및 배수(단가)_AC-01 본관기초(가설계서 9월단가)_Book1" xfId="3875"/>
    <cellStyle name=" _철근운반비_구내도로 및 배수(단가)_AC-01 본관기초(가설계서 9월단가)-2" xfId="3865"/>
    <cellStyle name=" _철근운반비_구내도로 및 배수(단가)_AC-01 본관기초(가설계서 9월단가)-2_AC-14(최종수정)" xfId="3866"/>
    <cellStyle name=" _철근운반비_구내도로 및 배수(단가)_AC-01 본관기초(가설계서 9월단가)-2_AC-14(최종수정)_Book1" xfId="3867"/>
    <cellStyle name=" _철근운반비_구내도로 및 배수(단가)_AC-01 본관기초(가설계서 9월단가)-2_AC-14(최종수정)_발전설비 보수공사" xfId="3868"/>
    <cellStyle name=" _철근운반비_구내도로 및 배수(단가)_AC-01 본관기초(가설계서 9월단가)-2_AC-14(최종수정)_발전설비 보수공사_Book1" xfId="3869"/>
    <cellStyle name=" _철근운반비_구내도로 및 배수(단가)_AC-01 본관기초(가설계서 9월단가)-2_Book1" xfId="3870"/>
    <cellStyle name=" _철근운반비_구내도로 및 배수(단가)_AC-14건설사무소환경개선공사설계서(제출)REV10" xfId="3876"/>
    <cellStyle name=" _철근운반비_구내도로 및 배수(단가)_AC-14건설사무소환경개선공사설계서(제출)REV10_AC-14(최종수정)" xfId="3877"/>
    <cellStyle name=" _철근운반비_구내도로 및 배수(단가)_AC-14건설사무소환경개선공사설계서(제출)REV10_AC-14(최종수정)_Book1" xfId="3878"/>
    <cellStyle name=" _철근운반비_구내도로 및 배수(단가)_AC-14건설사무소환경개선공사설계서(제출)REV10_AC-14(최종수정)_발전설비 보수공사" xfId="3879"/>
    <cellStyle name=" _철근운반비_구내도로 및 배수(단가)_AC-14건설사무소환경개선공사설계서(제출)REV10_AC-14(최종수정)_발전설비 보수공사_Book1" xfId="3880"/>
    <cellStyle name=" _철근운반비_구내도로 및 배수(단가)_AC-14건설사무소환경개선공사설계서(제출)REV10_Book1" xfId="3881"/>
    <cellStyle name=" _철근운반비_구내도로 및 배수(단가)_Book1" xfId="3882"/>
    <cellStyle name=" _철근운반비_구내도로 및 배수(단가)_PRP-500 TYPE" xfId="3883"/>
    <cellStyle name=" _철근운반비_구내도로 및 배수(단가)_Songdo Convention Center 신축공사(060106제출수정본)" xfId="3884"/>
    <cellStyle name=" _철근운반비_구내도로 및 배수(단가)_공사비집계표" xfId="3885"/>
    <cellStyle name=" _철근운반비_구내도로 및 배수(단가)_공사비집계표(품의용)" xfId="3886"/>
    <cellStyle name=" _철근운반비_구내도로 및 배수(단가)_공사비집계표(품의용)_PRP-500 TYPE" xfId="3887"/>
    <cellStyle name=" _철근운반비_구내도로 및 배수(단가)_공사비집계표(품의용)_남부, 석산정거장(익진ENG 실행)" xfId="3888"/>
    <cellStyle name=" _철근운반비_구내도로 및 배수(단가)_공사비집계표(품의용)_남부, 석산정거장PRP-500(Double)내역포함" xfId="3889"/>
    <cellStyle name=" _철근운반비_구내도로 및 배수(단가)_공사비집계표(품의용)_양차장님(PRP, MOZART)" xfId="3890"/>
    <cellStyle name=" _철근운반비_구내도로 및 배수(단가)_공사비집계표(품의용)_양차장님(PRP, MOZART)_양차장님LINER 벽체단가(PRP, MOZART,사면절곡)" xfId="3891"/>
    <cellStyle name=" _철근운반비_구내도로 및 배수(단가)_공사비집계표_AC-14(최종수정)" xfId="3892"/>
    <cellStyle name=" _철근운반비_구내도로 및 배수(단가)_공사비집계표_AC-14(최종수정)_Book1" xfId="3893"/>
    <cellStyle name=" _철근운반비_구내도로 및 배수(단가)_공사비집계표_AC-14(최종수정)_발전설비 보수공사" xfId="3894"/>
    <cellStyle name=" _철근운반비_구내도로 및 배수(단가)_공사비집계표_AC-14(최종수정)_발전설비 보수공사_Book1" xfId="3895"/>
    <cellStyle name=" _철근운반비_구내도로 및 배수(단가)_공사비집계표_Book1" xfId="3896"/>
    <cellStyle name=" _철근운반비_구내도로 및 배수(단가)_남부, 석산정거장(익진ENG 실행)" xfId="3897"/>
    <cellStyle name=" _철근운반비_구내도로 및 배수(단가)_남부, 석산정거장PRP-500(Double)내역포함" xfId="3898"/>
    <cellStyle name=" _철근운반비_구내도로 및 배수(단가)_발전설비 보수공사" xfId="3899"/>
    <cellStyle name=" _철근운반비_구내도로 및 배수(단가)_발전설비 보수공사_Book1" xfId="3900"/>
    <cellStyle name=" _철근운반비_구내도로 및 배수(단가)_보일러판넬현장설명회(배부용)" xfId="3901"/>
    <cellStyle name=" _철근운반비_구내도로 및 배수(단가)_양차장님(PRP, MOZART)" xfId="3902"/>
    <cellStyle name=" _철근운반비_구내도로 및 배수(단가)_양차장님(PRP, MOZART)_양차장님LINER 벽체단가(PRP, MOZART,사면절곡)" xfId="3903"/>
    <cellStyle name=" _철근운반비_구내도로 및 배수(단가)_영흥#3,4 터빈발전기기초(AC-04)" xfId="3904"/>
    <cellStyle name=" _철근운반비_구내도로 및 배수(단가)_추가품셈1-박" xfId="3905"/>
    <cellStyle name=" _철근운반비_구내도로 및 배수(단가)_추가품셈1-박_PRP-500 TYPE" xfId="3906"/>
    <cellStyle name=" _철근운반비_구내도로 및 배수(단가)_추가품셈1-박_남부, 석산정거장(익진ENG 실행)" xfId="3907"/>
    <cellStyle name=" _철근운반비_구내도로 및 배수(단가)_추가품셈1-박_남부, 석산정거장PRP-500(Double)내역포함" xfId="3908"/>
    <cellStyle name=" _철근운반비_구내도로 및 배수(단가)_추가품셈1-박_양차장님(PRP, MOZART)" xfId="3909"/>
    <cellStyle name=" _철근운반비_구내도로 및 배수(단가)_추가품셈1-박_양차장님(PRP, MOZART)_양차장님LINER 벽체단가(PRP, MOZART,사면절곡)" xfId="3910"/>
    <cellStyle name=" _철근운반비_남부, 석산정거장(익진ENG 실행)" xfId="3911"/>
    <cellStyle name=" _철근운반비_남부, 석산정거장PRP-500(Double)내역포함" xfId="3912"/>
    <cellStyle name=" _철근운반비_발전설비 보수공사" xfId="3913"/>
    <cellStyle name=" _철근운반비_발전설비 보수공사_Book1" xfId="3914"/>
    <cellStyle name=" _철근운반비_보일러판넬현장설명회(배부용)" xfId="3915"/>
    <cellStyle name=" _철근운반비_양차장님(PRP, MOZART)" xfId="3916"/>
    <cellStyle name=" _철근운반비_양차장님(PRP, MOZART)_양차장님LINER 벽체단가(PRP, MOZART,사면절곡)" xfId="3917"/>
    <cellStyle name=" _철근운반비_영흥#3,4 터빈발전기기초(AC-04)" xfId="3918"/>
    <cellStyle name=" _철근운반비_옥외탱크및기기기초(단가)" xfId="3919"/>
    <cellStyle name=" _철근운반비_옥외탱크및기기기초(단가)_PRP-500 TYPE" xfId="3920"/>
    <cellStyle name=" _철근운반비_옥외탱크및기기기초(단가)_공사비집계표(품의용)" xfId="3921"/>
    <cellStyle name=" _철근운반비_옥외탱크및기기기초(단가)_공사비집계표(품의용)_PRP-500 TYPE" xfId="3922"/>
    <cellStyle name=" _철근운반비_옥외탱크및기기기초(단가)_공사비집계표(품의용)_남부, 석산정거장(익진ENG 실행)" xfId="3923"/>
    <cellStyle name=" _철근운반비_옥외탱크및기기기초(단가)_공사비집계표(품의용)_남부, 석산정거장PRP-500(Double)내역포함" xfId="3924"/>
    <cellStyle name=" _철근운반비_옥외탱크및기기기초(단가)_공사비집계표(품의용)_양차장님(PRP, MOZART)" xfId="3925"/>
    <cellStyle name=" _철근운반비_옥외탱크및기기기초(단가)_공사비집계표(품의용)_양차장님(PRP, MOZART)_양차장님LINER 벽체단가(PRP, MOZART,사면절곡)" xfId="3926"/>
    <cellStyle name=" _철근운반비_옥외탱크및기기기초(단가)_남부, 석산정거장(익진ENG 실행)" xfId="3927"/>
    <cellStyle name=" _철근운반비_옥외탱크및기기기초(단가)_남부, 석산정거장PRP-500(Double)내역포함" xfId="3928"/>
    <cellStyle name=" _철근운반비_옥외탱크및기기기초(단가)_양차장님(PRP, MOZART)" xfId="3929"/>
    <cellStyle name=" _철근운반비_옥외탱크및기기기초(단가)_양차장님(PRP, MOZART)_양차장님LINER 벽체단가(PRP, MOZART,사면절곡)" xfId="3930"/>
    <cellStyle name=" _철근운반비_추가품셈1-박" xfId="3931"/>
    <cellStyle name=" _철근운반비_추가품셈1-박_PRP-500 TYPE" xfId="3932"/>
    <cellStyle name=" _철근운반비_추가품셈1-박_남부, 석산정거장(익진ENG 실행)" xfId="3933"/>
    <cellStyle name=" _철근운반비_추가품셈1-박_남부, 석산정거장PRP-500(Double)내역포함" xfId="3934"/>
    <cellStyle name=" _철근운반비_추가품셈1-박_양차장님(PRP, MOZART)" xfId="3935"/>
    <cellStyle name=" _철근운반비_추가품셈1-박_양차장님(PRP, MOZART)_양차장님LINER 벽체단가(PRP, MOZART,사면절곡)" xfId="3936"/>
    <cellStyle name=" _콘크리트품" xfId="3937"/>
    <cellStyle name=" _태안7,8 건설공사(기계분야_계약)-1" xfId="3938"/>
    <cellStyle name=" _태안7,8 건설공사(제어분야_계약)" xfId="3939"/>
    <cellStyle name=" _터빈발전기기초(단가)" xfId="3940"/>
    <cellStyle name=" _터빈발전기기초(단가)_AC-05옥내기기기초" xfId="3941"/>
    <cellStyle name=" _터빈발전기기초(단가)_AC-05옥내기기기초_pkg별설계가집계(태안7.8호기)" xfId="3942"/>
    <cellStyle name=" _터빈발전기기초(단가)_AC-05옥내기기기초_pkg별설계가집계(태안7.8호기)_PRP-500 TYPE" xfId="3943"/>
    <cellStyle name=" _터빈발전기기초(단가)_AC-05옥내기기기초_pkg별설계가집계(태안7.8호기)_남부, 석산정거장(익진ENG 실행)" xfId="3944"/>
    <cellStyle name=" _터빈발전기기초(단가)_AC-05옥내기기기초_pkg별설계가집계(태안7.8호기)_남부, 석산정거장PRP-500(Double)내역포함" xfId="3945"/>
    <cellStyle name=" _터빈발전기기초(단가)_AC-05옥내기기기초_pkg별설계가집계(태안7.8호기)_양차장님(PRP, MOZART)" xfId="3946"/>
    <cellStyle name=" _터빈발전기기초(단가)_AC-05옥내기기기초_pkg별설계가집계(태안7.8호기)_양차장님(PRP, MOZART)_양차장님LINER 벽체단가(PRP, MOZART,사면절곡)" xfId="3947"/>
    <cellStyle name=" _터빈발전기기초(단가)_AC-05옥내기기기초_PRP-500 TYPE" xfId="3948"/>
    <cellStyle name=" _터빈발전기기초(단가)_AC-05옥내기기기초_건축보령7,8(총액확정)" xfId="3949"/>
    <cellStyle name=" _터빈발전기기초(단가)_AC-05옥내기기기초_건축보령7,8(총액확정)_PRP-500 TYPE" xfId="3950"/>
    <cellStyle name=" _터빈발전기기초(단가)_AC-05옥내기기기초_건축보령7,8(총액확정)_남부, 석산정거장(익진ENG 실행)" xfId="3951"/>
    <cellStyle name=" _터빈발전기기초(단가)_AC-05옥내기기기초_건축보령7,8(총액확정)_남부, 석산정거장PRP-500(Double)내역포함" xfId="3952"/>
    <cellStyle name=" _터빈발전기기초(단가)_AC-05옥내기기기초_건축보령7,8(총액확정)_양차장님(PRP, MOZART)" xfId="3953"/>
    <cellStyle name=" _터빈발전기기초(단가)_AC-05옥내기기기초_건축보령7,8(총액확정)_양차장님(PRP, MOZART)_양차장님LINER 벽체단가(PRP, MOZART,사면절곡)" xfId="3954"/>
    <cellStyle name=" _터빈발전기기초(단가)_AC-05옥내기기기초_남부, 석산정거장(익진ENG 실행)" xfId="3955"/>
    <cellStyle name=" _터빈발전기기초(단가)_AC-05옥내기기기초_남부, 석산정거장PRP-500(Double)내역포함" xfId="3956"/>
    <cellStyle name=" _터빈발전기기초(단가)_AC-05옥내기기기초_실행예산" xfId="3957"/>
    <cellStyle name=" _터빈발전기기초(단가)_AC-05옥내기기기초_실행예산_PRP-500 TYPE" xfId="3958"/>
    <cellStyle name=" _터빈발전기기초(단가)_AC-05옥내기기기초_실행예산_남부, 석산정거장(익진ENG 실행)" xfId="3959"/>
    <cellStyle name=" _터빈발전기기초(단가)_AC-05옥내기기기초_실행예산_남부, 석산정거장PRP-500(Double)내역포함" xfId="3960"/>
    <cellStyle name=" _터빈발전기기초(단가)_AC-05옥내기기기초_실행예산_양차장님(PRP, MOZART)" xfId="3961"/>
    <cellStyle name=" _터빈발전기기초(단가)_AC-05옥내기기기초_실행예산_양차장님(PRP, MOZART)_양차장님LINER 벽체단가(PRP, MOZART,사면절곡)" xfId="3962"/>
    <cellStyle name=" _터빈발전기기초(단가)_AC-05옥내기기기초_양차장님(PRP, MOZART)" xfId="3963"/>
    <cellStyle name=" _터빈발전기기초(단가)_AC-05옥내기기기초_양차장님(PRP, MOZART)_양차장님LINER 벽체단가(PRP, MOZART,사면절곡)" xfId="3964"/>
    <cellStyle name=" _터빈발전기기초(단가)_pkg별설계가집계(태안7.8호기)" xfId="3965"/>
    <cellStyle name=" _터빈발전기기초(단가)_pkg별설계가집계(태안7.8호기)_PRP-500 TYPE" xfId="3966"/>
    <cellStyle name=" _터빈발전기기초(단가)_pkg별설계가집계(태안7.8호기)_남부, 석산정거장(익진ENG 실행)" xfId="3967"/>
    <cellStyle name=" _터빈발전기기초(단가)_pkg별설계가집계(태안7.8호기)_남부, 석산정거장PRP-500(Double)내역포함" xfId="3968"/>
    <cellStyle name=" _터빈발전기기초(단가)_pkg별설계가집계(태안7.8호기)_양차장님(PRP, MOZART)" xfId="3969"/>
    <cellStyle name=" _터빈발전기기초(단가)_pkg별설계가집계(태안7.8호기)_양차장님(PRP, MOZART)_양차장님LINER 벽체단가(PRP, MOZART,사면절곡)" xfId="3970"/>
    <cellStyle name=" _터빈발전기기초(단가)_PRP-500 TYPE" xfId="3971"/>
    <cellStyle name=" _터빈발전기기초(단가)_건축보령7,8(총액확정)" xfId="3972"/>
    <cellStyle name=" _터빈발전기기초(단가)_건축보령7,8(총액확정)_PRP-500 TYPE" xfId="3973"/>
    <cellStyle name=" _터빈발전기기초(단가)_건축보령7,8(총액확정)_남부, 석산정거장(익진ENG 실행)" xfId="3974"/>
    <cellStyle name=" _터빈발전기기초(단가)_건축보령7,8(총액확정)_남부, 석산정거장PRP-500(Double)내역포함" xfId="3975"/>
    <cellStyle name=" _터빈발전기기초(단가)_건축보령7,8(총액확정)_양차장님(PRP, MOZART)" xfId="3976"/>
    <cellStyle name=" _터빈발전기기초(단가)_건축보령7,8(총액확정)_양차장님(PRP, MOZART)_양차장님LINER 벽체단가(PRP, MOZART,사면절곡)" xfId="3977"/>
    <cellStyle name=" _터빈발전기기초(단가)_남부, 석산정거장(익진ENG 실행)" xfId="3978"/>
    <cellStyle name=" _터빈발전기기초(단가)_남부, 석산정거장PRP-500(Double)내역포함" xfId="3979"/>
    <cellStyle name=" _터빈발전기기초(단가)_실행예산" xfId="3980"/>
    <cellStyle name=" _터빈발전기기초(단가)_실행예산_PRP-500 TYPE" xfId="3981"/>
    <cellStyle name=" _터빈발전기기초(단가)_실행예산_남부, 석산정거장(익진ENG 실행)" xfId="3982"/>
    <cellStyle name=" _터빈발전기기초(단가)_실행예산_남부, 석산정거장PRP-500(Double)내역포함" xfId="3983"/>
    <cellStyle name=" _터빈발전기기초(단가)_실행예산_양차장님(PRP, MOZART)" xfId="3984"/>
    <cellStyle name=" _터빈발전기기초(단가)_실행예산_양차장님(PRP, MOZART)_양차장님LINER 벽체단가(PRP, MOZART,사면절곡)" xfId="3985"/>
    <cellStyle name=" _터빈발전기기초(단가)_양차장님(PRP, MOZART)" xfId="3986"/>
    <cellStyle name=" _터빈발전기기초(단가)_양차장님(PRP, MOZART)_양차장님LINER 벽체단가(PRP, MOZART,사면절곡)" xfId="3987"/>
    <cellStyle name=" _투찰내역(건축공사)" xfId="3988"/>
    <cellStyle name=" _투찰내역(토목공사)" xfId="3989"/>
    <cellStyle name=" _품셈" xfId="3990"/>
    <cellStyle name=" _품셈 및 별표-RA" xfId="3991"/>
    <cellStyle name=" _품셈 및 별표-RA_AC-01_GT건물신축공사_061031_RA" xfId="3992"/>
    <cellStyle name=" _품셈 및 별표-RA_AC-01_GT건물신축공사_061031_RA_AC-08_보조보일러건물신축공사_061031_RA" xfId="3993"/>
    <cellStyle name=" _품셈 및 별표-RA_AC-01_GT건물신축공사_061031_RA_AC-09_수처리및폐수처리건물신축공사_061031_RA" xfId="3994"/>
    <cellStyle name=" _품셈 및 별표-RA_AC-05_주제어건물신축공사_061031_RA" xfId="3995"/>
    <cellStyle name=" _품셈 및 별표-RA_AC-05_주제어건물신축공사_061031_RA_AC-08_보조보일러건물신축공사_061031_RA" xfId="3996"/>
    <cellStyle name=" _품셈 및 별표-RA_AC-05_주제어건물신축공사_061031_RA_AC-09_수처리및폐수처리건물신축공사_061031_RA" xfId="3997"/>
    <cellStyle name=" _품셈 및 별표-RA_AC-08_보조보일러건물신축공사_061031_RA" xfId="3998"/>
    <cellStyle name=" _품셈 및 별표-RA_AC-09_수처리및폐수처리건물신축공사_061031_RA" xfId="3999"/>
    <cellStyle name=" _품셈_0 영흥34-연돌-수량산출서2006.06.04" xfId="4000"/>
    <cellStyle name=" _품셈_1 당진78-연돌-공사설계서(REV.0 12.14-kopec)" xfId="4001"/>
    <cellStyle name=" _품셈_1.0t 당진78-연돌-수량산출서(REV.0 12.27-kopec)" xfId="4002"/>
    <cellStyle name=" _품셈_329전기설비기초-비교" xfId="4003"/>
    <cellStyle name=" _품셈_7,8물량반영-전기설비기초0224" xfId="4004"/>
    <cellStyle name=" _품셈_AC-01 보일러 설계서 수정" xfId="4005"/>
    <cellStyle name=" _품셈_AC-01 보일러 설계서 수정_1-온배수 양식장 가설계서" xfId="4006"/>
    <cellStyle name=" _품셈_AC-01 보일러 설계서 수정_AC-14(최종수정)" xfId="4007"/>
    <cellStyle name=" _품셈_AC-01 보일러 설계서 수정_AC-14(최종수정)_1-온배수 양식장 가설계서" xfId="4008"/>
    <cellStyle name=" _품셈_AC-01 보일러 설계서 수정_AC-14(최종수정)_Book1" xfId="4009"/>
    <cellStyle name=" _품셈_AC-01 보일러 설계서 수정_AC-14(최종수정)_경상정비 가설계서(12.07)" xfId="4010"/>
    <cellStyle name=" _품셈_AC-01 보일러 설계서 수정_AC-14(최종수정)_경상정비 설계서(최종결재본)" xfId="4011"/>
    <cellStyle name=" _품셈_AC-01 보일러 설계서 수정_AC-14(최종수정)_경상정비 설계서(최종분11월19)" xfId="4012"/>
    <cellStyle name=" _품셈_AC-01 보일러 설계서 수정_AC-14(최종수정)_발전설비 보수공사" xfId="4013"/>
    <cellStyle name=" _품셈_AC-01 보일러 설계서 수정_AC-14(최종수정)_발전설비 보수공사_1-온배수 양식장 가설계서" xfId="4014"/>
    <cellStyle name=" _품셈_AC-01 보일러 설계서 수정_AC-14(최종수정)_발전설비 보수공사_Book1" xfId="4015"/>
    <cellStyle name=" _품셈_AC-01 보일러 설계서 수정_AC-14(최종수정)_발전설비 보수공사_경상정비 가설계서(12.07)" xfId="4016"/>
    <cellStyle name=" _품셈_AC-01 보일러 설계서 수정_AC-14(최종수정)_발전설비 보수공사_경상정비 설계서(최종결재본)" xfId="4017"/>
    <cellStyle name=" _품셈_AC-01 보일러 설계서 수정_AC-14(최종수정)_발전설비 보수공사_경상정비 설계서(최종분11월19)" xfId="4018"/>
    <cellStyle name=" _품셈_AC-01 보일러 설계서 수정_AC-14(최종수정)_발전설비 보수공사_부품" xfId="4019"/>
    <cellStyle name=" _품셈_AC-01 보일러 설계서 수정_AC-14(최종수정)_부품" xfId="4020"/>
    <cellStyle name=" _품셈_AC-01 보일러 설계서 수정_Book1" xfId="4021"/>
    <cellStyle name=" _품셈_AC-01 보일러 설계서 수정_경상정비 가설계서(12.07)" xfId="4022"/>
    <cellStyle name=" _품셈_AC-01 보일러 설계서 수정_경상정비 설계서(최종결재본)" xfId="4023"/>
    <cellStyle name=" _품셈_AC-01 보일러 설계서 수정_경상정비 설계서(최종분11월19)" xfId="4024"/>
    <cellStyle name=" _품셈_AC-01 보일러 설계서 수정_부품" xfId="4025"/>
    <cellStyle name=" _품셈_AC-01 본관기초(가설계서 9월단가)" xfId="4026"/>
    <cellStyle name=" _품셈_AC-01 본관기초(가설계서 9월단가)_1-온배수 양식장 가설계서" xfId="4048"/>
    <cellStyle name=" _품셈_AC-01 본관기초(가설계서 9월단가)_AC-14(최종수정)" xfId="4049"/>
    <cellStyle name=" _품셈_AC-01 본관기초(가설계서 9월단가)_AC-14(최종수정)_1-온배수 양식장 가설계서" xfId="4050"/>
    <cellStyle name=" _품셈_AC-01 본관기초(가설계서 9월단가)_AC-14(최종수정)_Book1" xfId="4051"/>
    <cellStyle name=" _품셈_AC-01 본관기초(가설계서 9월단가)_AC-14(최종수정)_경상정비 가설계서(12.07)" xfId="4052"/>
    <cellStyle name=" _품셈_AC-01 본관기초(가설계서 9월단가)_AC-14(최종수정)_경상정비 설계서(최종결재본)" xfId="4053"/>
    <cellStyle name=" _품셈_AC-01 본관기초(가설계서 9월단가)_AC-14(최종수정)_경상정비 설계서(최종분11월19)" xfId="4054"/>
    <cellStyle name=" _품셈_AC-01 본관기초(가설계서 9월단가)_AC-14(최종수정)_발전설비 보수공사" xfId="4055"/>
    <cellStyle name=" _품셈_AC-01 본관기초(가설계서 9월단가)_AC-14(최종수정)_발전설비 보수공사_1-온배수 양식장 가설계서" xfId="4056"/>
    <cellStyle name=" _품셈_AC-01 본관기초(가설계서 9월단가)_AC-14(최종수정)_발전설비 보수공사_Book1" xfId="4057"/>
    <cellStyle name=" _품셈_AC-01 본관기초(가설계서 9월단가)_AC-14(최종수정)_발전설비 보수공사_경상정비 가설계서(12.07)" xfId="4058"/>
    <cellStyle name=" _품셈_AC-01 본관기초(가설계서 9월단가)_AC-14(최종수정)_발전설비 보수공사_경상정비 설계서(최종결재본)" xfId="4059"/>
    <cellStyle name=" _품셈_AC-01 본관기초(가설계서 9월단가)_AC-14(최종수정)_발전설비 보수공사_경상정비 설계서(최종분11월19)" xfId="4060"/>
    <cellStyle name=" _품셈_AC-01 본관기초(가설계서 9월단가)_AC-14(최종수정)_발전설비 보수공사_부품" xfId="4061"/>
    <cellStyle name=" _품셈_AC-01 본관기초(가설계서 9월단가)_AC-14(최종수정)_부품" xfId="4062"/>
    <cellStyle name=" _품셈_AC-01 본관기초(가설계서 9월단가)_Book1" xfId="4063"/>
    <cellStyle name=" _품셈_AC-01 본관기초(가설계서 9월단가)_경상정비 가설계서(12.07)" xfId="4064"/>
    <cellStyle name=" _품셈_AC-01 본관기초(가설계서 9월단가)_경상정비 설계서(최종결재본)" xfId="4065"/>
    <cellStyle name=" _품셈_AC-01 본관기초(가설계서 9월단가)_경상정비 설계서(최종분11월19)" xfId="4066"/>
    <cellStyle name=" _품셈_AC-01 본관기초(가설계서 9월단가)_부품" xfId="4067"/>
    <cellStyle name=" _품셈_AC-01 본관기초(가설계서 9월단가)-2" xfId="4027"/>
    <cellStyle name=" _품셈_AC-01 본관기초(가설계서 9월단가)-2_1-온배수 양식장 가설계서" xfId="4028"/>
    <cellStyle name=" _품셈_AC-01 본관기초(가설계서 9월단가)-2_AC-14(최종수정)" xfId="4029"/>
    <cellStyle name=" _품셈_AC-01 본관기초(가설계서 9월단가)-2_AC-14(최종수정)_1-온배수 양식장 가설계서" xfId="4030"/>
    <cellStyle name=" _품셈_AC-01 본관기초(가설계서 9월단가)-2_AC-14(최종수정)_Book1" xfId="4031"/>
    <cellStyle name=" _품셈_AC-01 본관기초(가설계서 9월단가)-2_AC-14(최종수정)_경상정비 가설계서(12.07)" xfId="4032"/>
    <cellStyle name=" _품셈_AC-01 본관기초(가설계서 9월단가)-2_AC-14(최종수정)_경상정비 설계서(최종결재본)" xfId="4033"/>
    <cellStyle name=" _품셈_AC-01 본관기초(가설계서 9월단가)-2_AC-14(최종수정)_경상정비 설계서(최종분11월19)" xfId="4034"/>
    <cellStyle name=" _품셈_AC-01 본관기초(가설계서 9월단가)-2_AC-14(최종수정)_발전설비 보수공사" xfId="4035"/>
    <cellStyle name=" _품셈_AC-01 본관기초(가설계서 9월단가)-2_AC-14(최종수정)_발전설비 보수공사_1-온배수 양식장 가설계서" xfId="4036"/>
    <cellStyle name=" _품셈_AC-01 본관기초(가설계서 9월단가)-2_AC-14(최종수정)_발전설비 보수공사_Book1" xfId="4037"/>
    <cellStyle name=" _품셈_AC-01 본관기초(가설계서 9월단가)-2_AC-14(최종수정)_발전설비 보수공사_경상정비 가설계서(12.07)" xfId="4038"/>
    <cellStyle name=" _품셈_AC-01 본관기초(가설계서 9월단가)-2_AC-14(최종수정)_발전설비 보수공사_경상정비 설계서(최종결재본)" xfId="4039"/>
    <cellStyle name=" _품셈_AC-01 본관기초(가설계서 9월단가)-2_AC-14(최종수정)_발전설비 보수공사_경상정비 설계서(최종분11월19)" xfId="4040"/>
    <cellStyle name=" _품셈_AC-01 본관기초(가설계서 9월단가)-2_AC-14(최종수정)_발전설비 보수공사_부품" xfId="4041"/>
    <cellStyle name=" _품셈_AC-01 본관기초(가설계서 9월단가)-2_AC-14(최종수정)_부품" xfId="4042"/>
    <cellStyle name=" _품셈_AC-01 본관기초(가설계서 9월단가)-2_Book1" xfId="4043"/>
    <cellStyle name=" _품셈_AC-01 본관기초(가설계서 9월단가)-2_경상정비 가설계서(12.07)" xfId="4044"/>
    <cellStyle name=" _품셈_AC-01 본관기초(가설계서 9월단가)-2_경상정비 설계서(최종결재본)" xfId="4045"/>
    <cellStyle name=" _품셈_AC-01 본관기초(가설계서 9월단가)-2_경상정비 설계서(최종분11월19)" xfId="4046"/>
    <cellStyle name=" _품셈_AC-01 본관기초(가설계서 9월단가)-2_부품" xfId="4047"/>
    <cellStyle name=" _품셈_AC-01_GT건물신축공사_061031_RA" xfId="4068"/>
    <cellStyle name=" _품셈_AC-01_GT건물신축공사_061031_RA_AC-08_보조보일러건물신축공사_061031_RA" xfId="4069"/>
    <cellStyle name=" _품셈_AC-01_GT건물신축공사_061031_RA_AC-09_수처리및폐수처리건물신축공사_061031_RA" xfId="4070"/>
    <cellStyle name=" _품셈_AC-01터빈주제어및보일러기초" xfId="4071"/>
    <cellStyle name=" _품셈_AC-01터빈주제어및보일러기초_PRP-500 TYPE" xfId="4072"/>
    <cellStyle name=" _품셈_AC-01터빈주제어및보일러기초_건축보령7,8(총액확정)" xfId="4073"/>
    <cellStyle name=" _품셈_AC-01터빈주제어및보일러기초_건축보령7,8(총액확정)_PRP-500 TYPE" xfId="4074"/>
    <cellStyle name=" _품셈_AC-01터빈주제어및보일러기초_건축보령7,8(총액확정)_남부, 석산정거장(익진ENG 실행)" xfId="4075"/>
    <cellStyle name=" _품셈_AC-01터빈주제어및보일러기초_건축보령7,8(총액확정)_남부, 석산정거장PRP-500(Double)내역포함" xfId="4076"/>
    <cellStyle name=" _품셈_AC-01터빈주제어및보일러기초_건축보령7,8(총액확정)_양차장님(PRP, MOZART)" xfId="4077"/>
    <cellStyle name=" _품셈_AC-01터빈주제어및보일러기초_건축보령7,8(총액확정)_양차장님(PRP, MOZART)_양차장님LINER 벽체단가(PRP, MOZART,사면절곡)" xfId="4078"/>
    <cellStyle name=" _품셈_AC-01터빈주제어및보일러기초_남부, 석산정거장(익진ENG 실행)" xfId="4079"/>
    <cellStyle name=" _품셈_AC-01터빈주제어및보일러기초_남부, 석산정거장PRP-500(Double)내역포함" xfId="4080"/>
    <cellStyle name=" _품셈_AC-01터빈주제어및보일러기초_실행예산" xfId="4081"/>
    <cellStyle name=" _품셈_AC-01터빈주제어및보일러기초_실행예산_PRP-500 TYPE" xfId="4082"/>
    <cellStyle name=" _품셈_AC-01터빈주제어및보일러기초_실행예산_남부, 석산정거장(익진ENG 실행)" xfId="4083"/>
    <cellStyle name=" _품셈_AC-01터빈주제어및보일러기초_실행예산_남부, 석산정거장PRP-500(Double)내역포함" xfId="4084"/>
    <cellStyle name=" _품셈_AC-01터빈주제어및보일러기초_실행예산_양차장님(PRP, MOZART)" xfId="4085"/>
    <cellStyle name=" _품셈_AC-01터빈주제어및보일러기초_실행예산_양차장님(PRP, MOZART)_양차장님LINER 벽체단가(PRP, MOZART,사면절곡)" xfId="4086"/>
    <cellStyle name=" _품셈_AC-01터빈주제어및보일러기초_양차장님(PRP, MOZART)" xfId="4087"/>
    <cellStyle name=" _품셈_AC-01터빈주제어및보일러기초_양차장님(PRP, MOZART)_양차장님LINER 벽체단가(PRP, MOZART,사면절곡)" xfId="4088"/>
    <cellStyle name=" _품셈_AC-03 R1" xfId="4089"/>
    <cellStyle name=" _품셈_AC-03 기성대가산출서(최종안(감사과))xls" xfId="4090"/>
    <cellStyle name=" _품셈_AC-03 기성산출서기본(대가 임시용)" xfId="4091"/>
    <cellStyle name=" _품셈_AC-04터빈발전기기초" xfId="4092"/>
    <cellStyle name=" _품셈_AC-04터빈발전기기초_AC-01_GT건물신축공사_061031_RA" xfId="4093"/>
    <cellStyle name=" _품셈_AC-04터빈발전기기초_AC-01_GT건물신축공사_061031_RA_AC-01_GT건물신축공사_061031_RA" xfId="4094"/>
    <cellStyle name=" _품셈_AC-04터빈발전기기초_AC-01_GT건물신축공사_061031_RA_AC-08_보조보일러건물신축공사_061031_RA" xfId="4095"/>
    <cellStyle name=" _품셈_AC-04터빈발전기기초_AC-01_GT건물신축공사_061031_RA_AC-09_수처리및폐수처리건물신축공사_061031_RA" xfId="4096"/>
    <cellStyle name=" _품셈_AC-04터빈발전기기초_AC-01_GT건물신축공사_061031_RA_AC-10_염소주입실신축공사_061031_RA" xfId="4097"/>
    <cellStyle name=" _품셈_AC-04터빈발전기기초_AC-05_주제어건물신축공사_061031_RA" xfId="4098"/>
    <cellStyle name=" _품셈_AC-04터빈발전기기초_AC-05_주제어건물신축공사_061031_RA_AC-01_GT건물신축공사_061031_RA" xfId="4099"/>
    <cellStyle name=" _품셈_AC-04터빈발전기기초_AC-05_주제어건물신축공사_061031_RA_AC-01_GT건물신축공사_061031_RA_AC-08_보조보일러건물신축공사_061031_RA" xfId="4100"/>
    <cellStyle name=" _품셈_AC-04터빈발전기기초_AC-05_주제어건물신축공사_061031_RA_AC-01_GT건물신축공사_061031_RA_AC-09_수처리및폐수처리건물신축공사_061031_RA" xfId="4101"/>
    <cellStyle name=" _품셈_AC-04터빈발전기기초_AC-05_주제어건물신축공사_061031_RA_AC-05_주제어건물신축공사_061031_RA" xfId="4102"/>
    <cellStyle name=" _품셈_AC-04터빈발전기기초_AC-05_주제어건물신축공사_061031_RA_AC-05_주제어건물신축공사_061031_RA_AC-08_보조보일러건물신축공사_061031_RA" xfId="4103"/>
    <cellStyle name=" _품셈_AC-04터빈발전기기초_AC-05_주제어건물신축공사_061031_RA_AC-05_주제어건물신축공사_061031_RA_AC-09_수처리및폐수처리건물신축공사_061031_RA" xfId="4104"/>
    <cellStyle name=" _품셈_AC-04터빈발전기기초_AC-05_주제어건물신축공사_061031_RA_AC-08_보조보일러건물신축공사_061031_RA" xfId="4105"/>
    <cellStyle name=" _품셈_AC-04터빈발전기기초_AC-05_주제어건물신축공사_061031_RA_AC-09_수처리및폐수처리건물신축공사_061031_RA" xfId="4106"/>
    <cellStyle name=" _품셈_AC-04터빈발전기기초_AC-08_보조보일러건물신축공사_061031_RA" xfId="4107"/>
    <cellStyle name=" _품셈_AC-04터빈발전기기초_AC-08_보조보일러건물신축공사_061031_RA_AC-08_보조보일러건물신축공사_061031_RA" xfId="4108"/>
    <cellStyle name=" _품셈_AC-04터빈발전기기초_AC-08_보조보일러건물신축공사_061031_RA_AC-09_수처리및폐수처리건물신축공사_061031_RA" xfId="4109"/>
    <cellStyle name=" _품셈_AC-04터빈발전기기초_AC-09_수처리및폐수처리건물신축공사_061031_RA" xfId="4110"/>
    <cellStyle name=" _품셈_AC-04터빈발전기기초_AC-09_수처리및폐수처리건물신축공사_061031_RA_AC-08_보조보일러건물신축공사_061031_RA" xfId="4111"/>
    <cellStyle name=" _품셈_AC-04터빈발전기기초_AC-09_수처리및폐수처리건물신축공사_061031_RA_AC-09_수처리및폐수처리건물신축공사_061031_RA" xfId="4112"/>
    <cellStyle name=" _품셈_AC-04터빈발전기기초_PRP-500 TYPE" xfId="4113"/>
    <cellStyle name=" _품셈_AC-04터빈발전기기초_건축보령7,8(총액확정)" xfId="4114"/>
    <cellStyle name=" _품셈_AC-04터빈발전기기초_건축보령7,8(총액확정)_PRP-500 TYPE" xfId="4115"/>
    <cellStyle name=" _품셈_AC-04터빈발전기기초_건축보령7,8(총액확정)_남부, 석산정거장(익진ENG 실행)" xfId="4116"/>
    <cellStyle name=" _품셈_AC-04터빈발전기기초_건축보령7,8(총액확정)_남부, 석산정거장PRP-500(Double)내역포함" xfId="4117"/>
    <cellStyle name=" _품셈_AC-04터빈발전기기초_건축보령7,8(총액확정)_양차장님(PRP, MOZART)" xfId="4118"/>
    <cellStyle name=" _품셈_AC-04터빈발전기기초_건축보령7,8(총액확정)_양차장님(PRP, MOZART)_양차장님LINER 벽체단가(PRP, MOZART,사면절곡)" xfId="4119"/>
    <cellStyle name=" _품셈_AC-04터빈발전기기초_남부, 석산정거장(익진ENG 실행)" xfId="4120"/>
    <cellStyle name=" _품셈_AC-04터빈발전기기초_남부, 석산정거장PRP-500(Double)내역포함" xfId="4121"/>
    <cellStyle name=" _품셈_AC-04터빈발전기기초_실행예산" xfId="4122"/>
    <cellStyle name=" _품셈_AC-04터빈발전기기초_실행예산_PRP-500 TYPE" xfId="4123"/>
    <cellStyle name=" _품셈_AC-04터빈발전기기초_실행예산_남부, 석산정거장(익진ENG 실행)" xfId="4124"/>
    <cellStyle name=" _품셈_AC-04터빈발전기기초_실행예산_남부, 석산정거장PRP-500(Double)내역포함" xfId="4125"/>
    <cellStyle name=" _품셈_AC-04터빈발전기기초_실행예산_양차장님(PRP, MOZART)" xfId="4126"/>
    <cellStyle name=" _품셈_AC-04터빈발전기기초_실행예산_양차장님(PRP, MOZART)_양차장님LINER 벽체단가(PRP, MOZART,사면절곡)" xfId="4127"/>
    <cellStyle name=" _품셈_AC-04터빈발전기기초_양차장님(PRP, MOZART)" xfId="4128"/>
    <cellStyle name=" _품셈_AC-04터빈발전기기초_양차장님(PRP, MOZART)_양차장님LINER 벽체단가(PRP, MOZART,사면절곡)" xfId="4129"/>
    <cellStyle name=" _품셈_AC-05_주제어건물신축공사_061031_RA" xfId="4130"/>
    <cellStyle name=" _품셈_AC-05_주제어건물신축공사_061031_RA_1" xfId="4131"/>
    <cellStyle name=" _품셈_AC-05_주제어건물신축공사_061031_RA_1_AC-08_보조보일러건물신축공사_061031_RA" xfId="4132"/>
    <cellStyle name=" _품셈_AC-05_주제어건물신축공사_061031_RA_1_AC-09_수처리및폐수처리건물신축공사_061031_RA" xfId="4133"/>
    <cellStyle name=" _품셈_AC-05_주제어건물신축공사_061031_RA_AC-01_GT건물신축공사_061031_RA" xfId="4134"/>
    <cellStyle name=" _품셈_AC-05_주제어건물신축공사_061031_RA_AC-01_GT건물신축공사_061031_RA_AC-08_보조보일러건물신축공사_061031_RA" xfId="4135"/>
    <cellStyle name=" _품셈_AC-05_주제어건물신축공사_061031_RA_AC-01_GT건물신축공사_061031_RA_AC-09_수처리및폐수처리건물신축공사_061031_RA" xfId="4136"/>
    <cellStyle name=" _품셈_AC-05_주제어건물신축공사_061031_RA_AC-05_주제어건물신축공사_061031_RA" xfId="4137"/>
    <cellStyle name=" _품셈_AC-05_주제어건물신축공사_061031_RA_AC-05_주제어건물신축공사_061031_RA_AC-08_보조보일러건물신축공사_061031_RA" xfId="4138"/>
    <cellStyle name=" _품셈_AC-05_주제어건물신축공사_061031_RA_AC-05_주제어건물신축공사_061031_RA_AC-09_수처리및폐수처리건물신축공사_061031_RA" xfId="4139"/>
    <cellStyle name=" _품셈_AC-05_주제어건물신축공사_061031_RA_AC-08_보조보일러건물신축공사_061031_RA" xfId="4140"/>
    <cellStyle name=" _품셈_AC-05_주제어건물신축공사_061031_RA_AC-09_수처리및폐수처리건물신축공사_061031_RA" xfId="4141"/>
    <cellStyle name=" _품셈_AC-05옥내기기기초" xfId="4142"/>
    <cellStyle name=" _품셈_AC-05옥내기기기초_pkg별설계가집계(태안7.8호기)" xfId="4143"/>
    <cellStyle name=" _품셈_AC-05옥내기기기초_pkg별설계가집계(태안7.8호기)_PRP-500 TYPE" xfId="4144"/>
    <cellStyle name=" _품셈_AC-05옥내기기기초_pkg별설계가집계(태안7.8호기)_남부, 석산정거장(익진ENG 실행)" xfId="4145"/>
    <cellStyle name=" _품셈_AC-05옥내기기기초_pkg별설계가집계(태안7.8호기)_남부, 석산정거장PRP-500(Double)내역포함" xfId="4146"/>
    <cellStyle name=" _품셈_AC-05옥내기기기초_pkg별설계가집계(태안7.8호기)_양차장님(PRP, MOZART)" xfId="4147"/>
    <cellStyle name=" _품셈_AC-05옥내기기기초_pkg별설계가집계(태안7.8호기)_양차장님(PRP, MOZART)_양차장님LINER 벽체단가(PRP, MOZART,사면절곡)" xfId="4148"/>
    <cellStyle name=" _품셈_AC-05옥내기기기초_PRP-500 TYPE" xfId="4149"/>
    <cellStyle name=" _품셈_AC-05옥내기기기초_건축보령7,8(총액확정)" xfId="4150"/>
    <cellStyle name=" _품셈_AC-05옥내기기기초_건축보령7,8(총액확정)_PRP-500 TYPE" xfId="4151"/>
    <cellStyle name=" _품셈_AC-05옥내기기기초_건축보령7,8(총액확정)_남부, 석산정거장(익진ENG 실행)" xfId="4152"/>
    <cellStyle name=" _품셈_AC-05옥내기기기초_건축보령7,8(총액확정)_남부, 석산정거장PRP-500(Double)내역포함" xfId="4153"/>
    <cellStyle name=" _품셈_AC-05옥내기기기초_건축보령7,8(총액확정)_양차장님(PRP, MOZART)" xfId="4154"/>
    <cellStyle name=" _품셈_AC-05옥내기기기초_건축보령7,8(총액확정)_양차장님(PRP, MOZART)_양차장님LINER 벽체단가(PRP, MOZART,사면절곡)" xfId="4155"/>
    <cellStyle name=" _품셈_AC-05옥내기기기초_남부, 석산정거장(익진ENG 실행)" xfId="4156"/>
    <cellStyle name=" _품셈_AC-05옥내기기기초_남부, 석산정거장PRP-500(Double)내역포함" xfId="4157"/>
    <cellStyle name=" _품셈_AC-05옥내기기기초_실행예산" xfId="4158"/>
    <cellStyle name=" _품셈_AC-05옥내기기기초_실행예산_PRP-500 TYPE" xfId="4159"/>
    <cellStyle name=" _품셈_AC-05옥내기기기초_실행예산_남부, 석산정거장(익진ENG 실행)" xfId="4160"/>
    <cellStyle name=" _품셈_AC-05옥내기기기초_실행예산_남부, 석산정거장PRP-500(Double)내역포함" xfId="4161"/>
    <cellStyle name=" _품셈_AC-05옥내기기기초_실행예산_양차장님(PRP, MOZART)" xfId="4162"/>
    <cellStyle name=" _품셈_AC-05옥내기기기초_실행예산_양차장님(PRP, MOZART)_양차장님LINER 벽체단가(PRP, MOZART,사면절곡)" xfId="4163"/>
    <cellStyle name=" _품셈_AC-05옥내기기기초_양차장님(PRP, MOZART)" xfId="4164"/>
    <cellStyle name=" _품셈_AC-05옥내기기기초_양차장님(PRP, MOZART)_양차장님LINER 벽체단가(PRP, MOZART,사면절곡)" xfId="4165"/>
    <cellStyle name=" _품셈_AC-07 염소주입건물(2)" xfId="4166"/>
    <cellStyle name=" _품셈_AC-07_HRSG건물철골설치및마감공사_061031_RA" xfId="4167"/>
    <cellStyle name=" _품셈_AC-07용수환경건물" xfId="4168"/>
    <cellStyle name=" _품셈_AC-08_보조보일러건물신축공사_061031_RA" xfId="4169"/>
    <cellStyle name=" _품셈_AC-08_보조보일러건물신축공사_061031_RA(HVAC추가_061108)" xfId="4170"/>
    <cellStyle name=" _품셈_AC-08_보조보일러건물신축공사_061031_RA(HVAC추가_061108)_AC-08_보조보일러건물신축공사_061031_RA" xfId="4171"/>
    <cellStyle name=" _품셈_AC-08_보조보일러건물신축공사_061031_RA(HVAC추가_061108)_AC-09_수처리및폐수처리건물신축공사_061031_RA" xfId="4172"/>
    <cellStyle name=" _품셈_AC-08염소주입실" xfId="4173"/>
    <cellStyle name=" _품셈_AC-09_수처리및폐수처리건물신축공사_061031_RA" xfId="4174"/>
    <cellStyle name=" _품셈_AC-09_수처리및폐수처리건물신축공사_061031_RA(HVAC확인_061114)" xfId="4175"/>
    <cellStyle name=" _품셈_AC-09석탄취급제어건물" xfId="4176"/>
    <cellStyle name=" _품셈_AC-10_염소주입실신축공사_061031_RA" xfId="4177"/>
    <cellStyle name=" _품셈_AC-11 가스창고(2)" xfId="4178"/>
    <cellStyle name=" _품셈_AC-12보안시설" xfId="4179"/>
    <cellStyle name=" _품셈_AC-14(가설계서)" xfId="4180"/>
    <cellStyle name=" _품셈_AC-14(가설계서)_1-온배수 양식장 가설계서" xfId="4181"/>
    <cellStyle name=" _품셈_AC-14(가설계서)_경상정비 가설계서(12.07)" xfId="4182"/>
    <cellStyle name=" _품셈_AC-14(가설계서)_경상정비 설계서(최종결재본)" xfId="4183"/>
    <cellStyle name=" _품셈_AC-14(가설계서)_경상정비 설계서(최종분11월19)" xfId="4184"/>
    <cellStyle name=" _품셈_AC-14(가설계서)_부품" xfId="4185"/>
    <cellStyle name=" _품셈_AC-14건설사무소환경개선공사설계서(제출)REV10" xfId="4186"/>
    <cellStyle name=" _품셈_AC-14건설사무소환경개선공사설계서(제출)REV10_1-온배수 양식장 가설계서" xfId="4187"/>
    <cellStyle name=" _품셈_AC-14건설사무소환경개선공사설계서(제출)REV10_AC-14(최종수정)" xfId="4188"/>
    <cellStyle name=" _품셈_AC-14건설사무소환경개선공사설계서(제출)REV10_AC-14(최종수정)_1-온배수 양식장 가설계서" xfId="4189"/>
    <cellStyle name=" _품셈_AC-14건설사무소환경개선공사설계서(제출)REV10_AC-14(최종수정)_Book1" xfId="4190"/>
    <cellStyle name=" _품셈_AC-14건설사무소환경개선공사설계서(제출)REV10_AC-14(최종수정)_경상정비 가설계서(12.07)" xfId="4191"/>
    <cellStyle name=" _품셈_AC-14건설사무소환경개선공사설계서(제출)REV10_AC-14(최종수정)_경상정비 설계서(최종결재본)" xfId="4192"/>
    <cellStyle name=" _품셈_AC-14건설사무소환경개선공사설계서(제출)REV10_AC-14(최종수정)_경상정비 설계서(최종분11월19)" xfId="4193"/>
    <cellStyle name=" _품셈_AC-14건설사무소환경개선공사설계서(제출)REV10_AC-14(최종수정)_발전설비 보수공사" xfId="4194"/>
    <cellStyle name=" _품셈_AC-14건설사무소환경개선공사설계서(제출)REV10_AC-14(최종수정)_발전설비 보수공사_1-온배수 양식장 가설계서" xfId="4195"/>
    <cellStyle name=" _품셈_AC-14건설사무소환경개선공사설계서(제출)REV10_AC-14(최종수정)_발전설비 보수공사_Book1" xfId="4196"/>
    <cellStyle name=" _품셈_AC-14건설사무소환경개선공사설계서(제출)REV10_AC-14(최종수정)_발전설비 보수공사_경상정비 가설계서(12.07)" xfId="4197"/>
    <cellStyle name=" _품셈_AC-14건설사무소환경개선공사설계서(제출)REV10_AC-14(최종수정)_발전설비 보수공사_경상정비 설계서(최종결재본)" xfId="4198"/>
    <cellStyle name=" _품셈_AC-14건설사무소환경개선공사설계서(제출)REV10_AC-14(최종수정)_발전설비 보수공사_경상정비 설계서(최종분11월19)" xfId="4199"/>
    <cellStyle name=" _품셈_AC-14건설사무소환경개선공사설계서(제출)REV10_AC-14(최종수정)_발전설비 보수공사_부품" xfId="4200"/>
    <cellStyle name=" _품셈_AC-14건설사무소환경개선공사설계서(제출)REV10_AC-14(최종수정)_부품" xfId="4201"/>
    <cellStyle name=" _품셈_AC-14건설사무소환경개선공사설계서(제출)REV10_Book1" xfId="4202"/>
    <cellStyle name=" _품셈_AC-14건설사무소환경개선공사설계서(제출)REV10_경상정비 가설계서(12.07)" xfId="4203"/>
    <cellStyle name=" _품셈_AC-14건설사무소환경개선공사설계서(제출)REV10_경상정비 설계서(최종결재본)" xfId="4204"/>
    <cellStyle name=" _품셈_AC-14건설사무소환경개선공사설계서(제출)REV10_경상정비 설계서(최종분11월19)" xfId="4205"/>
    <cellStyle name=" _품셈_AC-14건설사무소환경개선공사설계서(제출)REV10_부품" xfId="4206"/>
    <cellStyle name=" _품셈_Book1" xfId="4207"/>
    <cellStyle name=" _품셈_CC-01 부지정지 및 법면보호(개산)" xfId="4208"/>
    <cellStyle name=" _품셈_CC-01 부지정지 및 법면보호(개산)_1 당진78-연돌-공사설계서(REV.0 12.14-kopec)" xfId="4209"/>
    <cellStyle name=" _품셈_CC-01 부지정지 및 법면보호(개산)_1.0t 당진78-연돌-수량산출서(REV.0 12.27-kopec)" xfId="4210"/>
    <cellStyle name=" _품셈_CC-01 부지정지 및 법면보호(개산)_CC-02 본관기초굴착 예상" xfId="4211"/>
    <cellStyle name=" _품셈_CC-01 부지정지 및 법면보호(개산)_CC-02 본관기초굴착 예상_1 당진78-연돌-공사설계서(REV.0 12.14-kopec)" xfId="4212"/>
    <cellStyle name=" _품셈_CC-01 부지정지 및 법면보호(개산)_CC-02 본관기초굴착 예상_1.0t 당진78-연돌-수량산출서(REV.0 12.27-kopec)" xfId="4213"/>
    <cellStyle name=" _품셈_CC-01 부지정지 및 법면보호(개산)_CC-02 본관기초굴착 예상_당진78-연돌-개략공사비" xfId="4214"/>
    <cellStyle name=" _품셈_CC-01 부지정지 및 법면보호(개산)_CC-02 본관기초굴착 예상_연돌 현장타설말뚝(RCD)설계서" xfId="4215"/>
    <cellStyle name=" _품셈_CC-01 부지정지 및 법면보호(개산)_당진78-연돌-개략공사비" xfId="4216"/>
    <cellStyle name=" _품셈_CC-01 부지정지 및 법면보호(개산)_본관기초 가실행" xfId="4217"/>
    <cellStyle name=" _품셈_CC-01 부지정지 및 법면보호(개산)_본관기초 가실행_1 당진78-연돌-공사설계서(REV.0 12.14-kopec)" xfId="4218"/>
    <cellStyle name=" _품셈_CC-01 부지정지 및 법면보호(개산)_본관기초 가실행_1.0t 당진78-연돌-수량산출서(REV.0 12.27-kopec)" xfId="4219"/>
    <cellStyle name=" _품셈_CC-01 부지정지 및 법면보호(개산)_본관기초 가실행_당진78-연돌-개략공사비" xfId="4220"/>
    <cellStyle name=" _품셈_CC-01 부지정지 및 법면보호(개산)_본관기초 가실행_연돌 현장타설말뚝(RCD)설계서" xfId="4221"/>
    <cellStyle name=" _품셈_CC-01 부지정지 및 법면보호(개산)_본관기초굴착 예상도급" xfId="4222"/>
    <cellStyle name=" _품셈_CC-01 부지정지 및 법면보호(개산)_본관기초굴착 예상도급_1 당진78-연돌-공사설계서(REV.0 12.14-kopec)" xfId="4223"/>
    <cellStyle name=" _품셈_CC-01 부지정지 및 법면보호(개산)_본관기초굴착 예상도급_1.0t 당진78-연돌-수량산출서(REV.0 12.27-kopec)" xfId="4224"/>
    <cellStyle name=" _품셈_CC-01 부지정지 및 법면보호(개산)_본관기초굴착 예상도급_당진78-연돌-개략공사비" xfId="4225"/>
    <cellStyle name=" _품셈_CC-01 부지정지 및 법면보호(개산)_본관기초굴착 예상도급_연돌 현장타설말뚝(RCD)설계서" xfId="4226"/>
    <cellStyle name=" _품셈_CC-01 부지정지 및 법면보호(개산)_연돌 현장타설말뚝(RCD)설계서" xfId="4227"/>
    <cellStyle name=" _품셈_CC-01 부지정지 및 법면보호(예상)" xfId="4228"/>
    <cellStyle name=" _품셈_CC-01 부지정지 및 법면보호(예상)_1 당진78-연돌-공사설계서(REV.0 12.14-kopec)" xfId="4229"/>
    <cellStyle name=" _품셈_CC-01 부지정지 및 법면보호(예상)_1.0t 당진78-연돌-수량산출서(REV.0 12.27-kopec)" xfId="4231"/>
    <cellStyle name=" _품셈_CC-01 부지정지 및 법면보호(예상)_1-온배수 양식장 가설계서" xfId="4230"/>
    <cellStyle name=" _품셈_CC-01 부지정지 및 법면보호(예상)_CC-02 본관기초굴착 예상" xfId="4232"/>
    <cellStyle name=" _품셈_CC-01 부지정지 및 법면보호(예상)_CC-02 본관기초굴착 예상_1 당진78-연돌-공사설계서(REV.0 12.14-kopec)" xfId="4233"/>
    <cellStyle name=" _품셈_CC-01 부지정지 및 법면보호(예상)_CC-02 본관기초굴착 예상_1.0t 당진78-연돌-수량산출서(REV.0 12.27-kopec)" xfId="4235"/>
    <cellStyle name=" _품셈_CC-01 부지정지 및 법면보호(예상)_CC-02 본관기초굴착 예상_1-온배수 양식장 가설계서" xfId="4234"/>
    <cellStyle name=" _품셈_CC-01 부지정지 및 법면보호(예상)_CC-02 본관기초굴착 예상_경상정비 가설계서(12.07)" xfId="4236"/>
    <cellStyle name=" _품셈_CC-01 부지정지 및 법면보호(예상)_CC-02 본관기초굴착 예상_경상정비 설계서(최종결재본)" xfId="4237"/>
    <cellStyle name=" _품셈_CC-01 부지정지 및 법면보호(예상)_CC-02 본관기초굴착 예상_경상정비 설계서(최종분11월19)" xfId="4238"/>
    <cellStyle name=" _품셈_CC-01 부지정지 및 법면보호(예상)_CC-02 본관기초굴착 예상_당진78-연돌-개략공사비" xfId="4239"/>
    <cellStyle name=" _품셈_CC-01 부지정지 및 법면보호(예상)_CC-02 본관기초굴착 예상_당진78-연돌-개략공사비_1-온배수 양식장 가설계서" xfId="4240"/>
    <cellStyle name=" _품셈_CC-01 부지정지 및 법면보호(예상)_CC-02 본관기초굴착 예상_당진78-연돌-개략공사비_경상정비 가설계서(12.07)" xfId="4241"/>
    <cellStyle name=" _품셈_CC-01 부지정지 및 법면보호(예상)_CC-02 본관기초굴착 예상_당진78-연돌-개략공사비_경상정비 설계서(최종결재본)" xfId="4242"/>
    <cellStyle name=" _품셈_CC-01 부지정지 및 법면보호(예상)_CC-02 본관기초굴착 예상_당진78-연돌-개략공사비_경상정비 설계서(최종분11월19)" xfId="4243"/>
    <cellStyle name=" _품셈_CC-01 부지정지 및 법면보호(예상)_CC-02 본관기초굴착 예상_당진78-연돌-개략공사비_부품" xfId="4244"/>
    <cellStyle name=" _품셈_CC-01 부지정지 및 법면보호(예상)_CC-02 본관기초굴착 예상_부품" xfId="4245"/>
    <cellStyle name=" _품셈_CC-01 부지정지 및 법면보호(예상)_CC-02 본관기초굴착 예상_연돌 현장타설말뚝(RCD)설계서" xfId="4246"/>
    <cellStyle name=" _품셈_CC-01 부지정지 및 법면보호(예상)_경상정비 가설계서(12.07)" xfId="4247"/>
    <cellStyle name=" _품셈_CC-01 부지정지 및 법면보호(예상)_경상정비 설계서(최종결재본)" xfId="4248"/>
    <cellStyle name=" _품셈_CC-01 부지정지 및 법면보호(예상)_경상정비 설계서(최종분11월19)" xfId="4249"/>
    <cellStyle name=" _품셈_CC-01 부지정지 및 법면보호(예상)_당진78-연돌-개략공사비" xfId="4250"/>
    <cellStyle name=" _품셈_CC-01 부지정지 및 법면보호(예상)_당진78-연돌-개략공사비_1-온배수 양식장 가설계서" xfId="4251"/>
    <cellStyle name=" _품셈_CC-01 부지정지 및 법면보호(예상)_당진78-연돌-개략공사비_경상정비 가설계서(12.07)" xfId="4252"/>
    <cellStyle name=" _품셈_CC-01 부지정지 및 법면보호(예상)_당진78-연돌-개략공사비_경상정비 설계서(최종결재본)" xfId="4253"/>
    <cellStyle name=" _품셈_CC-01 부지정지 및 법면보호(예상)_당진78-연돌-개략공사비_경상정비 설계서(최종분11월19)" xfId="4254"/>
    <cellStyle name=" _품셈_CC-01 부지정지 및 법면보호(예상)_당진78-연돌-개략공사비_부품" xfId="4255"/>
    <cellStyle name=" _품셈_CC-01 부지정지 및 법면보호(예상)_본관기초굴착 예상도급" xfId="4256"/>
    <cellStyle name=" _품셈_CC-01 부지정지 및 법면보호(예상)_본관기초굴착 예상도급_1 당진78-연돌-공사설계서(REV.0 12.14-kopec)" xfId="4257"/>
    <cellStyle name=" _품셈_CC-01 부지정지 및 법면보호(예상)_본관기초굴착 예상도급_1.0t 당진78-연돌-수량산출서(REV.0 12.27-kopec)" xfId="4259"/>
    <cellStyle name=" _품셈_CC-01 부지정지 및 법면보호(예상)_본관기초굴착 예상도급_1-온배수 양식장 가설계서" xfId="4258"/>
    <cellStyle name=" _품셈_CC-01 부지정지 및 법면보호(예상)_본관기초굴착 예상도급_경상정비 가설계서(12.07)" xfId="4260"/>
    <cellStyle name=" _품셈_CC-01 부지정지 및 법면보호(예상)_본관기초굴착 예상도급_경상정비 설계서(최종결재본)" xfId="4261"/>
    <cellStyle name=" _품셈_CC-01 부지정지 및 법면보호(예상)_본관기초굴착 예상도급_경상정비 설계서(최종분11월19)" xfId="4262"/>
    <cellStyle name=" _품셈_CC-01 부지정지 및 법면보호(예상)_본관기초굴착 예상도급_당진78-연돌-개략공사비" xfId="4263"/>
    <cellStyle name=" _품셈_CC-01 부지정지 및 법면보호(예상)_본관기초굴착 예상도급_당진78-연돌-개략공사비_1-온배수 양식장 가설계서" xfId="4264"/>
    <cellStyle name=" _품셈_CC-01 부지정지 및 법면보호(예상)_본관기초굴착 예상도급_당진78-연돌-개략공사비_경상정비 가설계서(12.07)" xfId="4265"/>
    <cellStyle name=" _품셈_CC-01 부지정지 및 법면보호(예상)_본관기초굴착 예상도급_당진78-연돌-개략공사비_경상정비 설계서(최종결재본)" xfId="4266"/>
    <cellStyle name=" _품셈_CC-01 부지정지 및 법면보호(예상)_본관기초굴착 예상도급_당진78-연돌-개략공사비_경상정비 설계서(최종분11월19)" xfId="4267"/>
    <cellStyle name=" _품셈_CC-01 부지정지 및 법면보호(예상)_본관기초굴착 예상도급_당진78-연돌-개략공사비_부품" xfId="4268"/>
    <cellStyle name=" _품셈_CC-01 부지정지 및 법면보호(예상)_본관기초굴착 예상도급_부품" xfId="4269"/>
    <cellStyle name=" _품셈_CC-01 부지정지 및 법면보호(예상)_본관기초굴착 예상도급_연돌 현장타설말뚝(RCD)설계서" xfId="4270"/>
    <cellStyle name=" _품셈_CC-01 부지정지 및 법면보호(예상)_부품" xfId="4271"/>
    <cellStyle name=" _품셈_CC-01 부지정지 및 법면보호(예상)_연돌 현장타설말뚝(RCD)설계서" xfId="4272"/>
    <cellStyle name=" _품셈_CC-02 본관기초굴착 예상" xfId="4273"/>
    <cellStyle name=" _품셈_CC-02 본관기초굴착 예상_1 당진78-연돌-공사설계서(REV.0 12.14-kopec)" xfId="4274"/>
    <cellStyle name=" _품셈_CC-02 본관기초굴착 예상_1.0t 당진78-연돌-수량산출서(REV.0 12.27-kopec)" xfId="4275"/>
    <cellStyle name=" _품셈_CC-02 본관기초굴착 예상_당진78-연돌-개략공사비" xfId="4276"/>
    <cellStyle name=" _품셈_CC-02 본관기초굴착 예상_연돌 현장타설말뚝(RCD)설계서" xfId="4277"/>
    <cellStyle name=" _품셈_CC-04(수정)" xfId="4278"/>
    <cellStyle name=" _품셈_CC-05 취수관로 축조(단가)" xfId="4279"/>
    <cellStyle name=" _품셈_CC-05 취수관로 축조(단가)_1 당진78-연돌-공사설계서(REV.0 12.14-kopec)" xfId="4280"/>
    <cellStyle name=" _품셈_CC-05 취수관로 축조(단가)_1.0t 당진78-연돌-수량산출서(REV.0 12.27-kopec)" xfId="4281"/>
    <cellStyle name=" _품셈_CC-05 취수관로 축조(단가)_CC-02 본관기초굴착 예상" xfId="4282"/>
    <cellStyle name=" _품셈_CC-05 취수관로 축조(단가)_CC-02 본관기초굴착 예상_1 당진78-연돌-공사설계서(REV.0 12.14-kopec)" xfId="4283"/>
    <cellStyle name=" _품셈_CC-05 취수관로 축조(단가)_CC-02 본관기초굴착 예상_1.0t 당진78-연돌-수량산출서(REV.0 12.27-kopec)" xfId="4284"/>
    <cellStyle name=" _품셈_CC-05 취수관로 축조(단가)_CC-02 본관기초굴착 예상_당진78-연돌-개략공사비" xfId="4285"/>
    <cellStyle name=" _품셈_CC-05 취수관로 축조(단가)_CC-02 본관기초굴착 예상_연돌 현장타설말뚝(RCD)설계서" xfId="4286"/>
    <cellStyle name=" _품셈_CC-05 취수관로 축조(단가)_당진78-연돌-개략공사비" xfId="4287"/>
    <cellStyle name=" _품셈_CC-05 취수관로 축조(단가)_본관기초 가실행" xfId="4288"/>
    <cellStyle name=" _품셈_CC-05 취수관로 축조(단가)_본관기초 가실행_1 당진78-연돌-공사설계서(REV.0 12.14-kopec)" xfId="4289"/>
    <cellStyle name=" _품셈_CC-05 취수관로 축조(단가)_본관기초 가실행_1.0t 당진78-연돌-수량산출서(REV.0 12.27-kopec)" xfId="4290"/>
    <cellStyle name=" _품셈_CC-05 취수관로 축조(단가)_본관기초 가실행_당진78-연돌-개략공사비" xfId="4291"/>
    <cellStyle name=" _품셈_CC-05 취수관로 축조(단가)_본관기초 가실행_연돌 현장타설말뚝(RCD)설계서" xfId="4292"/>
    <cellStyle name=" _품셈_CC-05 취수관로 축조(단가)_본관기초굴착 예상도급" xfId="4293"/>
    <cellStyle name=" _품셈_CC-05 취수관로 축조(단가)_본관기초굴착 예상도급_1 당진78-연돌-공사설계서(REV.0 12.14-kopec)" xfId="4294"/>
    <cellStyle name=" _품셈_CC-05 취수관로 축조(단가)_본관기초굴착 예상도급_1.0t 당진78-연돌-수량산출서(REV.0 12.27-kopec)" xfId="4295"/>
    <cellStyle name=" _품셈_CC-05 취수관로 축조(단가)_본관기초굴착 예상도급_당진78-연돌-개략공사비" xfId="4296"/>
    <cellStyle name=" _품셈_CC-05 취수관로 축조(단가)_본관기초굴착 예상도급_연돌 현장타설말뚝(RCD)설계서" xfId="4297"/>
    <cellStyle name=" _품셈_CC-05 취수관로 축조(단가)_사무실포장가실행" xfId="4298"/>
    <cellStyle name=" _품셈_CC-05 취수관로 축조(단가)_연돌 현장타설말뚝(RCD)설계서" xfId="4299"/>
    <cellStyle name=" _품셈_CC-05 취수관로 축조(단가)_한태견적의뢰" xfId="4300"/>
    <cellStyle name=" _품셈_CC-07 옥외기기 및 전기집진기기초(단가)" xfId="4301"/>
    <cellStyle name=" _품셈_CC-07 옥외기기 및 전기집진기기초(단가)_1 당진78-연돌-공사설계서(REV.0 12.14-kopec)" xfId="4302"/>
    <cellStyle name=" _품셈_CC-07 옥외기기 및 전기집진기기초(단가)_1.0t 당진78-연돌-수량산출서(REV.0 12.27-kopec)" xfId="4303"/>
    <cellStyle name=" _품셈_CC-07 옥외기기 및 전기집진기기초(단가)_CC-02 본관기초굴착 예상" xfId="4304"/>
    <cellStyle name=" _품셈_CC-07 옥외기기 및 전기집진기기초(단가)_CC-02 본관기초굴착 예상_1 당진78-연돌-공사설계서(REV.0 12.14-kopec)" xfId="4305"/>
    <cellStyle name=" _품셈_CC-07 옥외기기 및 전기집진기기초(단가)_CC-02 본관기초굴착 예상_1.0t 당진78-연돌-수량산출서(REV.0 12.27-kopec)" xfId="4306"/>
    <cellStyle name=" _품셈_CC-07 옥외기기 및 전기집진기기초(단가)_CC-02 본관기초굴착 예상_당진78-연돌-개략공사비" xfId="4307"/>
    <cellStyle name=" _품셈_CC-07 옥외기기 및 전기집진기기초(단가)_CC-02 본관기초굴착 예상_연돌 현장타설말뚝(RCD)설계서" xfId="4308"/>
    <cellStyle name=" _품셈_CC-07 옥외기기 및 전기집진기기초(단가)_당진78-연돌-개략공사비" xfId="4309"/>
    <cellStyle name=" _품셈_CC-07 옥외기기 및 전기집진기기초(단가)_본관기초 가실행" xfId="4310"/>
    <cellStyle name=" _품셈_CC-07 옥외기기 및 전기집진기기초(단가)_본관기초 가실행_1 당진78-연돌-공사설계서(REV.0 12.14-kopec)" xfId="4311"/>
    <cellStyle name=" _품셈_CC-07 옥외기기 및 전기집진기기초(단가)_본관기초 가실행_1.0t 당진78-연돌-수량산출서(REV.0 12.27-kopec)" xfId="4312"/>
    <cellStyle name=" _품셈_CC-07 옥외기기 및 전기집진기기초(단가)_본관기초 가실행_당진78-연돌-개략공사비" xfId="4313"/>
    <cellStyle name=" _품셈_CC-07 옥외기기 및 전기집진기기초(단가)_본관기초 가실행_연돌 현장타설말뚝(RCD)설계서" xfId="4314"/>
    <cellStyle name=" _품셈_CC-07 옥외기기 및 전기집진기기초(단가)_본관기초굴착 예상도급" xfId="4315"/>
    <cellStyle name=" _품셈_CC-07 옥외기기 및 전기집진기기초(단가)_본관기초굴착 예상도급_1 당진78-연돌-공사설계서(REV.0 12.14-kopec)" xfId="4316"/>
    <cellStyle name=" _품셈_CC-07 옥외기기 및 전기집진기기초(단가)_본관기초굴착 예상도급_1.0t 당진78-연돌-수량산출서(REV.0 12.27-kopec)" xfId="4317"/>
    <cellStyle name=" _품셈_CC-07 옥외기기 및 전기집진기기초(단가)_본관기초굴착 예상도급_당진78-연돌-개략공사비" xfId="4318"/>
    <cellStyle name=" _품셈_CC-07 옥외기기 및 전기집진기기초(단가)_본관기초굴착 예상도급_연돌 현장타설말뚝(RCD)설계서" xfId="4319"/>
    <cellStyle name=" _품셈_CC-07 옥외기기 및 전기집진기기초(단가)_사무실포장가실행" xfId="4320"/>
    <cellStyle name=" _품셈_CC-07 옥외기기 및 전기집진기기초(단가)_연돌 현장타설말뚝(RCD)설계서" xfId="4321"/>
    <cellStyle name=" _품셈_CC-07 옥외기기 및 전기집진기기초(단가)_한태견적의뢰" xfId="4322"/>
    <cellStyle name=" _품셈_CC-08 옥외탱크 기초(단가)" xfId="4323"/>
    <cellStyle name=" _품셈_CC-08 옥외탱크 기초(단가)_1 당진78-연돌-공사설계서(REV.0 12.14-kopec)" xfId="4324"/>
    <cellStyle name=" _품셈_CC-08 옥외탱크 기초(단가)_1.0t 당진78-연돌-수량산출서(REV.0 12.27-kopec)" xfId="4325"/>
    <cellStyle name=" _품셈_CC-08 옥외탱크 기초(단가)_CC-02 본관기초굴착 예상" xfId="4326"/>
    <cellStyle name=" _품셈_CC-08 옥외탱크 기초(단가)_CC-02 본관기초굴착 예상_1 당진78-연돌-공사설계서(REV.0 12.14-kopec)" xfId="4327"/>
    <cellStyle name=" _품셈_CC-08 옥외탱크 기초(단가)_CC-02 본관기초굴착 예상_1.0t 당진78-연돌-수량산출서(REV.0 12.27-kopec)" xfId="4328"/>
    <cellStyle name=" _품셈_CC-08 옥외탱크 기초(단가)_CC-02 본관기초굴착 예상_당진78-연돌-개략공사비" xfId="4329"/>
    <cellStyle name=" _품셈_CC-08 옥외탱크 기초(단가)_CC-02 본관기초굴착 예상_연돌 현장타설말뚝(RCD)설계서" xfId="4330"/>
    <cellStyle name=" _품셈_CC-08 옥외탱크 기초(단가)_당진78-연돌-개략공사비" xfId="4331"/>
    <cellStyle name=" _품셈_CC-08 옥외탱크 기초(단가)_본관기초 가실행" xfId="4332"/>
    <cellStyle name=" _품셈_CC-08 옥외탱크 기초(단가)_본관기초 가실행_1 당진78-연돌-공사설계서(REV.0 12.14-kopec)" xfId="4333"/>
    <cellStyle name=" _품셈_CC-08 옥외탱크 기초(단가)_본관기초 가실행_1.0t 당진78-연돌-수량산출서(REV.0 12.27-kopec)" xfId="4334"/>
    <cellStyle name=" _품셈_CC-08 옥외탱크 기초(단가)_본관기초 가실행_당진78-연돌-개략공사비" xfId="4335"/>
    <cellStyle name=" _품셈_CC-08 옥외탱크 기초(단가)_본관기초 가실행_연돌 현장타설말뚝(RCD)설계서" xfId="4336"/>
    <cellStyle name=" _품셈_CC-08 옥외탱크 기초(단가)_본관기초굴착 예상도급" xfId="4337"/>
    <cellStyle name=" _품셈_CC-08 옥외탱크 기초(단가)_본관기초굴착 예상도급_1 당진78-연돌-공사설계서(REV.0 12.14-kopec)" xfId="4338"/>
    <cellStyle name=" _품셈_CC-08 옥외탱크 기초(단가)_본관기초굴착 예상도급_1.0t 당진78-연돌-수량산출서(REV.0 12.27-kopec)" xfId="4339"/>
    <cellStyle name=" _품셈_CC-08 옥외탱크 기초(단가)_본관기초굴착 예상도급_당진78-연돌-개략공사비" xfId="4340"/>
    <cellStyle name=" _품셈_CC-08 옥외탱크 기초(단가)_본관기초굴착 예상도급_연돌 현장타설말뚝(RCD)설계서" xfId="4341"/>
    <cellStyle name=" _품셈_CC-08 옥외탱크 기초(단가)_사무실포장가실행" xfId="4342"/>
    <cellStyle name=" _품셈_CC-08 옥외탱크 기초(단가)_연돌 현장타설말뚝(RCD)설계서" xfId="4343"/>
    <cellStyle name=" _품셈_CC-08 옥외탱크 기초(단가)_한태견적의뢰" xfId="4344"/>
    <cellStyle name=" _품셈_CC-10 구내도로 및 배수(단가)" xfId="4345"/>
    <cellStyle name=" _품셈_CC-10 구내도로 및 배수(단가)_1 당진78-연돌-공사설계서(REV.0 12.14-kopec)" xfId="4346"/>
    <cellStyle name=" _품셈_CC-10 구내도로 및 배수(단가)_1.0t 당진78-연돌-수량산출서(REV.0 12.27-kopec)" xfId="4347"/>
    <cellStyle name=" _품셈_CC-10 구내도로 및 배수(단가)_CC-02 본관기초굴착 예상" xfId="4348"/>
    <cellStyle name=" _품셈_CC-10 구내도로 및 배수(단가)_CC-02 본관기초굴착 예상_1 당진78-연돌-공사설계서(REV.0 12.14-kopec)" xfId="4349"/>
    <cellStyle name=" _품셈_CC-10 구내도로 및 배수(단가)_CC-02 본관기초굴착 예상_1.0t 당진78-연돌-수량산출서(REV.0 12.27-kopec)" xfId="4350"/>
    <cellStyle name=" _품셈_CC-10 구내도로 및 배수(단가)_CC-02 본관기초굴착 예상_당진78-연돌-개략공사비" xfId="4351"/>
    <cellStyle name=" _품셈_CC-10 구내도로 및 배수(단가)_CC-02 본관기초굴착 예상_연돌 현장타설말뚝(RCD)설계서" xfId="4352"/>
    <cellStyle name=" _품셈_CC-10 구내도로 및 배수(단가)_당진78-연돌-개략공사비" xfId="4353"/>
    <cellStyle name=" _품셈_CC-10 구내도로 및 배수(단가)_본관기초 가실행" xfId="4354"/>
    <cellStyle name=" _품셈_CC-10 구내도로 및 배수(단가)_본관기초 가실행_1 당진78-연돌-공사설계서(REV.0 12.14-kopec)" xfId="4355"/>
    <cellStyle name=" _품셈_CC-10 구내도로 및 배수(단가)_본관기초 가실행_1.0t 당진78-연돌-수량산출서(REV.0 12.27-kopec)" xfId="4356"/>
    <cellStyle name=" _품셈_CC-10 구내도로 및 배수(단가)_본관기초 가실행_당진78-연돌-개략공사비" xfId="4357"/>
    <cellStyle name=" _품셈_CC-10 구내도로 및 배수(단가)_본관기초 가실행_연돌 현장타설말뚝(RCD)설계서" xfId="4358"/>
    <cellStyle name=" _품셈_CC-10 구내도로 및 배수(단가)_본관기초굴착 예상도급" xfId="4359"/>
    <cellStyle name=" _품셈_CC-10 구내도로 및 배수(단가)_본관기초굴착 예상도급_1 당진78-연돌-공사설계서(REV.0 12.14-kopec)" xfId="4360"/>
    <cellStyle name=" _품셈_CC-10 구내도로 및 배수(단가)_본관기초굴착 예상도급_1.0t 당진78-연돌-수량산출서(REV.0 12.27-kopec)" xfId="4361"/>
    <cellStyle name=" _품셈_CC-10 구내도로 및 배수(단가)_본관기초굴착 예상도급_당진78-연돌-개략공사비" xfId="4362"/>
    <cellStyle name=" _품셈_CC-10 구내도로 및 배수(단가)_본관기초굴착 예상도급_연돌 현장타설말뚝(RCD)설계서" xfId="4363"/>
    <cellStyle name=" _품셈_CC-10 구내도로 및 배수(단가)_사무실포장가실행" xfId="4364"/>
    <cellStyle name=" _품셈_CC-10 구내도로 및 배수(단가)_연돌 현장타설말뚝(RCD)설계서" xfId="4365"/>
    <cellStyle name=" _품셈_CC-10 구내도로 및 배수(단가)_한태견적의뢰" xfId="4366"/>
    <cellStyle name=" _품셈_FRP단가견적(125%적용)" xfId="4367"/>
    <cellStyle name=" _품셈_F메탈-T메탈 평판넬" xfId="4368"/>
    <cellStyle name=" _품셈_F메탈판넬" xfId="4369"/>
    <cellStyle name=" _품셈_GUTTER(STS 1.5T)" xfId="4370"/>
    <cellStyle name=" _품셈_pkg별설계가집계(태안7.8호기)" xfId="4371"/>
    <cellStyle name=" _품셈_pkg별설계가집계(태안7.8호기)_PRP-500 TYPE" xfId="4372"/>
    <cellStyle name=" _품셈_pkg별설계가집계(태안7.8호기)_남부, 석산정거장(익진ENG 실행)" xfId="4373"/>
    <cellStyle name=" _품셈_pkg별설계가집계(태안7.8호기)_남부, 석산정거장PRP-500(Double)내역포함" xfId="4374"/>
    <cellStyle name=" _품셈_pkg별설계가집계(태안7.8호기)_양차장님(PRP, MOZART)" xfId="4375"/>
    <cellStyle name=" _품셈_pkg별설계가집계(태안7.8호기)_양차장님(PRP, MOZART)_양차장님LINER 벽체단가(PRP, MOZART,사면절곡)" xfId="4376"/>
    <cellStyle name=" _품셈_PRP-500 TYPE" xfId="4377"/>
    <cellStyle name=" _품셈_Songdo Convention Center 신축공사(060106제출수정본)" xfId="4378"/>
    <cellStyle name=" _품셈_가설숙소 공사비 내역서(B1~B6)" xfId="4379"/>
    <cellStyle name=" _품셈_가설숙소 공사비 내역서(B1~B6)_1-온배수 양식장 가설계서" xfId="4380"/>
    <cellStyle name=" _품셈_가설숙소 공사비 내역서(B1~B6)_Book1" xfId="4381"/>
    <cellStyle name=" _품셈_가설숙소 공사비 내역서(B1~B6)_경상정비 가설계서(12.07)" xfId="4382"/>
    <cellStyle name=" _품셈_가설숙소 공사비 내역서(B1~B6)_경상정비 설계서(최종결재본)" xfId="4383"/>
    <cellStyle name=" _품셈_가설숙소 공사비 내역서(B1~B6)_경상정비 설계서(최종분11월19)" xfId="4384"/>
    <cellStyle name=" _품셈_가설숙소 공사비 내역서(B1~B6)_부품" xfId="4385"/>
    <cellStyle name=" _품셈_건축내역" xfId="4386"/>
    <cellStyle name=" _품셈_건축보령7,8(총액확정)" xfId="4387"/>
    <cellStyle name=" _품셈_건축보령7,8(총액확정)_PRP-500 TYPE" xfId="4388"/>
    <cellStyle name=" _품셈_건축보령7,8(총액확정)_남부, 석산정거장(익진ENG 실행)" xfId="4389"/>
    <cellStyle name=" _품셈_건축보령7,8(총액확정)_남부, 석산정거장PRP-500(Double)내역포함" xfId="4390"/>
    <cellStyle name=" _품셈_건축보령7,8(총액확정)_양차장님(PRP, MOZART)" xfId="4391"/>
    <cellStyle name=" _품셈_건축보령7,8(총액확정)_양차장님(PRP, MOZART)_양차장님LINER 벽체단가(PRP, MOZART,사면절곡)" xfId="4392"/>
    <cellStyle name=" _품셈_고압전동기 정비건물 가설계서" xfId="4393"/>
    <cellStyle name=" _품셈_고압전동기 정비건물(RevC)" xfId="4394"/>
    <cellStyle name=" _품셈_고압전동기 정비건물(현장검토)" xfId="4395"/>
    <cellStyle name=" _품셈_고압전동기정비건물설계서(최종내역서)" xfId="4396"/>
    <cellStyle name=" _품셈_공내역서" xfId="4397"/>
    <cellStyle name=" _품셈_공사비대비표(중산-수정)" xfId="4398"/>
    <cellStyle name=" _품셈_공사비대비표(중산-수정)_1-온배수 양식장 가설계서" xfId="4399"/>
    <cellStyle name=" _품셈_공사비대비표(중산-수정)_경상정비 가설계서(12.07)" xfId="4400"/>
    <cellStyle name=" _품셈_공사비대비표(중산-수정)_경상정비 설계서(최종결재본)" xfId="4401"/>
    <cellStyle name=" _품셈_공사비대비표(중산-수정)_경상정비 설계서(최종분11월19)" xfId="4402"/>
    <cellStyle name=" _품셈_공사비대비표(중산-수정)_부품" xfId="4403"/>
    <cellStyle name=" _품셈_공사비집계표" xfId="4404"/>
    <cellStyle name=" _품셈_공사비집계표_1-온배수 양식장 가설계서" xfId="4405"/>
    <cellStyle name=" _품셈_공사비집계표_AC-14(최종수정)" xfId="4406"/>
    <cellStyle name=" _품셈_공사비집계표_AC-14(최종수정)_1-온배수 양식장 가설계서" xfId="4407"/>
    <cellStyle name=" _품셈_공사비집계표_AC-14(최종수정)_Book1" xfId="4408"/>
    <cellStyle name=" _품셈_공사비집계표_AC-14(최종수정)_경상정비 가설계서(12.07)" xfId="4409"/>
    <cellStyle name=" _품셈_공사비집계표_AC-14(최종수정)_경상정비 설계서(최종결재본)" xfId="4410"/>
    <cellStyle name=" _품셈_공사비집계표_AC-14(최종수정)_경상정비 설계서(최종분11월19)" xfId="4411"/>
    <cellStyle name=" _품셈_공사비집계표_AC-14(최종수정)_발전설비 보수공사" xfId="4412"/>
    <cellStyle name=" _품셈_공사비집계표_AC-14(최종수정)_발전설비 보수공사_1-온배수 양식장 가설계서" xfId="4413"/>
    <cellStyle name=" _품셈_공사비집계표_AC-14(최종수정)_발전설비 보수공사_Book1" xfId="4414"/>
    <cellStyle name=" _품셈_공사비집계표_AC-14(최종수정)_발전설비 보수공사_경상정비 가설계서(12.07)" xfId="4415"/>
    <cellStyle name=" _품셈_공사비집계표_AC-14(최종수정)_발전설비 보수공사_경상정비 설계서(최종결재본)" xfId="4416"/>
    <cellStyle name=" _품셈_공사비집계표_AC-14(최종수정)_발전설비 보수공사_경상정비 설계서(최종분11월19)" xfId="4417"/>
    <cellStyle name=" _품셈_공사비집계표_AC-14(최종수정)_발전설비 보수공사_부품" xfId="4418"/>
    <cellStyle name=" _품셈_공사비집계표_AC-14(최종수정)_부품" xfId="4419"/>
    <cellStyle name=" _품셈_공사비집계표_Book1" xfId="4420"/>
    <cellStyle name=" _품셈_공사비집계표_경상정비 가설계서(12.07)" xfId="4421"/>
    <cellStyle name=" _품셈_공사비집계표_경상정비 설계서(최종결재본)" xfId="4422"/>
    <cellStyle name=" _품셈_공사비집계표_경상정비 설계서(최종분11월19)" xfId="4423"/>
    <cellStyle name=" _품셈_공사비집계표_부품" xfId="4424"/>
    <cellStyle name=" _품셈_구내도로 및 배수(단가)" xfId="4425"/>
    <cellStyle name=" _품셈_구내도로 및 배수-비교" xfId="4426"/>
    <cellStyle name=" _품셈_굴착품(건축)" xfId="4427"/>
    <cellStyle name=" _품셈_굴착품(건축)_1-온배수 양식장 가설계서" xfId="4428"/>
    <cellStyle name=" _품셈_굴착품(건축)_경상정비 가설계서(12.07)" xfId="4429"/>
    <cellStyle name=" _품셈_굴착품(건축)_경상정비 설계서(최종결재본)" xfId="4430"/>
    <cellStyle name=" _품셈_굴착품(건축)_경상정비 설계서(최종분11월19)" xfId="4431"/>
    <cellStyle name=" _품셈_굴착품(건축)_부품" xfId="4432"/>
    <cellStyle name=" _품셈_기성청구(사정)_20041019_AC-01" xfId="4433"/>
    <cellStyle name=" _품셈_기흥사업장 ERM 센타(3차실행)" xfId="4434"/>
    <cellStyle name=" _품셈_남부, 석산정거장(익진ENG 실행)" xfId="4435"/>
    <cellStyle name=" _품셈_남부, 석산정거장PRP-500(Double)내역포함" xfId="4436"/>
    <cellStyle name=" _품셈_냉각수배수로-비교" xfId="4437"/>
    <cellStyle name=" _품셈_냉각수취수펌프구조물-비교" xfId="4438"/>
    <cellStyle name=" _품셈_단가견적2006년(호성)" xfId="4439"/>
    <cellStyle name=" _품셈_단가견적FRP채광창(1.5T+1.2T)" xfId="4440"/>
    <cellStyle name=" _품셈_당진78-연돌-개략공사비" xfId="4441"/>
    <cellStyle name=" _품셈_두산중공업단가견적(제출)" xfId="4442"/>
    <cellStyle name=" _품셈_메탈판넬" xfId="4443"/>
    <cellStyle name=" _품셈_발전설비 보수공사" xfId="4444"/>
    <cellStyle name=" _품셈_발전설비 보수공사_1-온배수 양식장 가설계서" xfId="4445"/>
    <cellStyle name=" _품셈_발전설비 보수공사_Book1" xfId="4446"/>
    <cellStyle name=" _품셈_발전설비 보수공사_경상정비 가설계서(12.07)" xfId="4447"/>
    <cellStyle name=" _품셈_발전설비 보수공사_경상정비 설계서(최종결재본)" xfId="4448"/>
    <cellStyle name=" _품셈_발전설비 보수공사_경상정비 설계서(최종분11월19)" xfId="4449"/>
    <cellStyle name=" _품셈_발전설비 보수공사_부품" xfId="4450"/>
    <cellStyle name=" _품셈_변경승인(서천,1차변경)050126" xfId="4451"/>
    <cellStyle name=" _품셈_변전소개략공사비(0726)" xfId="4452"/>
    <cellStyle name=" _품셈_보일러판넬현장설명회(배부용)" xfId="4453"/>
    <cellStyle name=" _품셈_본관기초 가실행" xfId="4454"/>
    <cellStyle name=" _품셈_본관기초 가실행_1 당진78-연돌-공사설계서(REV.0 12.14-kopec)" xfId="4455"/>
    <cellStyle name=" _품셈_본관기초 가실행_1.0t 당진78-연돌-수량산출서(REV.0 12.27-kopec)" xfId="4456"/>
    <cellStyle name=" _품셈_본관기초 가실행_당진78-연돌-개략공사비" xfId="4457"/>
    <cellStyle name=" _품셈_본관기초 가실행_연돌 현장타설말뚝(RCD)설계서" xfId="4458"/>
    <cellStyle name=" _품셈_본관기초굴착 예상도급" xfId="4459"/>
    <cellStyle name=" _품셈_본관기초굴착 예상도급_1 당진78-연돌-공사설계서(REV.0 12.14-kopec)" xfId="4460"/>
    <cellStyle name=" _품셈_본관기초굴착 예상도급_1.0t 당진78-연돌-수량산출서(REV.0 12.27-kopec)" xfId="4461"/>
    <cellStyle name=" _품셈_본관기초굴착 예상도급_당진78-연돌-개략공사비" xfId="4462"/>
    <cellStyle name=" _품셈_본관기초굴착 예상도급_연돌 현장타설말뚝(RCD)설계서" xfId="4463"/>
    <cellStyle name=" _품셈_본관기초굴착 하도급저가심사" xfId="4464"/>
    <cellStyle name=" _품셈_본관기초굴착 하도급저가심사_1-온배수 양식장 가설계서" xfId="4465"/>
    <cellStyle name=" _품셈_본관기초굴착 하도급저가심사_경상정비 가설계서(12.07)" xfId="4466"/>
    <cellStyle name=" _품셈_본관기초굴착 하도급저가심사_경상정비 설계서(최종결재본)" xfId="4467"/>
    <cellStyle name=" _품셈_본관기초굴착 하도급저가심사_경상정비 설계서(최종분11월19)" xfId="4468"/>
    <cellStyle name=" _품셈_본관기초굴착 하도급저가심사_부품" xfId="4469"/>
    <cellStyle name=" _품셈_본관기초굴착(CC-01)최종(입찰용)" xfId="4470"/>
    <cellStyle name=" _품셈_본관기초굴착(단가)" xfId="4471"/>
    <cellStyle name=" _품셈_본관기초굴착(단가)-비교" xfId="4472"/>
    <cellStyle name=" _품셈_부대입찰내역" xfId="4473"/>
    <cellStyle name=" _품셈_부대입찰내역_1 당진78-연돌-공사설계서(REV.0 12.14-kopec)" xfId="4474"/>
    <cellStyle name=" _품셈_부대입찰내역_1.0t 당진78-연돌-수량산출서(REV.0 12.27-kopec)" xfId="4475"/>
    <cellStyle name=" _품셈_부대입찰내역_CC-02 본관기초굴착 예상" xfId="4476"/>
    <cellStyle name=" _품셈_부대입찰내역_CC-02 본관기초굴착 예상_1 당진78-연돌-공사설계서(REV.0 12.14-kopec)" xfId="4477"/>
    <cellStyle name=" _품셈_부대입찰내역_CC-02 본관기초굴착 예상_1.0t 당진78-연돌-수량산출서(REV.0 12.27-kopec)" xfId="4478"/>
    <cellStyle name=" _품셈_부대입찰내역_CC-02 본관기초굴착 예상_당진78-연돌-개략공사비" xfId="4479"/>
    <cellStyle name=" _품셈_부대입찰내역_CC-02 본관기초굴착 예상_연돌 현장타설말뚝(RCD)설계서" xfId="4480"/>
    <cellStyle name=" _품셈_부대입찰내역_당진78-연돌-개략공사비" xfId="4481"/>
    <cellStyle name=" _품셈_부대입찰내역_본관기초 가실행" xfId="4482"/>
    <cellStyle name=" _품셈_부대입찰내역_본관기초 가실행_1 당진78-연돌-공사설계서(REV.0 12.14-kopec)" xfId="4483"/>
    <cellStyle name=" _품셈_부대입찰내역_본관기초 가실행_1.0t 당진78-연돌-수량산출서(REV.0 12.27-kopec)" xfId="4484"/>
    <cellStyle name=" _품셈_부대입찰내역_본관기초 가실행_당진78-연돌-개략공사비" xfId="4485"/>
    <cellStyle name=" _품셈_부대입찰내역_본관기초 가실행_연돌 현장타설말뚝(RCD)설계서" xfId="4486"/>
    <cellStyle name=" _품셈_부대입찰내역_본관기초굴착 예상도급" xfId="4487"/>
    <cellStyle name=" _품셈_부대입찰내역_본관기초굴착 예상도급_1 당진78-연돌-공사설계서(REV.0 12.14-kopec)" xfId="4488"/>
    <cellStyle name=" _품셈_부대입찰내역_본관기초굴착 예상도급_1.0t 당진78-연돌-수량산출서(REV.0 12.27-kopec)" xfId="4489"/>
    <cellStyle name=" _품셈_부대입찰내역_본관기초굴착 예상도급_당진78-연돌-개략공사비" xfId="4490"/>
    <cellStyle name=" _품셈_부대입찰내역_본관기초굴착 예상도급_연돌 현장타설말뚝(RCD)설계서" xfId="4491"/>
    <cellStyle name=" _품셈_부대입찰내역_사무실포장가실행" xfId="4492"/>
    <cellStyle name=" _품셈_부대입찰내역_연돌 현장타설말뚝(RCD)설계서" xfId="4493"/>
    <cellStyle name=" _품셈_부대입찰내역_직접공사비 집계" xfId="4494"/>
    <cellStyle name=" _품셈_부대입찰내역_직접공사비 집계_1 당진78-연돌-공사설계서(REV.0 12.14-kopec)" xfId="4495"/>
    <cellStyle name=" _품셈_부대입찰내역_직접공사비 집계_1.0t 당진78-연돌-수량산출서(REV.0 12.27-kopec)" xfId="4496"/>
    <cellStyle name=" _품셈_부대입찰내역_직접공사비 집계_CC-02 본관기초굴착 예상" xfId="4497"/>
    <cellStyle name=" _품셈_부대입찰내역_직접공사비 집계_CC-02 본관기초굴착 예상_1 당진78-연돌-공사설계서(REV.0 12.14-kopec)" xfId="4498"/>
    <cellStyle name=" _품셈_부대입찰내역_직접공사비 집계_CC-02 본관기초굴착 예상_1.0t 당진78-연돌-수량산출서(REV.0 12.27-kopec)" xfId="4499"/>
    <cellStyle name=" _품셈_부대입찰내역_직접공사비 집계_CC-02 본관기초굴착 예상_당진78-연돌-개략공사비" xfId="4500"/>
    <cellStyle name=" _품셈_부대입찰내역_직접공사비 집계_CC-02 본관기초굴착 예상_연돌 현장타설말뚝(RCD)설계서" xfId="4501"/>
    <cellStyle name=" _품셈_부대입찰내역_직접공사비 집계_당진78-연돌-개략공사비" xfId="4502"/>
    <cellStyle name=" _품셈_부대입찰내역_직접공사비 집계_본관기초 가실행" xfId="4503"/>
    <cellStyle name=" _품셈_부대입찰내역_직접공사비 집계_본관기초 가실행_1 당진78-연돌-공사설계서(REV.0 12.14-kopec)" xfId="4504"/>
    <cellStyle name=" _품셈_부대입찰내역_직접공사비 집계_본관기초 가실행_1.0t 당진78-연돌-수량산출서(REV.0 12.27-kopec)" xfId="4505"/>
    <cellStyle name=" _품셈_부대입찰내역_직접공사비 집계_본관기초 가실행_당진78-연돌-개략공사비" xfId="4506"/>
    <cellStyle name=" _품셈_부대입찰내역_직접공사비 집계_본관기초 가실행_연돌 현장타설말뚝(RCD)설계서" xfId="4507"/>
    <cellStyle name=" _품셈_부대입찰내역_직접공사비 집계_본관기초굴착 예상도급" xfId="4508"/>
    <cellStyle name=" _품셈_부대입찰내역_직접공사비 집계_본관기초굴착 예상도급_1 당진78-연돌-공사설계서(REV.0 12.14-kopec)" xfId="4509"/>
    <cellStyle name=" _품셈_부대입찰내역_직접공사비 집계_본관기초굴착 예상도급_1.0t 당진78-연돌-수량산출서(REV.0 12.27-kopec)" xfId="4510"/>
    <cellStyle name=" _품셈_부대입찰내역_직접공사비 집계_본관기초굴착 예상도급_당진78-연돌-개략공사비" xfId="4511"/>
    <cellStyle name=" _품셈_부대입찰내역_직접공사비 집계_본관기초굴착 예상도급_연돌 현장타설말뚝(RCD)설계서" xfId="4512"/>
    <cellStyle name=" _품셈_부대입찰내역_직접공사비 집계_연돌 현장타설말뚝(RCD)설계서" xfId="4513"/>
    <cellStyle name=" _품셈_부대입찰내역_직접공사비 집계_한태견적의뢰" xfId="4514"/>
    <cellStyle name=" _품셈_부대입찰내역_한태견적의뢰" xfId="4515"/>
    <cellStyle name=" _품셈_부진" xfId="4516"/>
    <cellStyle name=" _품셈_사무실포장가실행" xfId="4517"/>
    <cellStyle name=" _품셈_사본 - CC-02" xfId="4518"/>
    <cellStyle name=" _품셈_석탄취급설비기초-비교" xfId="4519"/>
    <cellStyle name=" _품셈_실행예산" xfId="4521"/>
    <cellStyle name=" _품셈_실행예산_PRP-500 TYPE" xfId="4522"/>
    <cellStyle name=" _품셈_실행예산_남부, 석산정거장(익진ENG 실행)" xfId="4523"/>
    <cellStyle name=" _품셈_실행예산_남부, 석산정거장PRP-500(Double)내역포함" xfId="4524"/>
    <cellStyle name=" _품셈_실행예산_양차장님(PRP, MOZART)" xfId="4525"/>
    <cellStyle name=" _품셈_실행예산_양차장님(PRP, MOZART)_양차장님LINER 벽체단가(PRP, MOZART,사면절곡)" xfId="4526"/>
    <cellStyle name=" _품셈_실행-인천국제공항제2단계건설부대건물(11월8일)-실행검토(폴리메탈사이즈별_F메탈)" xfId="4520"/>
    <cellStyle name=" _품셈_양차장님(PRP, MOZART)" xfId="4527"/>
    <cellStyle name=" _품셈_양차장님(PRP, MOZART)_양차장님LINER 벽체단가(PRP, MOZART,사면절곡)" xfId="4528"/>
    <cellStyle name=" _품셈_연돌 수량산출서" xfId="4529"/>
    <cellStyle name=" _품셈_연돌 현장타설말뚝(RCD)설계서" xfId="4530"/>
    <cellStyle name=" _품셈_연돌축조 가설계서 (rev. 1) 수정" xfId="4531"/>
    <cellStyle name=" _품셈_영흥 3,4 0505 건축기성3" xfId="4532"/>
    <cellStyle name=" _품셈_영흥 3,4 0505 건축기성3_1-온배수 양식장 가설계서" xfId="4533"/>
    <cellStyle name=" _품셈_영흥 3,4 0505 건축기성3_경상정비 가설계서(12.07)" xfId="4534"/>
    <cellStyle name=" _품셈_영흥 3,4 0505 건축기성3_경상정비 설계서(최종결재본)" xfId="4535"/>
    <cellStyle name=" _품셈_영흥 3,4 0505 건축기성3_경상정비 설계서(최종분11월19)" xfId="4536"/>
    <cellStyle name=" _품셈_영흥 3,4 0505 건축기성3_부품" xfId="4537"/>
    <cellStyle name=" _품셈_영흥 3,4 도급자가설건물 축조 가설계서" xfId="4538"/>
    <cellStyle name=" _품셈_영흥 3,4 도급자가설건물 축조 가설계서(조정3)" xfId="4539"/>
    <cellStyle name=" _품셈_영흥 3,4 도급자가설건물 축조 가설계서(조정3)_1-온배수 양식장 가설계서" xfId="4540"/>
    <cellStyle name=" _품셈_영흥 3,4 도급자가설건물 축조 가설계서(조정3)_경상정비 가설계서(12.07)" xfId="4541"/>
    <cellStyle name=" _품셈_영흥 3,4 도급자가설건물 축조 가설계서(조정3)_경상정비 설계서(최종결재본)" xfId="4542"/>
    <cellStyle name=" _품셈_영흥 3,4 도급자가설건물 축조 가설계서(조정3)_경상정비 설계서(최종분11월19)" xfId="4543"/>
    <cellStyle name=" _품셈_영흥 3,4 도급자가설건물 축조 가설계서(조정3)_부품" xfId="4544"/>
    <cellStyle name=" _품셈_영흥 3,4 도급자가설건물 축조 가설계서_1-온배수 양식장 가설계서" xfId="4545"/>
    <cellStyle name=" _품셈_영흥 3,4 도급자가설건물 축조 가설계서_경상정비 가설계서(12.07)" xfId="4546"/>
    <cellStyle name=" _품셈_영흥 3,4 도급자가설건물 축조 가설계서_경상정비 설계서(최종결재본)" xfId="4547"/>
    <cellStyle name=" _품셈_영흥 3,4 도급자가설건물 축조 가설계서_경상정비 설계서(최종분11월19)" xfId="4548"/>
    <cellStyle name=" _품셈_영흥 3,4 도급자가설건물 축조 가설계서_부품" xfId="4549"/>
    <cellStyle name=" _품셈_영흥#3,4 배수로축조공사(CC-03)최종(입찰용)" xfId="4550"/>
    <cellStyle name=" _품셈_영흥#3,4 옥내기기기초(AC-05)" xfId="4551"/>
    <cellStyle name=" _품셈_영흥#3,4 터빈발전기기초(AC-04)" xfId="4552"/>
    <cellStyle name=" _품셈_영흥#3,4 터빈발전기기초(AC-04)_1-온배수 양식장 가설계서" xfId="4553"/>
    <cellStyle name=" _품셈_영흥#3,4 터빈발전기기초(AC-04)_경상정비 가설계서(12.07)" xfId="4554"/>
    <cellStyle name=" _품셈_영흥#3,4 터빈발전기기초(AC-04)_경상정비 설계서(최종결재본)" xfId="4555"/>
    <cellStyle name=" _품셈_영흥#3,4 터빈발전기기초(AC-04)_경상정비 설계서(최종분11월19)" xfId="4556"/>
    <cellStyle name=" _품셈_영흥#3,4 터빈발전기기초(AC-04)_부품" xfId="4557"/>
    <cellStyle name=" _품셈_영흥#3,4터빈발전기기초공사(AC-04)" xfId="4558"/>
    <cellStyle name=" _품셈_영흥#3,4터빈발전기기초공사(AC-04)_1-온배수 양식장 가설계서" xfId="4559"/>
    <cellStyle name=" _품셈_영흥#3,4터빈발전기기초공사(AC-04)_경상정비 가설계서(12.07)" xfId="4560"/>
    <cellStyle name=" _품셈_영흥#3,4터빈발전기기초공사(AC-04)_경상정비 설계서(최종결재본)" xfId="4561"/>
    <cellStyle name=" _품셈_영흥#3,4터빈발전기기초공사(AC-04)_경상정비 설계서(최종분11월19)" xfId="4562"/>
    <cellStyle name=" _품셈_영흥#3,4터빈발전기기초공사(AC-04)_보일러판넬현장설명회(배부용)" xfId="4563"/>
    <cellStyle name=" _품셈_영흥#3,4터빈발전기기초공사(AC-04)_부품" xfId="4564"/>
    <cellStyle name=" _품셈_영흥3,4도급자가설건물축조가설계서(최종2)" xfId="4565"/>
    <cellStyle name=" _품셈_옥외탱크기초-비교" xfId="4566"/>
    <cellStyle name=" _품셈_옥외탱크및기기기초(단가)" xfId="4567"/>
    <cellStyle name=" _품셈_임시공정율-탈황건축물량(동서)r1" xfId="4568"/>
    <cellStyle name=" _품셈_장비부표(2004 하반기)" xfId="4569"/>
    <cellStyle name=" _품셈_장비부표(2004 하반기)_1-온배수 양식장 가설계서" xfId="4570"/>
    <cellStyle name=" _품셈_장비부표(2004 하반기)_Book1" xfId="4571"/>
    <cellStyle name=" _품셈_장비부표(2004 하반기)_경상정비 가설계서(12.07)" xfId="4572"/>
    <cellStyle name=" _품셈_장비부표(2004 하반기)_경상정비 설계서(최종결재본)" xfId="4573"/>
    <cellStyle name=" _품셈_장비부표(2004 하반기)_경상정비 설계서(최종분11월19)" xfId="4574"/>
    <cellStyle name=" _품셈_장비부표(2004 하반기)_부품" xfId="4575"/>
    <cellStyle name=" _품셈_전기설비기초-FF" xfId="4576"/>
    <cellStyle name=" _품셈_점화유 펌프실 설계서" xfId="4577"/>
    <cellStyle name=" _품셈_제일모직 DF PROJECT 2차공사(실행)" xfId="4578"/>
    <cellStyle name=" _품셈_조경(final)-비교" xfId="4579"/>
    <cellStyle name=" _품셈_직접공사비 집계" xfId="4580"/>
    <cellStyle name=" _품셈_직접공사비 집계_1 당진78-연돌-공사설계서(REV.0 12.14-kopec)" xfId="4581"/>
    <cellStyle name=" _품셈_직접공사비 집계_1.0t 당진78-연돌-수량산출서(REV.0 12.27-kopec)" xfId="4582"/>
    <cellStyle name=" _품셈_직접공사비 집계_CC-02 본관기초굴착 예상" xfId="4583"/>
    <cellStyle name=" _품셈_직접공사비 집계_CC-02 본관기초굴착 예상_1 당진78-연돌-공사설계서(REV.0 12.14-kopec)" xfId="4584"/>
    <cellStyle name=" _품셈_직접공사비 집계_CC-02 본관기초굴착 예상_1.0t 당진78-연돌-수량산출서(REV.0 12.27-kopec)" xfId="4585"/>
    <cellStyle name=" _품셈_직접공사비 집계_CC-02 본관기초굴착 예상_당진78-연돌-개략공사비" xfId="4586"/>
    <cellStyle name=" _품셈_직접공사비 집계_CC-02 본관기초굴착 예상_연돌 현장타설말뚝(RCD)설계서" xfId="4587"/>
    <cellStyle name=" _품셈_직접공사비 집계_당진78-연돌-개략공사비" xfId="4588"/>
    <cellStyle name=" _품셈_직접공사비 집계_본관기초 가실행" xfId="4589"/>
    <cellStyle name=" _품셈_직접공사비 집계_본관기초 가실행_1 당진78-연돌-공사설계서(REV.0 12.14-kopec)" xfId="4590"/>
    <cellStyle name=" _품셈_직접공사비 집계_본관기초 가실행_1.0t 당진78-연돌-수량산출서(REV.0 12.27-kopec)" xfId="4591"/>
    <cellStyle name=" _품셈_직접공사비 집계_본관기초 가실행_당진78-연돌-개략공사비" xfId="4592"/>
    <cellStyle name=" _품셈_직접공사비 집계_본관기초 가실행_연돌 현장타설말뚝(RCD)설계서" xfId="4593"/>
    <cellStyle name=" _품셈_직접공사비 집계_본관기초굴착 예상도급" xfId="4594"/>
    <cellStyle name=" _품셈_직접공사비 집계_본관기초굴착 예상도급_1 당진78-연돌-공사설계서(REV.0 12.14-kopec)" xfId="4595"/>
    <cellStyle name=" _품셈_직접공사비 집계_본관기초굴착 예상도급_1.0t 당진78-연돌-수량산출서(REV.0 12.27-kopec)" xfId="4596"/>
    <cellStyle name=" _품셈_직접공사비 집계_본관기초굴착 예상도급_당진78-연돌-개략공사비" xfId="4597"/>
    <cellStyle name=" _품셈_직접공사비 집계_본관기초굴착 예상도급_연돌 현장타설말뚝(RCD)설계서" xfId="4598"/>
    <cellStyle name=" _품셈_직접공사비 집계_연돌 현장타설말뚝(RCD)설계서" xfId="4599"/>
    <cellStyle name=" _품셈_직접공사비 집계_한태견적의뢰" xfId="4600"/>
    <cellStyle name=" _품셈_철근운반비" xfId="4601"/>
    <cellStyle name=" _품셈_철근운반비_7,8물량반영-전기설비기초0224" xfId="4602"/>
    <cellStyle name=" _품셈_철근운반비_7,8물량반영-전기설비기초0224_PRP-500 TYPE" xfId="4603"/>
    <cellStyle name=" _품셈_철근운반비_7,8물량반영-전기설비기초0224_공사비집계표(품의용)" xfId="4604"/>
    <cellStyle name=" _품셈_철근운반비_7,8물량반영-전기설비기초0224_공사비집계표(품의용)_PRP-500 TYPE" xfId="4605"/>
    <cellStyle name=" _품셈_철근운반비_7,8물량반영-전기설비기초0224_공사비집계표(품의용)_남부, 석산정거장(익진ENG 실행)" xfId="4606"/>
    <cellStyle name=" _품셈_철근운반비_7,8물량반영-전기설비기초0224_공사비집계표(품의용)_남부, 석산정거장PRP-500(Double)내역포함" xfId="4607"/>
    <cellStyle name=" _품셈_철근운반비_7,8물량반영-전기설비기초0224_공사비집계표(품의용)_양차장님(PRP, MOZART)" xfId="4608"/>
    <cellStyle name=" _품셈_철근운반비_7,8물량반영-전기설비기초0224_공사비집계표(품의용)_양차장님(PRP, MOZART)_양차장님LINER 벽체단가(PRP, MOZART,사면절곡)" xfId="4609"/>
    <cellStyle name=" _품셈_철근운반비_7,8물량반영-전기설비기초0224_남부, 석산정거장(익진ENG 실행)" xfId="4610"/>
    <cellStyle name=" _품셈_철근운반비_7,8물량반영-전기설비기초0224_남부, 석산정거장PRP-500(Double)내역포함" xfId="4611"/>
    <cellStyle name=" _품셈_철근운반비_7,8물량반영-전기설비기초0224_양차장님(PRP, MOZART)" xfId="4612"/>
    <cellStyle name=" _품셈_철근운반비_7,8물량반영-전기설비기초0224_양차장님(PRP, MOZART)_양차장님LINER 벽체단가(PRP, MOZART,사면절곡)" xfId="4613"/>
    <cellStyle name=" _품셈_철근운반비_AC-01 보일러 설계서 수정" xfId="4614"/>
    <cellStyle name=" _품셈_철근운반비_AC-01 보일러 설계서 수정_AC-14(최종수정)" xfId="4615"/>
    <cellStyle name=" _품셈_철근운반비_AC-01 보일러 설계서 수정_AC-14(최종수정)_Book1" xfId="4616"/>
    <cellStyle name=" _품셈_철근운반비_AC-01 보일러 설계서 수정_AC-14(최종수정)_발전설비 보수공사" xfId="4617"/>
    <cellStyle name=" _품셈_철근운반비_AC-01 보일러 설계서 수정_AC-14(최종수정)_발전설비 보수공사_Book1" xfId="4618"/>
    <cellStyle name=" _품셈_철근운반비_AC-01 보일러 설계서 수정_Book1" xfId="4619"/>
    <cellStyle name=" _품셈_철근운반비_AC-01 본관기초(가설계서 9월단가)" xfId="4620"/>
    <cellStyle name=" _품셈_철근운반비_AC-01 본관기초(가설계서 9월단가)_AC-14(최종수정)" xfId="4627"/>
    <cellStyle name=" _품셈_철근운반비_AC-01 본관기초(가설계서 9월단가)_AC-14(최종수정)_Book1" xfId="4628"/>
    <cellStyle name=" _품셈_철근운반비_AC-01 본관기초(가설계서 9월단가)_AC-14(최종수정)_발전설비 보수공사" xfId="4629"/>
    <cellStyle name=" _품셈_철근운반비_AC-01 본관기초(가설계서 9월단가)_AC-14(최종수정)_발전설비 보수공사_Book1" xfId="4630"/>
    <cellStyle name=" _품셈_철근운반비_AC-01 본관기초(가설계서 9월단가)_Book1" xfId="4631"/>
    <cellStyle name=" _품셈_철근운반비_AC-01 본관기초(가설계서 9월단가)-2" xfId="4621"/>
    <cellStyle name=" _품셈_철근운반비_AC-01 본관기초(가설계서 9월단가)-2_AC-14(최종수정)" xfId="4622"/>
    <cellStyle name=" _품셈_철근운반비_AC-01 본관기초(가설계서 9월단가)-2_AC-14(최종수정)_Book1" xfId="4623"/>
    <cellStyle name=" _품셈_철근운반비_AC-01 본관기초(가설계서 9월단가)-2_AC-14(최종수정)_발전설비 보수공사" xfId="4624"/>
    <cellStyle name=" _품셈_철근운반비_AC-01 본관기초(가설계서 9월단가)-2_AC-14(최종수정)_발전설비 보수공사_Book1" xfId="4625"/>
    <cellStyle name=" _품셈_철근운반비_AC-01 본관기초(가설계서 9월단가)-2_Book1" xfId="4626"/>
    <cellStyle name=" _품셈_철근운반비_AC-14건설사무소환경개선공사설계서(제출)REV10" xfId="4632"/>
    <cellStyle name=" _품셈_철근운반비_AC-14건설사무소환경개선공사설계서(제출)REV10_AC-14(최종수정)" xfId="4633"/>
    <cellStyle name=" _품셈_철근운반비_AC-14건설사무소환경개선공사설계서(제출)REV10_AC-14(최종수정)_Book1" xfId="4634"/>
    <cellStyle name=" _품셈_철근운반비_AC-14건설사무소환경개선공사설계서(제출)REV10_AC-14(최종수정)_발전설비 보수공사" xfId="4635"/>
    <cellStyle name=" _품셈_철근운반비_AC-14건설사무소환경개선공사설계서(제출)REV10_AC-14(최종수정)_발전설비 보수공사_Book1" xfId="4636"/>
    <cellStyle name=" _품셈_철근운반비_AC-14건설사무소환경개선공사설계서(제출)REV10_Book1" xfId="4637"/>
    <cellStyle name=" _품셈_철근운반비_Book1" xfId="4638"/>
    <cellStyle name=" _품셈_철근운반비_PRP-500 TYPE" xfId="4639"/>
    <cellStyle name=" _품셈_철근운반비_Songdo Convention Center 신축공사(060106제출수정본)" xfId="4640"/>
    <cellStyle name=" _품셈_철근운반비_공사비집계표" xfId="4641"/>
    <cellStyle name=" _품셈_철근운반비_공사비집계표(품의용)" xfId="4642"/>
    <cellStyle name=" _품셈_철근운반비_공사비집계표(품의용)_PRP-500 TYPE" xfId="4643"/>
    <cellStyle name=" _품셈_철근운반비_공사비집계표(품의용)_남부, 석산정거장(익진ENG 실행)" xfId="4644"/>
    <cellStyle name=" _품셈_철근운반비_공사비집계표(품의용)_남부, 석산정거장PRP-500(Double)내역포함" xfId="4645"/>
    <cellStyle name=" _품셈_철근운반비_공사비집계표(품의용)_양차장님(PRP, MOZART)" xfId="4646"/>
    <cellStyle name=" _품셈_철근운반비_공사비집계표(품의용)_양차장님(PRP, MOZART)_양차장님LINER 벽체단가(PRP, MOZART,사면절곡)" xfId="4647"/>
    <cellStyle name=" _품셈_철근운반비_공사비집계표_AC-14(최종수정)" xfId="4648"/>
    <cellStyle name=" _품셈_철근운반비_공사비집계표_AC-14(최종수정)_Book1" xfId="4649"/>
    <cellStyle name=" _품셈_철근운반비_공사비집계표_AC-14(최종수정)_발전설비 보수공사" xfId="4650"/>
    <cellStyle name=" _품셈_철근운반비_공사비집계표_AC-14(최종수정)_발전설비 보수공사_Book1" xfId="4651"/>
    <cellStyle name=" _품셈_철근운반비_공사비집계표_Book1" xfId="4652"/>
    <cellStyle name=" _품셈_철근운반비_구내도로 및 배수(단가)" xfId="4653"/>
    <cellStyle name=" _품셈_철근운반비_구내도로 및 배수(단가)_AC-01 보일러 설계서 수정" xfId="4654"/>
    <cellStyle name=" _품셈_철근운반비_구내도로 및 배수(단가)_AC-01 보일러 설계서 수정_AC-14(최종수정)" xfId="4655"/>
    <cellStyle name=" _품셈_철근운반비_구내도로 및 배수(단가)_AC-01 보일러 설계서 수정_AC-14(최종수정)_Book1" xfId="4656"/>
    <cellStyle name=" _품셈_철근운반비_구내도로 및 배수(단가)_AC-01 보일러 설계서 수정_AC-14(최종수정)_발전설비 보수공사" xfId="4657"/>
    <cellStyle name=" _품셈_철근운반비_구내도로 및 배수(단가)_AC-01 보일러 설계서 수정_AC-14(최종수정)_발전설비 보수공사_Book1" xfId="4658"/>
    <cellStyle name=" _품셈_철근운반비_구내도로 및 배수(단가)_AC-01 보일러 설계서 수정_Book1" xfId="4659"/>
    <cellStyle name=" _품셈_철근운반비_구내도로 및 배수(단가)_AC-01 본관기초(가설계서 9월단가)" xfId="4660"/>
    <cellStyle name=" _품셈_철근운반비_구내도로 및 배수(단가)_AC-01 본관기초(가설계서 9월단가)_AC-14(최종수정)" xfId="4667"/>
    <cellStyle name=" _품셈_철근운반비_구내도로 및 배수(단가)_AC-01 본관기초(가설계서 9월단가)_AC-14(최종수정)_Book1" xfId="4668"/>
    <cellStyle name=" _품셈_철근운반비_구내도로 및 배수(단가)_AC-01 본관기초(가설계서 9월단가)_AC-14(최종수정)_발전설비 보수공사" xfId="4669"/>
    <cellStyle name=" _품셈_철근운반비_구내도로 및 배수(단가)_AC-01 본관기초(가설계서 9월단가)_AC-14(최종수정)_발전설비 보수공사_Book1" xfId="4670"/>
    <cellStyle name=" _품셈_철근운반비_구내도로 및 배수(단가)_AC-01 본관기초(가설계서 9월단가)_Book1" xfId="4671"/>
    <cellStyle name=" _품셈_철근운반비_구내도로 및 배수(단가)_AC-01 본관기초(가설계서 9월단가)-2" xfId="4661"/>
    <cellStyle name=" _품셈_철근운반비_구내도로 및 배수(단가)_AC-01 본관기초(가설계서 9월단가)-2_AC-14(최종수정)" xfId="4662"/>
    <cellStyle name=" _품셈_철근운반비_구내도로 및 배수(단가)_AC-01 본관기초(가설계서 9월단가)-2_AC-14(최종수정)_Book1" xfId="4663"/>
    <cellStyle name=" _품셈_철근운반비_구내도로 및 배수(단가)_AC-01 본관기초(가설계서 9월단가)-2_AC-14(최종수정)_발전설비 보수공사" xfId="4664"/>
    <cellStyle name=" _품셈_철근운반비_구내도로 및 배수(단가)_AC-01 본관기초(가설계서 9월단가)-2_AC-14(최종수정)_발전설비 보수공사_Book1" xfId="4665"/>
    <cellStyle name=" _품셈_철근운반비_구내도로 및 배수(단가)_AC-01 본관기초(가설계서 9월단가)-2_Book1" xfId="4666"/>
    <cellStyle name=" _품셈_철근운반비_구내도로 및 배수(단가)_AC-14건설사무소환경개선공사설계서(제출)REV10" xfId="4672"/>
    <cellStyle name=" _품셈_철근운반비_구내도로 및 배수(단가)_AC-14건설사무소환경개선공사설계서(제출)REV10_AC-14(최종수정)" xfId="4673"/>
    <cellStyle name=" _품셈_철근운반비_구내도로 및 배수(단가)_AC-14건설사무소환경개선공사설계서(제출)REV10_AC-14(최종수정)_Book1" xfId="4674"/>
    <cellStyle name=" _품셈_철근운반비_구내도로 및 배수(단가)_AC-14건설사무소환경개선공사설계서(제출)REV10_AC-14(최종수정)_발전설비 보수공사" xfId="4675"/>
    <cellStyle name=" _품셈_철근운반비_구내도로 및 배수(단가)_AC-14건설사무소환경개선공사설계서(제출)REV10_AC-14(최종수정)_발전설비 보수공사_Book1" xfId="4676"/>
    <cellStyle name=" _품셈_철근운반비_구내도로 및 배수(단가)_AC-14건설사무소환경개선공사설계서(제출)REV10_Book1" xfId="4677"/>
    <cellStyle name=" _품셈_철근운반비_구내도로 및 배수(단가)_Book1" xfId="4678"/>
    <cellStyle name=" _품셈_철근운반비_구내도로 및 배수(단가)_PRP-500 TYPE" xfId="4679"/>
    <cellStyle name=" _품셈_철근운반비_구내도로 및 배수(단가)_Songdo Convention Center 신축공사(060106제출수정본)" xfId="4680"/>
    <cellStyle name=" _품셈_철근운반비_구내도로 및 배수(단가)_공사비집계표" xfId="4681"/>
    <cellStyle name=" _품셈_철근운반비_구내도로 및 배수(단가)_공사비집계표(품의용)" xfId="4682"/>
    <cellStyle name=" _품셈_철근운반비_구내도로 및 배수(단가)_공사비집계표(품의용)_PRP-500 TYPE" xfId="4683"/>
    <cellStyle name=" _품셈_철근운반비_구내도로 및 배수(단가)_공사비집계표(품의용)_남부, 석산정거장(익진ENG 실행)" xfId="4684"/>
    <cellStyle name=" _품셈_철근운반비_구내도로 및 배수(단가)_공사비집계표(품의용)_남부, 석산정거장PRP-500(Double)내역포함" xfId="4685"/>
    <cellStyle name=" _품셈_철근운반비_구내도로 및 배수(단가)_공사비집계표(품의용)_양차장님(PRP, MOZART)" xfId="4686"/>
    <cellStyle name=" _품셈_철근운반비_구내도로 및 배수(단가)_공사비집계표(품의용)_양차장님(PRP, MOZART)_양차장님LINER 벽체단가(PRP, MOZART,사면절곡)" xfId="4687"/>
    <cellStyle name=" _품셈_철근운반비_구내도로 및 배수(단가)_공사비집계표_AC-14(최종수정)" xfId="4688"/>
    <cellStyle name=" _품셈_철근운반비_구내도로 및 배수(단가)_공사비집계표_AC-14(최종수정)_Book1" xfId="4689"/>
    <cellStyle name=" _품셈_철근운반비_구내도로 및 배수(단가)_공사비집계표_AC-14(최종수정)_발전설비 보수공사" xfId="4690"/>
    <cellStyle name=" _품셈_철근운반비_구내도로 및 배수(단가)_공사비집계표_AC-14(최종수정)_발전설비 보수공사_Book1" xfId="4691"/>
    <cellStyle name=" _품셈_철근운반비_구내도로 및 배수(단가)_공사비집계표_Book1" xfId="4692"/>
    <cellStyle name=" _품셈_철근운반비_구내도로 및 배수(단가)_남부, 석산정거장(익진ENG 실행)" xfId="4693"/>
    <cellStyle name=" _품셈_철근운반비_구내도로 및 배수(단가)_남부, 석산정거장PRP-500(Double)내역포함" xfId="4694"/>
    <cellStyle name=" _품셈_철근운반비_구내도로 및 배수(단가)_발전설비 보수공사" xfId="4695"/>
    <cellStyle name=" _품셈_철근운반비_구내도로 및 배수(단가)_발전설비 보수공사_Book1" xfId="4696"/>
    <cellStyle name=" _품셈_철근운반비_구내도로 및 배수(단가)_보일러판넬현장설명회(배부용)" xfId="4697"/>
    <cellStyle name=" _품셈_철근운반비_구내도로 및 배수(단가)_양차장님(PRP, MOZART)" xfId="4698"/>
    <cellStyle name=" _품셈_철근운반비_구내도로 및 배수(단가)_양차장님(PRP, MOZART)_양차장님LINER 벽체단가(PRP, MOZART,사면절곡)" xfId="4699"/>
    <cellStyle name=" _품셈_철근운반비_구내도로 및 배수(단가)_영흥#3,4 터빈발전기기초(AC-04)" xfId="4700"/>
    <cellStyle name=" _품셈_철근운반비_구내도로 및 배수(단가)_추가품셈1-박" xfId="4701"/>
    <cellStyle name=" _품셈_철근운반비_구내도로 및 배수(단가)_추가품셈1-박_PRP-500 TYPE" xfId="4702"/>
    <cellStyle name=" _품셈_철근운반비_구내도로 및 배수(단가)_추가품셈1-박_남부, 석산정거장(익진ENG 실행)" xfId="4703"/>
    <cellStyle name=" _품셈_철근운반비_구내도로 및 배수(단가)_추가품셈1-박_남부, 석산정거장PRP-500(Double)내역포함" xfId="4704"/>
    <cellStyle name=" _품셈_철근운반비_구내도로 및 배수(단가)_추가품셈1-박_양차장님(PRP, MOZART)" xfId="4705"/>
    <cellStyle name=" _품셈_철근운반비_구내도로 및 배수(단가)_추가품셈1-박_양차장님(PRP, MOZART)_양차장님LINER 벽체단가(PRP, MOZART,사면절곡)" xfId="4706"/>
    <cellStyle name=" _품셈_철근운반비_남부, 석산정거장(익진ENG 실행)" xfId="4707"/>
    <cellStyle name=" _품셈_철근운반비_남부, 석산정거장PRP-500(Double)내역포함" xfId="4708"/>
    <cellStyle name=" _품셈_철근운반비_발전설비 보수공사" xfId="4709"/>
    <cellStyle name=" _품셈_철근운반비_발전설비 보수공사_Book1" xfId="4710"/>
    <cellStyle name=" _품셈_철근운반비_보일러판넬현장설명회(배부용)" xfId="4711"/>
    <cellStyle name=" _품셈_철근운반비_양차장님(PRP, MOZART)" xfId="4712"/>
    <cellStyle name=" _품셈_철근운반비_양차장님(PRP, MOZART)_양차장님LINER 벽체단가(PRP, MOZART,사면절곡)" xfId="4713"/>
    <cellStyle name=" _품셈_철근운반비_영흥#3,4 터빈발전기기초(AC-04)" xfId="4714"/>
    <cellStyle name=" _품셈_철근운반비_옥외탱크및기기기초(단가)" xfId="4715"/>
    <cellStyle name=" _품셈_철근운반비_옥외탱크및기기기초(단가)_PRP-500 TYPE" xfId="4716"/>
    <cellStyle name=" _품셈_철근운반비_옥외탱크및기기기초(단가)_공사비집계표(품의용)" xfId="4717"/>
    <cellStyle name=" _품셈_철근운반비_옥외탱크및기기기초(단가)_공사비집계표(품의용)_PRP-500 TYPE" xfId="4718"/>
    <cellStyle name=" _품셈_철근운반비_옥외탱크및기기기초(단가)_공사비집계표(품의용)_남부, 석산정거장(익진ENG 실행)" xfId="4719"/>
    <cellStyle name=" _품셈_철근운반비_옥외탱크및기기기초(단가)_공사비집계표(품의용)_남부, 석산정거장PRP-500(Double)내역포함" xfId="4720"/>
    <cellStyle name=" _품셈_철근운반비_옥외탱크및기기기초(단가)_공사비집계표(품의용)_양차장님(PRP, MOZART)" xfId="4721"/>
    <cellStyle name=" _품셈_철근운반비_옥외탱크및기기기초(단가)_공사비집계표(품의용)_양차장님(PRP, MOZART)_양차장님LINER 벽체단가(PRP, MOZART,사면절곡)" xfId="4722"/>
    <cellStyle name=" _품셈_철근운반비_옥외탱크및기기기초(단가)_남부, 석산정거장(익진ENG 실행)" xfId="4723"/>
    <cellStyle name=" _품셈_철근운반비_옥외탱크및기기기초(단가)_남부, 석산정거장PRP-500(Double)내역포함" xfId="4724"/>
    <cellStyle name=" _품셈_철근운반비_옥외탱크및기기기초(단가)_양차장님(PRP, MOZART)" xfId="4725"/>
    <cellStyle name=" _품셈_철근운반비_옥외탱크및기기기초(단가)_양차장님(PRP, MOZART)_양차장님LINER 벽체단가(PRP, MOZART,사면절곡)" xfId="4726"/>
    <cellStyle name=" _품셈_철근운반비_추가품셈1-박" xfId="4727"/>
    <cellStyle name=" _품셈_철근운반비_추가품셈1-박_PRP-500 TYPE" xfId="4728"/>
    <cellStyle name=" _품셈_철근운반비_추가품셈1-박_남부, 석산정거장(익진ENG 실행)" xfId="4729"/>
    <cellStyle name=" _품셈_철근운반비_추가품셈1-박_남부, 석산정거장PRP-500(Double)내역포함" xfId="4730"/>
    <cellStyle name=" _품셈_철근운반비_추가품셈1-박_양차장님(PRP, MOZART)" xfId="4731"/>
    <cellStyle name=" _품셈_철근운반비_추가품셈1-박_양차장님(PRP, MOZART)_양차장님LINER 벽체단가(PRP, MOZART,사면절곡)" xfId="4732"/>
    <cellStyle name=" _품셈_태안7,8 건설공사(기계분야_계약)-1" xfId="4733"/>
    <cellStyle name=" _품셈_태안7,8 건설공사(제어분야_계약)" xfId="4734"/>
    <cellStyle name=" _품셈_투찰내역(건축공사)" xfId="4735"/>
    <cellStyle name=" _품셈_투찰내역(토목공사)" xfId="4736"/>
    <cellStyle name=" _품셈_품셈 및 별표-RA" xfId="4737"/>
    <cellStyle name=" _품셈_품셈 및 별표-RA_AC-01_GT건물신축공사_061031_RA" xfId="4738"/>
    <cellStyle name=" _품셈_품셈 및 별표-RA_AC-01_GT건물신축공사_061031_RA_AC-08_보조보일러건물신축공사_061031_RA" xfId="4739"/>
    <cellStyle name=" _품셈_품셈 및 별표-RA_AC-01_GT건물신축공사_061031_RA_AC-09_수처리및폐수처리건물신축공사_061031_RA" xfId="4740"/>
    <cellStyle name=" _품셈_품셈 및 별표-RA_AC-05_주제어건물신축공사_061031_RA" xfId="4741"/>
    <cellStyle name=" _품셈_품셈 및 별표-RA_AC-05_주제어건물신축공사_061031_RA_AC-08_보조보일러건물신축공사_061031_RA" xfId="4742"/>
    <cellStyle name=" _품셈_품셈 및 별표-RA_AC-05_주제어건물신축공사_061031_RA_AC-09_수처리및폐수처리건물신축공사_061031_RA" xfId="4743"/>
    <cellStyle name=" _품셈_품셈 및 별표-RA_AC-08_보조보일러건물신축공사_061031_RA" xfId="4744"/>
    <cellStyle name=" _품셈_품셈 및 별표-RA_AC-09_수처리및폐수처리건물신축공사_061031_RA" xfId="4745"/>
    <cellStyle name=" _품셈_하도급신고용본관기초굴착설계서(040816)" xfId="4746"/>
    <cellStyle name=" _품셈_하도급신고용본관기초굴착설계서(040823)" xfId="4747"/>
    <cellStyle name=" _품셈_한국항공 세탁물시설 지붕공사-1차" xfId="4748"/>
    <cellStyle name=" _품셈_한태견적의뢰" xfId="4749"/>
    <cellStyle name=" _품셈_협성기초도급내역서양식" xfId="4750"/>
    <cellStyle name=" _품셈_협성기초도급내역서양식_1-온배수 양식장 가설계서" xfId="4751"/>
    <cellStyle name=" _품셈_협성기초도급내역서양식_경상정비 가설계서(12.07)" xfId="4752"/>
    <cellStyle name=" _품셈_협성기초도급내역서양식_경상정비 설계서(최종결재본)" xfId="4753"/>
    <cellStyle name=" _품셈_협성기초도급내역서양식_경상정비 설계서(최종분11월19)" xfId="4754"/>
    <cellStyle name=" _품셈_협성기초도급내역서양식_부품" xfId="4755"/>
    <cellStyle name=" _품질관리비" xfId="4756"/>
    <cellStyle name=" _품질관리비산출" xfId="4757"/>
    <cellStyle name=" _한태견적의뢰" xfId="4758"/>
    <cellStyle name=" _현가화기준" xfId="4759"/>
    <cellStyle name=" _현가화기준_영흥_3,4 가스창고신축(AC-08)확정-샘플내역서" xfId="4760"/>
    <cellStyle name=" 1" xfId="59"/>
    <cellStyle name=" 1 2" xfId="60"/>
    <cellStyle name=" 2" xfId="61"/>
    <cellStyle name=" 2 2" xfId="62"/>
    <cellStyle name="Ი_x000b_" xfId="31012"/>
    <cellStyle name="Ი_x000b_ 2" xfId="31013"/>
    <cellStyle name="_x000c_ōᅺb0ōᆊbXōᆚbōᆪb¨ōᆺb섄ōᇊb섰ōᇚb셌ōᇪb셨ōᇺb손ōሊbÌōሚbôōሪbŀōሺbŨōቊbƀōቚb솴ōቪb쇌ōቺb쇬ōኊb숄ōኚb술ōኪbƜōኺbƸōዊbǜōዚbǸōዪbɄō" xfId="22"/>
    <cellStyle name="_x000c_ōᅺb0ōᆊbXōᆚbōᆪb¨ōᆺb섄ōᇊb섰ōᇚb셌ōᇪb셨ōᇺb손ōሊbÌōሚbôōሪbŀōሺbŨōቊbƀōቚb솴ōቪb쇌ōቺb쇬ōኊb숄ōኚb술ōኪbƜōኺbƸōዊbǜōዚbǸōዪbɄō 2" xfId="23"/>
    <cellStyle name="_x000d_$" xfId="24"/>
    <cellStyle name="_x000d_$ 2" xfId="25"/>
    <cellStyle name="_x000d_;&amp;?;" xfId="26"/>
    <cellStyle name="_x000d_;&amp;?; 2" xfId="27"/>
    <cellStyle name="&quot;" xfId="4761"/>
    <cellStyle name="&quot; 2" xfId="4762"/>
    <cellStyle name="&quot;_china" xfId="4763"/>
    <cellStyle name="&quot;큰제목&quot;" xfId="4764"/>
    <cellStyle name="&quot;큰제목&quot; 2" xfId="4765"/>
    <cellStyle name="#" xfId="4766"/>
    <cellStyle name="# 2" xfId="4767"/>
    <cellStyle name="#,##0" xfId="4768"/>
    <cellStyle name="#,##0 10" xfId="4769"/>
    <cellStyle name="#,##0 11" xfId="4770"/>
    <cellStyle name="#,##0 12" xfId="4771"/>
    <cellStyle name="#,##0 13" xfId="4772"/>
    <cellStyle name="#,##0 14" xfId="4773"/>
    <cellStyle name="#,##0 15" xfId="4774"/>
    <cellStyle name="#,##0 16" xfId="4775"/>
    <cellStyle name="#,##0 17" xfId="4776"/>
    <cellStyle name="#,##0 18" xfId="4777"/>
    <cellStyle name="#,##0 19" xfId="4778"/>
    <cellStyle name="#,##0 2" xfId="4779"/>
    <cellStyle name="#,##0 2 10" xfId="4780"/>
    <cellStyle name="#,##0 2 11" xfId="4781"/>
    <cellStyle name="#,##0 2 12" xfId="4782"/>
    <cellStyle name="#,##0 2 13" xfId="4783"/>
    <cellStyle name="#,##0 2 14" xfId="4784"/>
    <cellStyle name="#,##0 2 15" xfId="4785"/>
    <cellStyle name="#,##0 2 16" xfId="4786"/>
    <cellStyle name="#,##0 2 17" xfId="4787"/>
    <cellStyle name="#,##0 2 18" xfId="4788"/>
    <cellStyle name="#,##0 2 19" xfId="4789"/>
    <cellStyle name="#,##0 2 2" xfId="4790"/>
    <cellStyle name="#,##0 2 2 2" xfId="4791"/>
    <cellStyle name="#,##0 2 20" xfId="4792"/>
    <cellStyle name="#,##0 2 21" xfId="4793"/>
    <cellStyle name="#,##0 2 22" xfId="4794"/>
    <cellStyle name="#,##0 2 23" xfId="4795"/>
    <cellStyle name="#,##0 2 3" xfId="4796"/>
    <cellStyle name="#,##0 2 3 2" xfId="4797"/>
    <cellStyle name="#,##0 2 4" xfId="4798"/>
    <cellStyle name="#,##0 2 4 2" xfId="4799"/>
    <cellStyle name="#,##0 2 5" xfId="4800"/>
    <cellStyle name="#,##0 2 5 2" xfId="4801"/>
    <cellStyle name="#,##0 2 6" xfId="4802"/>
    <cellStyle name="#,##0 2 6 2" xfId="4803"/>
    <cellStyle name="#,##0 2 7" xfId="4804"/>
    <cellStyle name="#,##0 2 8" xfId="4805"/>
    <cellStyle name="#,##0 2 9" xfId="4806"/>
    <cellStyle name="#,##0 20" xfId="4807"/>
    <cellStyle name="#,##0 21" xfId="4808"/>
    <cellStyle name="#,##0 22" xfId="4809"/>
    <cellStyle name="#,##0 23" xfId="4810"/>
    <cellStyle name="#,##0 24" xfId="4811"/>
    <cellStyle name="#,##0 25" xfId="4812"/>
    <cellStyle name="#,##0 26" xfId="4813"/>
    <cellStyle name="#,##0 3" xfId="4814"/>
    <cellStyle name="#,##0 3 10" xfId="4815"/>
    <cellStyle name="#,##0 3 11" xfId="4816"/>
    <cellStyle name="#,##0 3 12" xfId="4817"/>
    <cellStyle name="#,##0 3 13" xfId="4818"/>
    <cellStyle name="#,##0 3 14" xfId="4819"/>
    <cellStyle name="#,##0 3 15" xfId="4820"/>
    <cellStyle name="#,##0 3 16" xfId="4821"/>
    <cellStyle name="#,##0 3 17" xfId="4822"/>
    <cellStyle name="#,##0 3 18" xfId="4823"/>
    <cellStyle name="#,##0 3 19" xfId="4824"/>
    <cellStyle name="#,##0 3 2" xfId="4825"/>
    <cellStyle name="#,##0 3 20" xfId="4826"/>
    <cellStyle name="#,##0 3 21" xfId="4827"/>
    <cellStyle name="#,##0 3 22" xfId="4828"/>
    <cellStyle name="#,##0 3 23" xfId="4829"/>
    <cellStyle name="#,##0 3 3" xfId="4830"/>
    <cellStyle name="#,##0 3 4" xfId="4831"/>
    <cellStyle name="#,##0 3 5" xfId="4832"/>
    <cellStyle name="#,##0 3 6" xfId="4833"/>
    <cellStyle name="#,##0 3 7" xfId="4834"/>
    <cellStyle name="#,##0 3 8" xfId="4835"/>
    <cellStyle name="#,##0 3 9" xfId="4836"/>
    <cellStyle name="#,##0 4" xfId="4837"/>
    <cellStyle name="#,##0 5" xfId="4838"/>
    <cellStyle name="#,##0 6" xfId="4839"/>
    <cellStyle name="#,##0 7" xfId="4840"/>
    <cellStyle name="#,##0 8" xfId="4841"/>
    <cellStyle name="#,##0 9" xfId="4842"/>
    <cellStyle name="#,##0.0" xfId="4843"/>
    <cellStyle name="#,##0.0 2" xfId="4844"/>
    <cellStyle name="#,##0.00" xfId="4845"/>
    <cellStyle name="#,##0.00 2" xfId="4846"/>
    <cellStyle name="#,##0.000" xfId="4847"/>
    <cellStyle name="#,##0.000 2" xfId="4848"/>
    <cellStyle name="#,##0_견적서(원자력)" xfId="4849"/>
    <cellStyle name="#_7.서대문형무소역사관(익스코)" xfId="4850"/>
    <cellStyle name="#_7.서대문형무소역사관(익스코) 2" xfId="4851"/>
    <cellStyle name="#_cost9702 (2)_계통도 (2)_계통도 " xfId="4852"/>
    <cellStyle name="#_cost9702 (2)_계통도 (2)_계통도  2" xfId="4853"/>
    <cellStyle name="#_cost9702 (2)_공사비예산서 (2)_계통도 " xfId="4854"/>
    <cellStyle name="#_cost9702 (2)_공사비예산서 (2)_계통도  2" xfId="4855"/>
    <cellStyle name="#_cost9702 (2)_공사비예산서_계통도 " xfId="4856"/>
    <cellStyle name="#_cost9702 (2)_공사비예산서_계통도  2" xfId="4857"/>
    <cellStyle name="#_cost9702 (2)_예정공정표 (2)_계통도 " xfId="4858"/>
    <cellStyle name="#_cost9702 (2)_예정공정표 (2)_계통도  2" xfId="4859"/>
    <cellStyle name="#_cost9702 (2)_주요자재_계통도 " xfId="4860"/>
    <cellStyle name="#_cost9702 (2)_주요자재_계통도  2" xfId="4861"/>
    <cellStyle name="#_ppi~11" xfId="4862"/>
    <cellStyle name="#_ppi~11 2" xfId="4863"/>
    <cellStyle name="#_공사부문" xfId="4864"/>
    <cellStyle name="#_공사부문 2" xfId="4865"/>
    <cellStyle name="#_내역(복정동4호공영주차장.준공1011)" xfId="4866"/>
    <cellStyle name="#_내역(복정동4호공영주차장.준공1011) 2" xfId="4867"/>
    <cellStyle name="#_매립방호책설치" xfId="4868"/>
    <cellStyle name="#_매립방호책설치 2" xfId="4869"/>
    <cellStyle name="#_목차 " xfId="4870"/>
    <cellStyle name="#_목차  2" xfId="4871"/>
    <cellStyle name="#_목차  2 2" xfId="4872"/>
    <cellStyle name="#_보고서(진해)" xfId="4873"/>
    <cellStyle name="#_보고서(진해) 2" xfId="4874"/>
    <cellStyle name="#_예정공정표_계통도 " xfId="4875"/>
    <cellStyle name="#_예정공정표_계통도  2" xfId="4876"/>
    <cellStyle name="#_음식물수거차(1)-한국경제조사연구원" xfId="4877"/>
    <cellStyle name="#_음식물수거차(1)-한국경제조사연구원 2" xfId="4878"/>
    <cellStyle name="#_제조부문" xfId="4879"/>
    <cellStyle name="#_제조부문 2" xfId="4880"/>
    <cellStyle name="#_제주박물관(제4전시실 설치,제작)" xfId="4881"/>
    <cellStyle name="#_제주박물관(제4전시실 설치,제작) 2" xfId="4882"/>
    <cellStyle name="#_조형겸용설치원가" xfId="4883"/>
    <cellStyle name="#_조형겸용설치원가 2" xfId="4884"/>
    <cellStyle name="#_최저임금" xfId="4885"/>
    <cellStyle name="#_최저임금 2" xfId="4886"/>
    <cellStyle name="#_케노피원가 2005.8(대전조달출장소)" xfId="4887"/>
    <cellStyle name="#_케노피원가 2005.8(대전조달출장소) 2" xfId="4888"/>
    <cellStyle name="#_품셈 " xfId="4889"/>
    <cellStyle name="#_품셈  2" xfId="4890"/>
    <cellStyle name="#_품셈_계통도 " xfId="4891"/>
    <cellStyle name="#_품셈_계통도  2" xfId="4892"/>
    <cellStyle name="$" xfId="4893"/>
    <cellStyle name="_x0004__x0004__x0019__x001b__x0004_$_x0010__x0010__x0008__x0001_" xfId="16"/>
    <cellStyle name="$ 2" xfId="4894"/>
    <cellStyle name="_x0004__x0004__x0019__x001b__x0004_$_x0010__x0010__x0008__x0001_ 2" xfId="17"/>
    <cellStyle name="$$" xfId="4895"/>
    <cellStyle name="$$ 2" xfId="4896"/>
    <cellStyle name="$_db진흥" xfId="4897"/>
    <cellStyle name="$_db진흥 2" xfId="4898"/>
    <cellStyle name="$_SE40" xfId="4899"/>
    <cellStyle name="$_SE40 2" xfId="4900"/>
    <cellStyle name="$_SE40 2 2" xfId="4901"/>
    <cellStyle name="$_SE40 3" xfId="4902"/>
    <cellStyle name="$_견적2" xfId="4903"/>
    <cellStyle name="$_견적2 2" xfId="4904"/>
    <cellStyle name="$_기아" xfId="4905"/>
    <cellStyle name="$_기아 2" xfId="4906"/>
    <cellStyle name="$_기아 2 2" xfId="4907"/>
    <cellStyle name="$_기아 3" xfId="4908"/>
    <cellStyle name="%(+,-,0)" xfId="4909"/>
    <cellStyle name="%(+,-,0) 2" xfId="4910"/>
    <cellStyle name="&amp;A" xfId="4911"/>
    <cellStyle name="&amp;A 2" xfId="4912"/>
    <cellStyle name="(##.00)" xfId="4915"/>
    <cellStyle name="(##.00) 2" xfId="4916"/>
    <cellStyle name="(△콤마)" xfId="4917"/>
    <cellStyle name="(△콤마) 2" xfId="4918"/>
    <cellStyle name="(모두 표시)" xfId="4919"/>
    <cellStyle name="(모두 표시) 2" xfId="4920"/>
    <cellStyle name="(백분율)" xfId="4921"/>
    <cellStyle name="(백분율) 2" xfId="4922"/>
    <cellStyle name="(용량보정)" xfId="4923"/>
    <cellStyle name="(콤마)" xfId="4924"/>
    <cellStyle name="(콤마) 2" xfId="4925"/>
    <cellStyle name="(표준)" xfId="4926"/>
    <cellStyle name="(표준) 2" xfId="4927"/>
    <cellStyle name=")" xfId="4928"/>
    <cellStyle name=") 2" xfId="4929"/>
    <cellStyle name="_x0002_._x0011__x0002_._x001b__x0002_ _x0015_%_x0018__x0001_" xfId="13"/>
    <cellStyle name="_x0002_._x0011__x0002_._x001b__x0002_ _x0015_%_x0018__x0001_ 2" xfId="14"/>
    <cellStyle name=".xld" xfId="4932"/>
    <cellStyle name=".xld 2" xfId="4933"/>
    <cellStyle name=".xls" xfId="4934"/>
    <cellStyle name=".xls 2" xfId="4935"/>
    <cellStyle name=".xlt" xfId="4936"/>
    <cellStyle name=".xlt 2" xfId="4937"/>
    <cellStyle name=".xlv" xfId="4938"/>
    <cellStyle name=".xlv 2" xfId="4939"/>
    <cellStyle name=";;;" xfId="8657"/>
    <cellStyle name="_x001f_?--_x0004_ _x000c_ _x0003__x000b__x0001__x000a__x000b__x0002_--_x0008__x0004__x0002__x0002__x0007__x0007__x0007__x0007__x0007__x0007__x0007__x0007__x0007__x0007__x0007__x0007__x0007__x0007__x0002_-_x0004_ _x000c_ _x0003__x000b__x0001__x000a__x000b__x0002_--_x0008__x0002_" xfId="33"/>
    <cellStyle name="_x001f_?--_x0004_ _x000c_ _x0003__x000b__x0001__x000a__x000b__x0002_--_x0008__x0004__x0002__x0002__x0007__x0007__x0007__x0007__x0007__x0007__x0007__x0007__x0007__x0007__x0007__x0007__x0007__x0007__x0002_-_x0004_ _x000c_ _x0003__x000b__x0001__x000a__x000b__x0002_--_x0008__x0002_ 2" xfId="34"/>
    <cellStyle name="?? [0]_????? " xfId="8660"/>
    <cellStyle name="??_x000c_둄_x001b__x000d_|?_x0001_?_x0003__x0014__x0007__x0001__x0001_" xfId="8658"/>
    <cellStyle name="??_x000c_둄_x001b__x000d_|?_x0001_?_x0003__x0014__x0007__x0001__x0001_ 2" xfId="8659"/>
    <cellStyle name="??&amp;5_x0007_?._x0007_9_x0008_??_x0007__x0001__x0001_" xfId="8661"/>
    <cellStyle name="??&amp;5_x0007_?._x0007_9_x0008_??_x0007__x0001__x0001_ 2" xfId="8662"/>
    <cellStyle name="??&amp;6_x0007_?/_x0007_9_x0008_??_x0007__x0001__x0001_" xfId="8663"/>
    <cellStyle name="??&amp;6_x0007_?/_x0007_9_x0008_??_x0007__x0001__x0001_ 2" xfId="8664"/>
    <cellStyle name="??&amp;O?&amp;H?_x0008__x000f__x0007_?_x0007__x0001__x0001_" xfId="8665"/>
    <cellStyle name="??&amp;O?&amp;H?_x000f__x0007_?_x0007__x0001__x0001_" xfId="8690"/>
    <cellStyle name="??&amp;O?&amp;H?_x0008__x000f__x0007_?_x0007__x0001__x0001_ 2" xfId="8666"/>
    <cellStyle name="??&amp;O?&amp;H?_x000f__x0007_?_x0007__x0001__x0001_ 2" xfId="8691"/>
    <cellStyle name="??&amp;O?&amp;H?_x0008_??_x0007__x0001__x0001_" xfId="8668"/>
    <cellStyle name="??&amp;O?&amp;H?_x0008_??_x0007__x0001__x0001_ 10" xfId="8669"/>
    <cellStyle name="??&amp;O?&amp;H?_x0008_??_x0007__x0001__x0001_ 11" xfId="8670"/>
    <cellStyle name="??&amp;O?&amp;H?_x0008_??_x0007__x0001__x0001_ 12" xfId="8671"/>
    <cellStyle name="??&amp;O?&amp;H?_x0008_??_x0007__x0001__x0001_ 13" xfId="8672"/>
    <cellStyle name="??&amp;O?&amp;H?_x0008_??_x0007__x0001__x0001_ 14" xfId="8673"/>
    <cellStyle name="??&amp;O?&amp;H?_x0008_??_x0007__x0001__x0001_ 15" xfId="8674"/>
    <cellStyle name="??&amp;O?&amp;H?_x0008_??_x0007__x0001__x0001_ 16" xfId="8675"/>
    <cellStyle name="??&amp;O?&amp;H?_x0008_??_x0007__x0001__x0001_ 17" xfId="8676"/>
    <cellStyle name="??&amp;O?&amp;H?_x0008_??_x0007__x0001__x0001_ 18" xfId="8677"/>
    <cellStyle name="??&amp;O?&amp;H?_x0008_??_x0007__x0001__x0001_ 2" xfId="8678"/>
    <cellStyle name="??&amp;O?&amp;H?_x0008_??_x0007__x0001__x0001_ 2 2" xfId="8679"/>
    <cellStyle name="??&amp;O?&amp;H?_x0008_??_x0007__x0001__x0001_ 3" xfId="8680"/>
    <cellStyle name="??&amp;O?&amp;H?_x0008_??_x0007__x0001__x0001_ 3 2" xfId="8681"/>
    <cellStyle name="??&amp;O?&amp;H?_x0008_??_x0007__x0001__x0001_ 4" xfId="8682"/>
    <cellStyle name="??&amp;O?&amp;H?_x0008_??_x0007__x0001__x0001_ 5" xfId="8683"/>
    <cellStyle name="??&amp;O?&amp;H?_x0008_??_x0007__x0001__x0001_ 6" xfId="8684"/>
    <cellStyle name="??&amp;O?&amp;H?_x0008_??_x0007__x0001__x0001_ 7" xfId="8685"/>
    <cellStyle name="??&amp;O?&amp;H?_x0008_??_x0007__x0001__x0001_ 8" xfId="8686"/>
    <cellStyle name="??&amp;O?&amp;H?_x0008_??_x0007__x0001__x0001_ 9" xfId="8687"/>
    <cellStyle name="??&amp;O?&amp;H?_x0008_??_x0007__x0001__x0001_?_x0002__x0001_(_x0002_&gt;_x000f_???v!????_x0007_??????????????????????????           ?????           ?????????_x000d_?????????????????????????????????????????????????????????????????????????????????????????????????????????????????????" xfId="8688"/>
    <cellStyle name="??&amp;O?&amp;H?_x0008_??_x0007__x0001__x0001_?_x0002__x0001_(_x0002_&gt;_x000f_???v!????_x0007_??????????????????????????           ?????           ?????????_x000d_????????????????????????????????????????????????????????????????????????????????????????????????????????????????????? 2" xfId="8689"/>
    <cellStyle name="??&amp;O?&amp;H?_x0008__x000f__x0007_?_x0007__x0001__x0001__서울숲교회02-07" xfId="8667"/>
    <cellStyle name="??&amp;O?&amp;H?_x005f_x0008_??_x005f_x0007__x005f_x0001__x005f_x0001_" xfId="8692"/>
    <cellStyle name="??&amp;멅?둃9_x0008_??_x0007__x0001__x0001_" xfId="8693"/>
    <cellStyle name="??&amp;멅?둃9_x0008_??_x0007__x0001__x0001_ 2" xfId="8694"/>
    <cellStyle name="??&amp;쏗?뷐9_x0008__x0011__x0007_?_x0007__x0001__x0001_" xfId="8695"/>
    <cellStyle name="??&amp;쏗?뷐9_x0008__x0011__x0007_?_x0007__x0001__x0001_ 2" xfId="8696"/>
    <cellStyle name="???­ [0]_±??¸" xfId="8699"/>
    <cellStyle name="??????????????? [0]_Excel_MD97DL" xfId="8697"/>
    <cellStyle name="????_CASH FLOW " xfId="8698"/>
    <cellStyle name="???­_±??¸" xfId="8700"/>
    <cellStyle name="???Ø_??°???(2¿?) " xfId="8701"/>
    <cellStyle name="??_?.????" xfId="8702"/>
    <cellStyle name="??A? [0]_laroux_1_¸???™? " xfId="8703"/>
    <cellStyle name="??A?_laroux_1_¸???™? " xfId="8704"/>
    <cellStyle name="?_LRP-N5808D_UX3_081111_Bom_Cost_6" xfId="8705"/>
    <cellStyle name="?_LRP-N5808D_UX3_081111_Bom_Cost_6 2" xfId="8706"/>
    <cellStyle name="?_제품특성표_MultiV Super3_4" xfId="8707"/>
    <cellStyle name="?_제품특성표_MultiV Super3_4 2" xfId="8708"/>
    <cellStyle name="?¡±¢¥?_?¨ù??¢´¢¥_¢¬???¢â? " xfId="8712"/>
    <cellStyle name="?”´?_?¼??¤´_¸???™? " xfId="8715"/>
    <cellStyle name="?AO_CASH FLOW " xfId="8709"/>
    <cellStyle name="?e??A?_laroux_A??I2A?_BS&amp;IncStat_PL_S " xfId="8710"/>
    <cellStyle name="?Þ¸¶ [0]_±??¸" xfId="8713"/>
    <cellStyle name="?Þ¸¶_±??¸" xfId="8714"/>
    <cellStyle name="?W?_laroux" xfId="8711"/>
    <cellStyle name="?㼿?_제품특성표_MultiV Super3" xfId="8716"/>
    <cellStyle name="?㼿㼿_제품특성표_MultiV Super3" xfId="8717"/>
    <cellStyle name="?마 [0]_CASH FLOW " xfId="8721"/>
    <cellStyle name="?마_CASH FLOW " xfId="8722"/>
    <cellStyle name="?曹%U?&amp;H?_x0008_?s_x000a__x0007__x0001__x0001_" xfId="8718"/>
    <cellStyle name="?曹%U?&amp;H?_x0008_?s_x000a__x0007__x0001__x0001_ 2" xfId="8719"/>
    <cellStyle name="?潮%뾁?둃u_x0008_??_x0007__x0001__x0001_" xfId="8720"/>
    <cellStyle name="?珠??? " xfId="28004"/>
    <cellStyle name="?珠???  2" xfId="28005"/>
    <cellStyle name="?핺_2Q97 dist.EOM " xfId="8723"/>
    <cellStyle name="@" xfId="8724"/>
    <cellStyle name="@ 2" xfId="8725"/>
    <cellStyle name="@?" xfId="8726"/>
    <cellStyle name="@? 2" xfId="8727"/>
    <cellStyle name="@?P" xfId="8728"/>
    <cellStyle name="@?P 2" xfId="8729"/>
    <cellStyle name="@_지역업체결재" xfId="8730"/>
    <cellStyle name="@_지역업체결재 2" xfId="8731"/>
    <cellStyle name="@_지역업체결재_당초-변경 내역서(9738백만원)-rev1" xfId="8732"/>
    <cellStyle name="@_지역업체결재_당초-변경 내역서(9738백만원)-rev1 2" xfId="8733"/>
    <cellStyle name="@_지역업체결재_당초-변경 내역서(9738백만원)-rev1_제3차1회 설계변경서 20041215 r00" xfId="8734"/>
    <cellStyle name="@_지역업체결재_당초-변경 내역서(9738백만원)-rev1_제3차1회 설계변경서 20041215 r00 2" xfId="8735"/>
    <cellStyle name="@_지역업체결재_당초-변경 내역서(9738백만원)-이용일과장 작성-rev3" xfId="8736"/>
    <cellStyle name="@_지역업체결재_당초-변경 내역서(9738백만원)-이용일과장 작성-rev3 2" xfId="8737"/>
    <cellStyle name="@_지역업체결재_당초-변경 내역서(9738백만원)-이용일과장 작성-rev3_제3차1회 설계변경서 20041215 r00" xfId="8738"/>
    <cellStyle name="@_지역업체결재_당초-변경 내역서(9738백만원)-이용일과장 작성-rev3_제3차1회 설계변경서 20041215 r00 2" xfId="8739"/>
    <cellStyle name="]_^[꺞_x0008_?" xfId="8742"/>
    <cellStyle name="]_^[꺞_x0008_? 2" xfId="8743"/>
    <cellStyle name="]_Sheet1_FY96" xfId="8744"/>
    <cellStyle name="]_Sheet1_PRODUCT DETAIL_x0013_Comma [0]_Sheet1_Q1" xfId="8745"/>
    <cellStyle name="_(01) 합성수지창호_매크로1_분양_메뉴얼(최종)_2008년_03월-수정완료-08(1).04.01" xfId="8748"/>
    <cellStyle name="_(01) 합성수지창호_매크로1_분양_메뉴얼(최종)_2008년_03월-수정완료-08(1).04.01 2" xfId="8749"/>
    <cellStyle name="_(01-14)광양항인건비" xfId="8750"/>
    <cellStyle name="_(01-14)광양항인건비 2" xfId="8751"/>
    <cellStyle name="_(02.09.23  64,000평)인천 삼산1지구 2블럭 " xfId="8752"/>
    <cellStyle name="_~MF002F" xfId="9709"/>
    <cellStyle name="_~MF002F 2" xfId="9710"/>
    <cellStyle name="_~MF1B14" xfId="9711"/>
    <cellStyle name="_~MF1B14 2" xfId="9712"/>
    <cellStyle name="_▣ 오산세교 비공통 일위대가(070226) " xfId="9713"/>
    <cellStyle name="_▣ 오산세교 비공통 일위대가(070226)  2" xfId="9714"/>
    <cellStyle name="_▷기본자료기록" xfId="9715"/>
    <cellStyle name="_▷기본자료들" xfId="9716"/>
    <cellStyle name="_★수원율전_실행예산서 및 견적대비-부대토목-2안" xfId="9717"/>
    <cellStyle name="_★수원율전_실행예산서 및 견적대비-부대토목-2안 2" xfId="9718"/>
    <cellStyle name="_00.자재" xfId="8753"/>
    <cellStyle name="_00.자재 2" xfId="8754"/>
    <cellStyle name="_000000 (S_MULTI PIA) 투자비 - 금형 LIST" xfId="8755"/>
    <cellStyle name="_000000 (S_MULTI PIA) 투자비 - 금형 LIST 2" xfId="8756"/>
    <cellStyle name="_00철거내역서" xfId="8757"/>
    <cellStyle name="_00첨부" xfId="8758"/>
    <cellStyle name="_00첨부 2" xfId="8759"/>
    <cellStyle name="_00토공" xfId="8760"/>
    <cellStyle name="_00토공 2" xfId="8761"/>
    <cellStyle name="_01. 전기내역서2" xfId="8785"/>
    <cellStyle name="_01. 전기내역서2 2" xfId="8786"/>
    <cellStyle name="_01. 전기내역서2_서울숲교회 02-15" xfId="8787"/>
    <cellStyle name="_01. 전기내역서2_서울숲교회 02-15 2" xfId="8788"/>
    <cellStyle name="_01. 전기내역서2_서울숲교회01-19" xfId="8789"/>
    <cellStyle name="_01. 전기내역서2_서울숲교회01-19 2" xfId="8790"/>
    <cellStyle name="_01. 전기내역서2_서울숲교회02-07" xfId="8791"/>
    <cellStyle name="_01. 전기내역서2_서울숲교회02-07 2" xfId="8792"/>
    <cellStyle name="_01. 전기내역서2_서울숲교회부속실02-07" xfId="8793"/>
    <cellStyle name="_01. 전기내역서2_서울숲교회부속실02-07 2" xfId="8794"/>
    <cellStyle name="_01. 전기내역서2_서울숲교회부속실영상2-7" xfId="8795"/>
    <cellStyle name="_01. 전기내역서2_서울숲교회부속실영상2-7 2" xfId="8796"/>
    <cellStyle name="_01. 전기내역서2_효성교회견적계약" xfId="8797"/>
    <cellStyle name="_01. 전기내역서2_효성교회견적계약 2" xfId="8798"/>
    <cellStyle name="_01.고려여주구미간(최종)" xfId="8799"/>
    <cellStyle name="_01.고려여주구미간(최종) 2" xfId="8800"/>
    <cellStyle name="_01.깨기" xfId="8801"/>
    <cellStyle name="_01.깨기 2" xfId="8802"/>
    <cellStyle name="_01.차도1교자재및수량총괄집계" xfId="8803"/>
    <cellStyle name="_01.차도1교자재및수량총괄집계 2" xfId="8804"/>
    <cellStyle name="_01.차도1교자재및수량총괄집계_1.광명상수1차(0531)" xfId="8805"/>
    <cellStyle name="_01.차도1교자재및수량총괄집계_1.광명상수1차(0531) 2" xfId="8806"/>
    <cellStyle name="_01.차도1교자재및수량총괄집계_13.급수공사-2차(택)" xfId="8807"/>
    <cellStyle name="_01.차도1교자재및수량총괄집계_13.급수공사-2차(택) 2" xfId="8808"/>
    <cellStyle name="_01.차도1교자재및수량총괄집계_2광명상수2차(0523)" xfId="8809"/>
    <cellStyle name="_01.차도1교자재및수량총괄집계_2광명상수2차(0523) 2" xfId="8810"/>
    <cellStyle name="_01.차도1교자재및수량총괄집계_2광명상수2차(0531)-11" xfId="8811"/>
    <cellStyle name="_01.차도1교자재및수량총괄집계_2광명상수2차(0531)-11 2" xfId="8812"/>
    <cellStyle name="_01.차도1교자재및수량총괄집계_원주상수도2차" xfId="8813"/>
    <cellStyle name="_01.차도1교자재및수량총괄집계_원주상수도2차 2" xfId="8814"/>
    <cellStyle name="_01.차도1교자재및수량총괄집계_원주상수도2차_1.광명상수1차(0531)" xfId="8815"/>
    <cellStyle name="_01.차도1교자재및수량총괄집계_원주상수도2차_1.광명상수1차(0531) 2" xfId="8816"/>
    <cellStyle name="_01.차도1교자재및수량총괄집계_원주상수도2차_2광명상수2차(0523)" xfId="8817"/>
    <cellStyle name="_01.차도1교자재및수량총괄집계_원주상수도2차_2광명상수2차(0523) 2" xfId="8818"/>
    <cellStyle name="_01.차도1교자재및수량총괄집계_원주상수도2차_2광명상수2차(0531)-11" xfId="8819"/>
    <cellStyle name="_01.차도1교자재및수량총괄집계_원주상수도2차_2광명상수2차(0531)-11 2" xfId="8820"/>
    <cellStyle name="_01.차도1교자재및수량총괄집계_원주상수토공" xfId="8821"/>
    <cellStyle name="_01.차도1교자재및수량총괄집계_원주상수토공 2" xfId="8822"/>
    <cellStyle name="_01.차도1교자재및수량총괄집계_원주상수토공_0.터파기(0531)" xfId="8823"/>
    <cellStyle name="_01.차도1교자재및수량총괄집계_원주상수토공_0.터파기(0531) 2" xfId="8824"/>
    <cellStyle name="_0104속보" xfId="8825"/>
    <cellStyle name="_0104속보 2" xfId="8826"/>
    <cellStyle name="_0106-06-007 금속 및 수장공사 단가견적- 대림" xfId="8827"/>
    <cellStyle name="_0106-06-007 금속 및 수장공사 단가견적- 대림 2" xfId="8828"/>
    <cellStyle name="_01강원대내역서(전기)" xfId="8829"/>
    <cellStyle name="_01년04월결산보고" xfId="8830"/>
    <cellStyle name="_01년04월결산보고 2" xfId="8831"/>
    <cellStyle name="_01-배수지" xfId="8762"/>
    <cellStyle name="_01-배수지 2" xfId="8763"/>
    <cellStyle name="_01-배수지_1.광명상수1차(0531)" xfId="8764"/>
    <cellStyle name="_01-배수지_1.광명상수1차(0531) 2" xfId="8765"/>
    <cellStyle name="_01-배수지_13.급수공사-2차(택)" xfId="8766"/>
    <cellStyle name="_01-배수지_13.급수공사-2차(택) 2" xfId="8767"/>
    <cellStyle name="_01-배수지_2광명상수2차(0523)" xfId="8768"/>
    <cellStyle name="_01-배수지_2광명상수2차(0523) 2" xfId="8769"/>
    <cellStyle name="_01-배수지_2광명상수2차(0531)-11" xfId="8770"/>
    <cellStyle name="_01-배수지_2광명상수2차(0531)-11 2" xfId="8771"/>
    <cellStyle name="_01-배수지_원주상수도2차" xfId="8772"/>
    <cellStyle name="_01-배수지_원주상수도2차 2" xfId="8773"/>
    <cellStyle name="_01-배수지_원주상수도2차_1.광명상수1차(0531)" xfId="8774"/>
    <cellStyle name="_01-배수지_원주상수도2차_1.광명상수1차(0531) 2" xfId="8775"/>
    <cellStyle name="_01-배수지_원주상수도2차_2광명상수2차(0523)" xfId="8776"/>
    <cellStyle name="_01-배수지_원주상수도2차_2광명상수2차(0523) 2" xfId="8777"/>
    <cellStyle name="_01-배수지_원주상수도2차_2광명상수2차(0531)-11" xfId="8778"/>
    <cellStyle name="_01-배수지_원주상수도2차_2광명상수2차(0531)-11 2" xfId="8779"/>
    <cellStyle name="_01-배수지_원주상수토공" xfId="8780"/>
    <cellStyle name="_01-배수지_원주상수토공 2" xfId="8781"/>
    <cellStyle name="_01-배수지_원주상수토공_0.터파기(0531)" xfId="8782"/>
    <cellStyle name="_01-배수지_원주상수토공_0.터파기(0531) 2" xfId="8783"/>
    <cellStyle name="_01-전기내역서(용두동독서실)" xfId="8784"/>
    <cellStyle name="_01전기내역서(원주)" xfId="8832"/>
    <cellStyle name="_02. 통신내역서2" xfId="8858"/>
    <cellStyle name="_02. 통신내역서2 2" xfId="8859"/>
    <cellStyle name="_02. 통신내역서2_서울숲교회 02-15" xfId="8860"/>
    <cellStyle name="_02. 통신내역서2_서울숲교회 02-15 2" xfId="8861"/>
    <cellStyle name="_02. 통신내역서2_서울숲교회01-19" xfId="8862"/>
    <cellStyle name="_02. 통신내역서2_서울숲교회01-19 2" xfId="8863"/>
    <cellStyle name="_02. 통신내역서2_서울숲교회02-07" xfId="8864"/>
    <cellStyle name="_02. 통신내역서2_서울숲교회02-07 2" xfId="8865"/>
    <cellStyle name="_02. 통신내역서2_서울숲교회부속실02-07" xfId="8866"/>
    <cellStyle name="_02. 통신내역서2_서울숲교회부속실02-07 2" xfId="8867"/>
    <cellStyle name="_02. 통신내역서2_서울숲교회부속실영상2-7" xfId="8868"/>
    <cellStyle name="_02. 통신내역서2_서울숲교회부속실영상2-7 2" xfId="8869"/>
    <cellStyle name="_02. 통신내역서2_효성교회견적계약" xfId="8870"/>
    <cellStyle name="_02. 통신내역서2_효성교회견적계약 2" xfId="8871"/>
    <cellStyle name="_02.배수" xfId="8872"/>
    <cellStyle name="_02.배수 2" xfId="8873"/>
    <cellStyle name="_02-15작업(건총)" xfId="8833"/>
    <cellStyle name="_02-15작업(건총) 2" xfId="8834"/>
    <cellStyle name="_02-4개홀내역서(골든비치CC)" xfId="8835"/>
    <cellStyle name="_02-가압장" xfId="8836"/>
    <cellStyle name="_02-가압장 2" xfId="8837"/>
    <cellStyle name="_02-가압장_1.광명상수1차(0531)" xfId="8838"/>
    <cellStyle name="_02-가압장_1.광명상수1차(0531) 2" xfId="8839"/>
    <cellStyle name="_02-가압장_13.급수공사-2차(택)" xfId="8840"/>
    <cellStyle name="_02-가압장_13.급수공사-2차(택) 2" xfId="8841"/>
    <cellStyle name="_02-가압장_2광명상수2차(0523)" xfId="8842"/>
    <cellStyle name="_02-가압장_2광명상수2차(0523) 2" xfId="8843"/>
    <cellStyle name="_02-가압장_2광명상수2차(0531)-11" xfId="8844"/>
    <cellStyle name="_02-가압장_2광명상수2차(0531)-11 2" xfId="8845"/>
    <cellStyle name="_02-가압장_원주상수도2차" xfId="8846"/>
    <cellStyle name="_02-가압장_원주상수도2차 2" xfId="8847"/>
    <cellStyle name="_02-가압장_원주상수도2차_1.광명상수1차(0531)" xfId="8848"/>
    <cellStyle name="_02-가압장_원주상수도2차_1.광명상수1차(0531) 2" xfId="8849"/>
    <cellStyle name="_02-가압장_원주상수도2차_2광명상수2차(0523)" xfId="8850"/>
    <cellStyle name="_02-가압장_원주상수도2차_2광명상수2차(0523) 2" xfId="8851"/>
    <cellStyle name="_02-가압장_원주상수도2차_2광명상수2차(0531)-11" xfId="8852"/>
    <cellStyle name="_02-가압장_원주상수도2차_2광명상수2차(0531)-11 2" xfId="8853"/>
    <cellStyle name="_02-가압장_원주상수토공" xfId="8854"/>
    <cellStyle name="_02-가압장_원주상수토공 2" xfId="8855"/>
    <cellStyle name="_02-가압장_원주상수토공_0.터파기(0531)" xfId="8856"/>
    <cellStyle name="_02-가압장_원주상수토공_0.터파기(0531) 2" xfId="8857"/>
    <cellStyle name="_02년생판집계표" xfId="8874"/>
    <cellStyle name="_02년생판집계표 2" xfId="8875"/>
    <cellStyle name="_031)길내기" xfId="8876"/>
    <cellStyle name="_03사용전검사비" xfId="8877"/>
    <cellStyle name="_04. 총괄집계갑지-1" xfId="8893"/>
    <cellStyle name="_04. 총괄집계갑지-1 2" xfId="8894"/>
    <cellStyle name="_04. 총괄집계갑지-1_서울숲교회 02-15" xfId="8895"/>
    <cellStyle name="_04. 총괄집계갑지-1_서울숲교회 02-15 2" xfId="8896"/>
    <cellStyle name="_04. 총괄집계갑지-1_서울숲교회01-19" xfId="8897"/>
    <cellStyle name="_04. 총괄집계갑지-1_서울숲교회01-19 2" xfId="8898"/>
    <cellStyle name="_04. 총괄집계갑지-1_서울숲교회02-07" xfId="8899"/>
    <cellStyle name="_04. 총괄집계갑지-1_서울숲교회02-07 2" xfId="8900"/>
    <cellStyle name="_04. 총괄집계갑지-1_서울숲교회부속실02-07" xfId="8901"/>
    <cellStyle name="_04. 총괄집계갑지-1_서울숲교회부속실02-07 2" xfId="8902"/>
    <cellStyle name="_04. 총괄집계갑지-1_서울숲교회부속실영상2-7" xfId="8903"/>
    <cellStyle name="_04. 총괄집계갑지-1_서울숲교회부속실영상2-7 2" xfId="8904"/>
    <cellStyle name="_04. 총괄집계갑지-1_효성교회견적계약" xfId="8905"/>
    <cellStyle name="_04. 총괄집계갑지-1_효성교회견적계약 2" xfId="8906"/>
    <cellStyle name="_04-1(삼성중공업外)-수원시제2청사신축공사" xfId="8878"/>
    <cellStyle name="_04-1(삼성중공업外)-수원시제2청사신축공사_3-1(금강)-여의도 세우회관 철거공사" xfId="8879"/>
    <cellStyle name="_04-1(삼성중공업外)-수원시제2청사신축공사_3-1(금강)-여의도 세우회관 철거공사_24-1(동부)-두능-연곡 도로건설공사 중 기존교량철거" xfId="8880"/>
    <cellStyle name="_04-1(삼성중공업外)-수원시제2청사신축공사_3-1(금강)-여의도 세우회관 철거공사_견적1" xfId="8881"/>
    <cellStyle name="_04-1(삼성중공업外)-수원시제2청사신축공사_3-1(금강)-여의도 세우회관 철거공사_견적1_28-3-2 삼환-대한생명 63빌딩 현장 철거공사 (재노경)" xfId="8882"/>
    <cellStyle name="_04-1(삼성중공업外)-수원시제2청사신축공사_8-2(삼성)-김해공항 국제청 화물청사 세관창고철거" xfId="8883"/>
    <cellStyle name="_04-1(삼성중공업外)-수원시제2청사신축공사_8-2(삼성)-김해공항 국제청 화물청사 세관창고철거_24-1(동부)-두능-연곡 도로건설공사 중 기존교량철거" xfId="8884"/>
    <cellStyle name="_04-1(삼성중공업外)-수원시제2청사신축공사_8-2(삼성)-김해공항 국제청 화물청사 세관창고철거_견적1" xfId="8885"/>
    <cellStyle name="_04-1(삼성중공업外)-수원시제2청사신축공사_8-2(삼성)-김해공항 국제청 화물청사 세관창고철거_견적1_28-3-2 삼환-대한생명 63빌딩 현장 철거공사 (재노경)" xfId="8886"/>
    <cellStyle name="_04-1(삼성중공업外)-수원시제2청사신축공사_견적1" xfId="8887"/>
    <cellStyle name="_04-1(삼성중공업外)-수원시제2청사신축공사_견적1_28-3-2 삼환-대한생명 63빌딩 현장 철거공사 (재노경)" xfId="8888"/>
    <cellStyle name="_04-1(삼성중공업外)-수원시제2청사신축공사_견적서" xfId="8889"/>
    <cellStyle name="_04-1(삼성중공업外)-수원시제2청사신축공사_견적서_24-1(동부)-두능-연곡 도로건설공사 중 기존교량철거" xfId="8890"/>
    <cellStyle name="_04-1(삼성중공업外)-수원시제2청사신축공사_견적서_견적1" xfId="8891"/>
    <cellStyle name="_04-1(삼성중공업外)-수원시제2청사신축공사_견적서_견적1_28-3-2 삼환-대한생명 63빌딩 현장 철거공사 (재노경)" xfId="8892"/>
    <cellStyle name="_06.단성" xfId="8907"/>
    <cellStyle name="_06.단성 2" xfId="8908"/>
    <cellStyle name="_06.부대" xfId="8909"/>
    <cellStyle name="_06.부대 2" xfId="8910"/>
    <cellStyle name="_060224 동서울현대홈타운-품의-101동~ 103동 세대하자보수" xfId="8911"/>
    <cellStyle name="_060224 동서울현대홈타운-품의-101동~ 103동 세대하자보수 2" xfId="8912"/>
    <cellStyle name="_0605뉴월드호텔 객실공사(11.12.14F)" xfId="8913"/>
    <cellStyle name="_0605뉴월드호텔 객실공사(11.12.14F) 2" xfId="8914"/>
    <cellStyle name="_060627-노키아-AP1131" xfId="8915"/>
    <cellStyle name="_060627-노키아-AP1131 2" xfId="8916"/>
    <cellStyle name="_061031-한성대-서버보안(원가)" xfId="8917"/>
    <cellStyle name="_061031-한성대-서버보안(원가) 2" xfId="8918"/>
    <cellStyle name="_061201-에버랜드-전산실이전" xfId="8919"/>
    <cellStyle name="_061201-에버랜드-전산실이전 2" xfId="8920"/>
    <cellStyle name="_070111-용인송담대학-C2960-48TC-L(작성중)" xfId="8921"/>
    <cellStyle name="_070111-용인송담대학-C2960-48TC-L(작성중) 2" xfId="8922"/>
    <cellStyle name="_09생판" xfId="8923"/>
    <cellStyle name="_09생판 2" xfId="8924"/>
    <cellStyle name="_09현황" xfId="8925"/>
    <cellStyle name="_09현황 2" xfId="8926"/>
    <cellStyle name="_1 (2)" xfId="8927"/>
    <cellStyle name="_1 (2) 2" xfId="8928"/>
    <cellStyle name="_1.갑지(통합운영)" xfId="8946"/>
    <cellStyle name="_1.갑지(통합운영) 2" xfId="8947"/>
    <cellStyle name="_1.사전공사&amp;추가원가 제도(요령,각종 품의서 약식) " xfId="8948"/>
    <cellStyle name="_1.전기내역서" xfId="8949"/>
    <cellStyle name="_1.전기내역서 2" xfId="8950"/>
    <cellStyle name="_1.전기내역서_서울숲교회 02-15" xfId="8951"/>
    <cellStyle name="_1.전기내역서_서울숲교회 02-15 2" xfId="8952"/>
    <cellStyle name="_1.전기내역서_서울숲교회01-19" xfId="8953"/>
    <cellStyle name="_1.전기내역서_서울숲교회01-19 2" xfId="8954"/>
    <cellStyle name="_1.전기내역서_서울숲교회02-07" xfId="8955"/>
    <cellStyle name="_1.전기내역서_서울숲교회02-07 2" xfId="8956"/>
    <cellStyle name="_1.전기내역서_서울숲교회부속실02-07" xfId="8957"/>
    <cellStyle name="_1.전기내역서_서울숲교회부속실02-07 2" xfId="8958"/>
    <cellStyle name="_1.전기내역서_서울숲교회부속실영상2-7" xfId="8959"/>
    <cellStyle name="_1.전기내역서_서울숲교회부속실영상2-7 2" xfId="8960"/>
    <cellStyle name="_1.전기내역서_효성교회견적계약" xfId="8961"/>
    <cellStyle name="_1.전기내역서_효성교회견적계약 2" xfId="8962"/>
    <cellStyle name="_1_영상(1109_3)_본사" xfId="8973"/>
    <cellStyle name="_1_영상(1109_3)_본사 2" xfId="8974"/>
    <cellStyle name="_1115-견적서양식(현재)" xfId="8963"/>
    <cellStyle name="_1115-견적서양식(현재) 2" xfId="8964"/>
    <cellStyle name="_1-1도로" xfId="8929"/>
    <cellStyle name="_1-2" xfId="8930"/>
    <cellStyle name="_1-2 2" xfId="8931"/>
    <cellStyle name="_12월투자" xfId="8965"/>
    <cellStyle name="_12월투자 2" xfId="8966"/>
    <cellStyle name="_12판매비" xfId="8967"/>
    <cellStyle name="_12판매비 2" xfId="8968"/>
    <cellStyle name="_13-2(한국종합기술개발공사)-목포항연안여객선터미널신축공사" xfId="8969"/>
    <cellStyle name="_1-4견적" xfId="8932"/>
    <cellStyle name="_1-4견적 2" xfId="8933"/>
    <cellStyle name="_1-4견적_서울숲교회 02-15" xfId="8934"/>
    <cellStyle name="_1-4견적_서울숲교회 02-15 2" xfId="8935"/>
    <cellStyle name="_1-4견적_서울숲교회01-19" xfId="8936"/>
    <cellStyle name="_1-4견적_서울숲교회01-19 2" xfId="8937"/>
    <cellStyle name="_1-4견적_서울숲교회02-07" xfId="8938"/>
    <cellStyle name="_1-4견적_서울숲교회02-07 2" xfId="8939"/>
    <cellStyle name="_1-4견적_서울숲교회부속실02-07" xfId="8940"/>
    <cellStyle name="_1-4견적_서울숲교회부속실02-07 2" xfId="8941"/>
    <cellStyle name="_1-4견적_서울숲교회부속실영상2-7" xfId="8942"/>
    <cellStyle name="_1-4견적_서울숲교회부속실영상2-7 2" xfId="8943"/>
    <cellStyle name="_1-4견적_효성교회견적계약" xfId="8944"/>
    <cellStyle name="_1-4견적_효성교회견적계약 2" xfId="8945"/>
    <cellStyle name="_15.견적(본점외관전기공사)" xfId="8970"/>
    <cellStyle name="_18.삼성에스피(가로등 10외 1품목)" xfId="8971"/>
    <cellStyle name="_18.삼성에스피(가로등 10외 1품목) 2" xfId="8972"/>
    <cellStyle name="_1부문 부대토목 내역서" xfId="8975"/>
    <cellStyle name="_1부문 부대토목 내역서 2" xfId="8976"/>
    <cellStyle name="_1부문 부대토목견적내역 일위대가" xfId="8977"/>
    <cellStyle name="_1부문 부대토목견적내역 일위대가 2" xfId="8978"/>
    <cellStyle name="_1서원대학교" xfId="8979"/>
    <cellStyle name="_1서원대학교 2" xfId="8980"/>
    <cellStyle name="_1월실적(SYS가전_0205)" xfId="8981"/>
    <cellStyle name="_1월실적(SYS가전_0205) 2" xfId="8982"/>
    <cellStyle name="_1월실행" xfId="8983"/>
    <cellStyle name="_1월실행 2" xfId="8984"/>
    <cellStyle name="_2(1).우수공" xfId="8985"/>
    <cellStyle name="_2(1).우수공 2" xfId="8986"/>
    <cellStyle name="_2. 폐기물수거장비사용료-청경호" xfId="8995"/>
    <cellStyle name="_2. 폐기물수거장비사용료-청경호 2" xfId="8996"/>
    <cellStyle name="_2.구조물공" xfId="8997"/>
    <cellStyle name="_2.통신내역서" xfId="8998"/>
    <cellStyle name="_2.통신내역서 2" xfId="8999"/>
    <cellStyle name="_2.통신내역서(1102)" xfId="9000"/>
    <cellStyle name="_2.통신내역서(1102) 2" xfId="9001"/>
    <cellStyle name="_2.통신내역서(1102)_서울숲교회 02-15" xfId="9002"/>
    <cellStyle name="_2.통신내역서(1102)_서울숲교회 02-15 2" xfId="9003"/>
    <cellStyle name="_2.통신내역서(1102)_서울숲교회01-19" xfId="9004"/>
    <cellStyle name="_2.통신내역서(1102)_서울숲교회01-19 2" xfId="9005"/>
    <cellStyle name="_2.통신내역서(1102)_서울숲교회02-07" xfId="9006"/>
    <cellStyle name="_2.통신내역서(1102)_서울숲교회02-07 2" xfId="9007"/>
    <cellStyle name="_2.통신내역서(1102)_서울숲교회부속실02-07" xfId="9008"/>
    <cellStyle name="_2.통신내역서(1102)_서울숲교회부속실02-07 2" xfId="9009"/>
    <cellStyle name="_2.통신내역서(1102)_서울숲교회부속실영상2-7" xfId="9010"/>
    <cellStyle name="_2.통신내역서(1102)_서울숲교회부속실영상2-7 2" xfId="9011"/>
    <cellStyle name="_2.통신내역서(1102)_효성교회견적계약" xfId="9012"/>
    <cellStyle name="_2.통신내역서(1102)_효성교회견적계약 2" xfId="9013"/>
    <cellStyle name="_2.통신내역서." xfId="9014"/>
    <cellStyle name="_2.통신내역서. 2" xfId="9015"/>
    <cellStyle name="_2.통신내역서._서울숲교회 02-15" xfId="9016"/>
    <cellStyle name="_2.통신내역서._서울숲교회 02-15 2" xfId="9017"/>
    <cellStyle name="_2.통신내역서._서울숲교회01-19" xfId="9018"/>
    <cellStyle name="_2.통신내역서._서울숲교회01-19 2" xfId="9019"/>
    <cellStyle name="_2.통신내역서._서울숲교회02-07" xfId="9020"/>
    <cellStyle name="_2.통신내역서._서울숲교회02-07 2" xfId="9021"/>
    <cellStyle name="_2.통신내역서._서울숲교회부속실02-07" xfId="9022"/>
    <cellStyle name="_2.통신내역서._서울숲교회부속실02-07 2" xfId="9023"/>
    <cellStyle name="_2.통신내역서._서울숲교회부속실영상2-7" xfId="9024"/>
    <cellStyle name="_2.통신내역서._서울숲교회부속실영상2-7 2" xfId="9025"/>
    <cellStyle name="_2.통신내역서._효성교회견적계약" xfId="9026"/>
    <cellStyle name="_2.통신내역서._효성교회견적계약 2" xfId="9027"/>
    <cellStyle name="_2.통신내역서_서울숲교회 02-15" xfId="9028"/>
    <cellStyle name="_2.통신내역서_서울숲교회 02-15 2" xfId="9029"/>
    <cellStyle name="_2.통신내역서_서울숲교회01-19" xfId="9030"/>
    <cellStyle name="_2.통신내역서_서울숲교회01-19 2" xfId="9031"/>
    <cellStyle name="_2.통신내역서_서울숲교회02-07" xfId="9032"/>
    <cellStyle name="_2.통신내역서_서울숲교회02-07 2" xfId="9033"/>
    <cellStyle name="_2.통신내역서_서울숲교회부속실02-07" xfId="9034"/>
    <cellStyle name="_2.통신내역서_서울숲교회부속실02-07 2" xfId="9035"/>
    <cellStyle name="_2.통신내역서_서울숲교회부속실영상2-7" xfId="9036"/>
    <cellStyle name="_2.통신내역서_서울숲교회부속실영상2-7 2" xfId="9037"/>
    <cellStyle name="_2.통신내역서_효성교회견적계약" xfId="9038"/>
    <cellStyle name="_2.통신내역서_효성교회견적계약 2" xfId="9039"/>
    <cellStyle name="_20021211부산과학산업단지CR(고려개발)" xfId="9040"/>
    <cellStyle name="_20021211부산과학산업단지CR(고려개발) 2" xfId="9041"/>
    <cellStyle name="_2004-1120" xfId="9042"/>
    <cellStyle name="_2004-1120 2" xfId="9043"/>
    <cellStyle name="_2005(상반기)단가서" xfId="9044"/>
    <cellStyle name="_2005(상반기)단가서_범향 구월동 교회" xfId="9045"/>
    <cellStyle name="_2006년도 내역서(단가&amp;공량 정리한거...)-1" xfId="9046"/>
    <cellStyle name="_2006년도 내역서(단가&amp;공량 정리한거...)-1 2" xfId="9047"/>
    <cellStyle name="_2007년도_초등학교_CCTV_설계서" xfId="9048"/>
    <cellStyle name="_2007년도_초등학교_CCTV_설계서 2" xfId="9049"/>
    <cellStyle name="_234실행분석" xfId="9050"/>
    <cellStyle name="_234실행분석 2" xfId="9051"/>
    <cellStyle name="_2-4.상반기실적부문별요약" xfId="8987"/>
    <cellStyle name="_2-4.상반기실적부문별요약 2" xfId="8988"/>
    <cellStyle name="_2-4.상반기실적부문별요약(표지및목차포함)" xfId="8989"/>
    <cellStyle name="_2-4.상반기실적부문별요약(표지및목차포함) 2" xfId="8990"/>
    <cellStyle name="_2-4.상반기실적부문별요약(표지및목차포함)_1" xfId="8991"/>
    <cellStyle name="_2-4.상반기실적부문별요약(표지및목차포함)_1 2" xfId="8992"/>
    <cellStyle name="_2-4.상반기실적부문별요약_1" xfId="8993"/>
    <cellStyle name="_2-4.상반기실적부문별요약_1 2" xfId="8994"/>
    <cellStyle name="_28KM960.90~29KM344.10(우)" xfId="9052"/>
    <cellStyle name="_2953-01L" xfId="9053"/>
    <cellStyle name="_2953-01L 2" xfId="9054"/>
    <cellStyle name="_2설명판넬부문" xfId="9055"/>
    <cellStyle name="_2설명판넬부문 2" xfId="9056"/>
    <cellStyle name="_2차1회변경설계서(변경1)" xfId="9057"/>
    <cellStyle name="_2차1회변경설계서(변경1) 2" xfId="9058"/>
    <cellStyle name="_3.0 부대공" xfId="9063"/>
    <cellStyle name="_3.0 부대공 2" xfId="9064"/>
    <cellStyle name="_30820ICG" xfId="9065"/>
    <cellStyle name="_30820ICG 2" xfId="9066"/>
    <cellStyle name="_3-1(금강)-여의도 세우회관 철거공사" xfId="9059"/>
    <cellStyle name="_3-1(금강)-여의도 세우회관 철거공사_24-1(동부)-두능-연곡 도로건설공사 중 기존교량철거" xfId="9060"/>
    <cellStyle name="_3-1(금강)-여의도 세우회관 철거공사_견적1" xfId="9061"/>
    <cellStyle name="_3-1(금강)-여의도 세우회관 철거공사_견적1_28-3-2 삼환-대한생명 63빌딩 현장 철거공사 (재노경)" xfId="9062"/>
    <cellStyle name="_31길내기" xfId="9067"/>
    <cellStyle name="_345실행분석" xfId="9068"/>
    <cellStyle name="_345실행분석 2" xfId="9069"/>
    <cellStyle name="_3월 실적2" xfId="9070"/>
    <cellStyle name="_3월 실적2 2" xfId="9071"/>
    <cellStyle name="_3월_1Q경비실적" xfId="9074"/>
    <cellStyle name="_3월_1Q경비실적 2" xfId="9075"/>
    <cellStyle name="_3월13일소장보고" xfId="9072"/>
    <cellStyle name="_3월13일소장보고 2" xfId="9073"/>
    <cellStyle name="_3월속보" xfId="9076"/>
    <cellStyle name="_3월속보 2" xfId="9077"/>
    <cellStyle name="_3월손익속보" xfId="9078"/>
    <cellStyle name="_3월손익속보 2" xfId="9079"/>
    <cellStyle name="_3월실적분석" xfId="9080"/>
    <cellStyle name="_3월실적분석 2" xfId="9081"/>
    <cellStyle name="_4" xfId="9082"/>
    <cellStyle name="_4 (2)" xfId="9083"/>
    <cellStyle name="_4 (2) 2" xfId="9084"/>
    <cellStyle name="_4 2" xfId="9085"/>
    <cellStyle name="_44수지" xfId="9086"/>
    <cellStyle name="_44수지 2" xfId="9087"/>
    <cellStyle name="_4손익" xfId="9088"/>
    <cellStyle name="_4손익 2" xfId="9089"/>
    <cellStyle name="_5(1).구조물공" xfId="9090"/>
    <cellStyle name="_5(1).구조물공 2" xfId="9091"/>
    <cellStyle name="_5_프린팅(1110_1)_구조본" xfId="9092"/>
    <cellStyle name="_5_프린팅(1110_1)_구조본 2" xfId="9093"/>
    <cellStyle name="_5월실적(SYS가전-0610)" xfId="9094"/>
    <cellStyle name="_5월실적(SYS가전-0610) 2" xfId="9095"/>
    <cellStyle name="_63.남광건설(구암주유소)" xfId="9096"/>
    <cellStyle name="_63.남광건설(구암주유소) 2" xfId="9097"/>
    <cellStyle name="_6월12일(부천)" xfId="9098"/>
    <cellStyle name="_6월12일(부천) 2" xfId="9099"/>
    <cellStyle name="_7.서대문형무소역사관(익스코)" xfId="9100"/>
    <cellStyle name="_7.서대문형무소역사관(익스코) 2" xfId="9101"/>
    <cellStyle name="_7.포장공(13bl)" xfId="9102"/>
    <cellStyle name="_7.포장공(13bl) 2" xfId="9103"/>
    <cellStyle name="_8-2(삼성)-김해공항 국제청 화물청사 세관창고철거" xfId="9104"/>
    <cellStyle name="_8-2(삼성)-김해공항 국제청 화물청사 세관창고철거_24-1(동부)-두능-연곡 도로건설공사 중 기존교량철거" xfId="9105"/>
    <cellStyle name="_8-2(삼성)-김해공항 국제청 화물청사 세관창고철거_견적1" xfId="9106"/>
    <cellStyle name="_8-2(삼성)-김해공항 국제청 화물청사 세관창고철거_견적1_28-3-2 삼환-대한생명 63빌딩 현장 철거공사 (재노경)" xfId="9107"/>
    <cellStyle name="_8속보연계" xfId="9108"/>
    <cellStyle name="_8속보연계 2" xfId="9109"/>
    <cellStyle name="_8월본사비속보분석" xfId="9110"/>
    <cellStyle name="_8월본사비속보분석 2" xfId="9111"/>
    <cellStyle name="_9905예3" xfId="9114"/>
    <cellStyle name="_9905예3 2" xfId="9115"/>
    <cellStyle name="_99-07-P003 서초쉐르빌설변-2" xfId="9112"/>
    <cellStyle name="_99-07-P003 서초쉐르빌설변-2 2" xfId="9113"/>
    <cellStyle name="_9909예BB2" xfId="9116"/>
    <cellStyle name="_9909예BB2 2" xfId="9117"/>
    <cellStyle name="_9910예AQ" xfId="9118"/>
    <cellStyle name="_9910예AQ 2" xfId="9119"/>
    <cellStyle name="_9944행" xfId="9120"/>
    <cellStyle name="_9944행 2" xfId="9121"/>
    <cellStyle name="_'99상반기경영개선활동결과(게시용)" xfId="8746"/>
    <cellStyle name="_'99상반기경영개선활동결과(게시용) 2" xfId="8747"/>
    <cellStyle name="_99재무~1" xfId="9122"/>
    <cellStyle name="_99재무~1 2" xfId="9123"/>
    <cellStyle name="_99특성DB" xfId="9124"/>
    <cellStyle name="_99특성DB 2" xfId="9125"/>
    <cellStyle name="_9월" xfId="9126"/>
    <cellStyle name="_9월 2" xfId="9127"/>
    <cellStyle name="_9월속보(선보고양식)" xfId="9128"/>
    <cellStyle name="_9월속보(선보고양식) 2" xfId="9129"/>
    <cellStyle name="_AA" xfId="9130"/>
    <cellStyle name="_AA 2" xfId="9131"/>
    <cellStyle name="_acrovista 제출(검토)" xfId="9132"/>
    <cellStyle name="_AL발코니외부창호(2005년07월이후061024)" xfId="9133"/>
    <cellStyle name="_AL발코니외부창호(2005년07월이후061024) 2" xfId="9134"/>
    <cellStyle name="_AL발코니외부창호(2005년07월이후070101)" xfId="9135"/>
    <cellStyle name="_AL발코니외부창호(2005년07월이후070101) 2" xfId="9136"/>
    <cellStyle name="_AL발코니외부창호(2005년07월이후070901)노임변경" xfId="9137"/>
    <cellStyle name="_AL발코니외부창호(2005년07월이후070901)노임변경 2" xfId="9138"/>
    <cellStyle name="_AL발코니외부창호(2008년01월0801)" xfId="9139"/>
    <cellStyle name="_AL발코니외부창호(2008년01월0801) 2" xfId="9140"/>
    <cellStyle name="_AMB 항공화물(실행)" xfId="9141"/>
    <cellStyle name="_AMB 항공화물(실행) 2" xfId="9142"/>
    <cellStyle name="_AP협의회(수정)1108" xfId="9143"/>
    <cellStyle name="_AP협의회(수정)1108 2" xfId="9144"/>
    <cellStyle name="_AS6실보고" xfId="9145"/>
    <cellStyle name="_AS6실보고 2" xfId="9146"/>
    <cellStyle name="_ASSY9901" xfId="9147"/>
    <cellStyle name="_ASSY9901 2" xfId="9148"/>
    <cellStyle name="_ASSY9902" xfId="9149"/>
    <cellStyle name="_ASSY9902 2" xfId="9150"/>
    <cellStyle name="_AV-1" xfId="9151"/>
    <cellStyle name="_AV-1 2" xfId="9152"/>
    <cellStyle name="_B-2-b(1).부대입찰 공내역" xfId="9153"/>
    <cellStyle name="_B-2-b(1).부대입찰 공내역 2" xfId="9154"/>
    <cellStyle name="_Book1" xfId="9155"/>
    <cellStyle name="_Book1 2" xfId="9156"/>
    <cellStyle name="_Book1_내역서(최초)" xfId="9157"/>
    <cellStyle name="_Book1_내역서(최초) 2" xfId="9158"/>
    <cellStyle name="_Book1_설계내역서" xfId="9159"/>
    <cellStyle name="_Book1_설계내역서 2" xfId="9160"/>
    <cellStyle name="_Book1_설계내역서(2차)" xfId="9161"/>
    <cellStyle name="_Book1_설계내역서(2차) 2" xfId="9162"/>
    <cellStyle name="_Book2" xfId="9163"/>
    <cellStyle name="_Book2 2" xfId="9164"/>
    <cellStyle name="_Book2 Chart 1" xfId="9165"/>
    <cellStyle name="_Book2 Chart 1 2" xfId="9166"/>
    <cellStyle name="_Book2 Chart 2" xfId="9167"/>
    <cellStyle name="_Book2 Chart 2 2" xfId="9168"/>
    <cellStyle name="_Book2 Chart 3" xfId="9169"/>
    <cellStyle name="_Book2 Chart 3 2" xfId="9170"/>
    <cellStyle name="_Book2 Chart 4" xfId="9171"/>
    <cellStyle name="_Book2 Chart 4 2" xfId="9172"/>
    <cellStyle name="_Book2 Chart 5" xfId="9173"/>
    <cellStyle name="_Book2 Chart 5 2" xfId="9174"/>
    <cellStyle name="_Book2 Chart 6" xfId="9175"/>
    <cellStyle name="_Book2 Chart 6 2" xfId="9176"/>
    <cellStyle name="_Book2 Chart 7" xfId="9177"/>
    <cellStyle name="_Book2 Chart 7 2" xfId="9178"/>
    <cellStyle name="_Book2 Chart 8" xfId="9179"/>
    <cellStyle name="_Book2 Chart 8 2" xfId="9180"/>
    <cellStyle name="_Book2 Chart 9" xfId="9181"/>
    <cellStyle name="_Book2 Chart 9 2" xfId="9182"/>
    <cellStyle name="_Book2_Book2" xfId="9183"/>
    <cellStyle name="_Book2_Book2 2" xfId="9184"/>
    <cellStyle name="_Book2_Book4" xfId="9185"/>
    <cellStyle name="_Book2_Book4 2" xfId="9186"/>
    <cellStyle name="_Book3" xfId="9187"/>
    <cellStyle name="_Book3 2" xfId="9188"/>
    <cellStyle name="_Column1" xfId="9189"/>
    <cellStyle name="_Column1 2" xfId="9190"/>
    <cellStyle name="_Column2" xfId="9191"/>
    <cellStyle name="_Column2 2" xfId="9192"/>
    <cellStyle name="_Column3" xfId="9193"/>
    <cellStyle name="_Column3 2" xfId="9194"/>
    <cellStyle name="_Column4" xfId="9195"/>
    <cellStyle name="_Column4 2" xfId="9196"/>
    <cellStyle name="_Column5" xfId="9197"/>
    <cellStyle name="_Column5 2" xfId="9198"/>
    <cellStyle name="_Column6" xfId="9199"/>
    <cellStyle name="_Column6 2" xfId="9200"/>
    <cellStyle name="_Column7" xfId="9201"/>
    <cellStyle name="_Column7 2" xfId="9202"/>
    <cellStyle name="_D(흄)1000X1" xfId="9203"/>
    <cellStyle name="_D(흄)1000X1_031)길내기" xfId="9204"/>
    <cellStyle name="_D(흄)1000X1_1-1도로" xfId="9205"/>
    <cellStyle name="_D(흄)1000X1_31길내기" xfId="9206"/>
    <cellStyle name="_D(흄)1000X1_Book1" xfId="9207"/>
    <cellStyle name="_D(흄)1000X1_Book2" xfId="9208"/>
    <cellStyle name="_D(흄)1000X1_Book3" xfId="9209"/>
    <cellStyle name="_D(흄)1000X1_경서정거장도로" xfId="9210"/>
    <cellStyle name="_D(흄)1000X1_길내기33702.88" xfId="9211"/>
    <cellStyle name="_D(흄)1000X1_도로" xfId="9212"/>
    <cellStyle name="_D(흄)1000X1_방음벽" xfId="9213"/>
    <cellStyle name="_D(흄)1000X1_방음벽(대호)" xfId="9214"/>
    <cellStyle name="_D(흄)1000X1_방음벽_031)길내기" xfId="9215"/>
    <cellStyle name="_D(흄)1000X1_방음벽_1-1도로" xfId="9216"/>
    <cellStyle name="_D(흄)1000X1_방음벽_31길내기" xfId="9217"/>
    <cellStyle name="_D(흄)1000X1_방음벽_Book1" xfId="9218"/>
    <cellStyle name="_D(흄)1000X1_방음벽_Book2" xfId="9219"/>
    <cellStyle name="_D(흄)1000X1_방음벽_Book3" xfId="9220"/>
    <cellStyle name="_D(흄)1000X1_방음벽_경서정거장도로" xfId="9221"/>
    <cellStyle name="_D(흄)1000X1_방음벽_길내기33702.88" xfId="9222"/>
    <cellStyle name="_D(흄)1000X1_방음벽_도로" xfId="9223"/>
    <cellStyle name="_D(흄)1000X1_방음벽_사본 - 031)길내기" xfId="9224"/>
    <cellStyle name="_D(흄)1000X1_방음벽_차도부현황" xfId="9225"/>
    <cellStyle name="_D(흄)1000X1_방음벽_토공자재집계" xfId="9226"/>
    <cellStyle name="_D(흄)1000X1_사본 - 031)길내기" xfId="9227"/>
    <cellStyle name="_D(흄)1000X1_울타리및차량방호책" xfId="9228"/>
    <cellStyle name="_D(흄)1000X1_울타리및차량방호책_031)길내기" xfId="9229"/>
    <cellStyle name="_D(흄)1000X1_울타리및차량방호책_1-1도로" xfId="9230"/>
    <cellStyle name="_D(흄)1000X1_울타리및차량방호책_31길내기" xfId="9231"/>
    <cellStyle name="_D(흄)1000X1_울타리및차량방호책_Book1" xfId="9232"/>
    <cellStyle name="_D(흄)1000X1_울타리및차량방호책_Book2" xfId="9233"/>
    <cellStyle name="_D(흄)1000X1_울타리및차량방호책_Book3" xfId="9234"/>
    <cellStyle name="_D(흄)1000X1_울타리및차량방호책_경서정거장도로" xfId="9235"/>
    <cellStyle name="_D(흄)1000X1_울타리및차량방호책_길내기33702.88" xfId="9236"/>
    <cellStyle name="_D(흄)1000X1_울타리및차량방호책_도로" xfId="9237"/>
    <cellStyle name="_D(흄)1000X1_울타리및차량방호책_사본 - 031)길내기" xfId="9238"/>
    <cellStyle name="_D(흄)1000X1_울타리및차량방호책_차도부현황" xfId="9239"/>
    <cellStyle name="_D(흄)1000X1_울타리및차량방호책_토공자재집계" xfId="9240"/>
    <cellStyle name="_D(흄)1000X1_차도부현황" xfId="9241"/>
    <cellStyle name="_D(흄)1000X1_토공자재집계" xfId="9242"/>
    <cellStyle name="_Data" xfId="9243"/>
    <cellStyle name="_Data 2" xfId="9244"/>
    <cellStyle name="_dimon" xfId="9245"/>
    <cellStyle name="_dimon 2" xfId="9246"/>
    <cellStyle name="_FAX1" xfId="9247"/>
    <cellStyle name="_FAX1_범향 구월동 교회" xfId="9248"/>
    <cellStyle name="_FAX1_선정안(삼산)" xfId="9249"/>
    <cellStyle name="_FAX1_선정안(삼산)_범향 구월동 교회" xfId="9250"/>
    <cellStyle name="_FAX1_추풍령" xfId="9251"/>
    <cellStyle name="_FAX1_추풍령_범향 구월동 교회" xfId="9254"/>
    <cellStyle name="_FAX1_추풍령-1" xfId="9252"/>
    <cellStyle name="_FAX1_추풍령-1_범향 구월동 교회" xfId="9253"/>
    <cellStyle name="_FAX2" xfId="9255"/>
    <cellStyle name="_FAX2_범향 구월동 교회" xfId="9256"/>
    <cellStyle name="_FAX2_선정안(삼산)" xfId="9257"/>
    <cellStyle name="_FAX2_선정안(삼산)_범향 구월동 교회" xfId="9258"/>
    <cellStyle name="_FAX2_추풍령" xfId="9259"/>
    <cellStyle name="_FAX2_추풍령_범향 구월동 교회" xfId="9262"/>
    <cellStyle name="_FAX2_추풍령-1" xfId="9260"/>
    <cellStyle name="_FAX2_추풍령-1_범향 구월동 교회" xfId="9261"/>
    <cellStyle name="_fax양식" xfId="9263"/>
    <cellStyle name="_GPM경비양식" xfId="9264"/>
    <cellStyle name="_GPM경비양식 2" xfId="9265"/>
    <cellStyle name="_GPM목표(전사용)" xfId="9266"/>
    <cellStyle name="_GPM목표(전사용) 2" xfId="9267"/>
    <cellStyle name="_Header" xfId="9268"/>
    <cellStyle name="_Header 2" xfId="9269"/>
    <cellStyle name="_Header_00연계실적(GPM-GFAS)" xfId="9270"/>
    <cellStyle name="_Header_00연계실적(GPM-GFAS) 2" xfId="9271"/>
    <cellStyle name="_Header_KPI_PL_Products_Sub" xfId="9272"/>
    <cellStyle name="_Header_KPI_PL_Products_Sub 2" xfId="9273"/>
    <cellStyle name="_Header_제품별PL" xfId="9274"/>
    <cellStyle name="_Header_제품별PL 2" xfId="9275"/>
    <cellStyle name="_IR해중" xfId="9276"/>
    <cellStyle name="_IR해중 2" xfId="9277"/>
    <cellStyle name="_KBS홀(전동마이크교체)예산안" xfId="9278"/>
    <cellStyle name="_KBS홀(전동마이크교체)예산안 2" xfId="9279"/>
    <cellStyle name="_M_투자" xfId="9280"/>
    <cellStyle name="_M_투자 2" xfId="9281"/>
    <cellStyle name="_MAIN" xfId="9282"/>
    <cellStyle name="_MAIN 2" xfId="9283"/>
    <cellStyle name="_Masan-Fiber (cable quatation )-1차원가" xfId="9284"/>
    <cellStyle name="_Masan-Fiber (cable quatation )-1차원가 2" xfId="9285"/>
    <cellStyle name="_Masan-Fiber cable (Quatation )-#2" xfId="9286"/>
    <cellStyle name="_Masan-Fiber cable (Quatation )-#2 2" xfId="9287"/>
    <cellStyle name="_MCC및분전반" xfId="9288"/>
    <cellStyle name="_me" xfId="9289"/>
    <cellStyle name="_me 2" xfId="9290"/>
    <cellStyle name="_MT 공정 CTQ 590 PR단계 측정_080318" xfId="9291"/>
    <cellStyle name="_MT 공정 CTQ 590 PR단계 측정_080318 2" xfId="9292"/>
    <cellStyle name="_NW광케이블포설공사비1" xfId="9293"/>
    <cellStyle name="_NW광케이블포설공사비1 2" xfId="9294"/>
    <cellStyle name="_NW광케이블포설공사비2xls" xfId="9295"/>
    <cellStyle name="_NW광케이블포설공사비2xls 2" xfId="9296"/>
    <cellStyle name="_P-(현리-신팔)" xfId="9297"/>
    <cellStyle name="_P-(현리-신팔) 2" xfId="9298"/>
    <cellStyle name="_P-(현리-신팔)_내역서(최초)" xfId="9299"/>
    <cellStyle name="_P-(현리-신팔)_내역서(최초) 2" xfId="9300"/>
    <cellStyle name="_P-(현리-신팔)_설계내역서" xfId="9301"/>
    <cellStyle name="_P-(현리-신팔)_설계내역서 2" xfId="9302"/>
    <cellStyle name="_P-(현리-신팔)_설계내역서(2차)" xfId="9303"/>
    <cellStyle name="_P-(현리-신팔)_설계내역서(2차) 2" xfId="9304"/>
    <cellStyle name="_port" xfId="9313"/>
    <cellStyle name="_port 2" xfId="9314"/>
    <cellStyle name="_ppi~11" xfId="9315"/>
    <cellStyle name="_ppi~11 2" xfId="9316"/>
    <cellStyle name="_PV_PR단계간 CTQ 검토" xfId="9317"/>
    <cellStyle name="_PV_PR단계간 CTQ 검토 2" xfId="9318"/>
    <cellStyle name="_p-하남강일1" xfId="9305"/>
    <cellStyle name="_p-하남강일1 2" xfId="9306"/>
    <cellStyle name="_p-하남강일1_내역서(최초)" xfId="9307"/>
    <cellStyle name="_p-하남강일1_내역서(최초) 2" xfId="9308"/>
    <cellStyle name="_p-하남강일1_설계내역서" xfId="9309"/>
    <cellStyle name="_p-하남강일1_설계내역서 2" xfId="9310"/>
    <cellStyle name="_p-하남강일1_설계내역서(2차)" xfId="9311"/>
    <cellStyle name="_p-하남강일1_설계내역서(2차) 2" xfId="9312"/>
    <cellStyle name="_R-0035(화인)" xfId="9319"/>
    <cellStyle name="_R-0035(화인) 2" xfId="9320"/>
    <cellStyle name="_R-0038(화인)" xfId="9321"/>
    <cellStyle name="_R-0038(화인) 2" xfId="9322"/>
    <cellStyle name="_R16호실행" xfId="9323"/>
    <cellStyle name="_R16호실행 2" xfId="9324"/>
    <cellStyle name="_RESULTS" xfId="9325"/>
    <cellStyle name="_RESULTS 2" xfId="9326"/>
    <cellStyle name="_RESULTS_기계설비 부대입찰 (계약검토-실행)" xfId="9327"/>
    <cellStyle name="_RESULTS_기계설비 부대입찰 (계약검토-실행) 2" xfId="9328"/>
    <cellStyle name="_RESULTS_동산병원 장례식장 리모델링(계약검토-실행)" xfId="9329"/>
    <cellStyle name="_RESULTS_동산병원 장례식장 리모델링(계약검토-실행) 2" xfId="9330"/>
    <cellStyle name="_Row1" xfId="9331"/>
    <cellStyle name="_Row1 2" xfId="9332"/>
    <cellStyle name="_Row2" xfId="9333"/>
    <cellStyle name="_Row2 2" xfId="9334"/>
    <cellStyle name="_Row3" xfId="9335"/>
    <cellStyle name="_Row3 2" xfId="9336"/>
    <cellStyle name="_Row4" xfId="9337"/>
    <cellStyle name="_Row4 2" xfId="9338"/>
    <cellStyle name="_Row5" xfId="9339"/>
    <cellStyle name="_Row5 2" xfId="9340"/>
    <cellStyle name="_Row6" xfId="9341"/>
    <cellStyle name="_Row6 2" xfId="9342"/>
    <cellStyle name="_Row7" xfId="9343"/>
    <cellStyle name="_Row7 2" xfId="9344"/>
    <cellStyle name="_SKEC년간전망_0514" xfId="9345"/>
    <cellStyle name="_SKEC년간전망_0514 2" xfId="9346"/>
    <cellStyle name="_SK수송동 주상복합" xfId="9347"/>
    <cellStyle name="_SK수송동 주상복합 2" xfId="9348"/>
    <cellStyle name="_SK수송동 주상복합 신축공사" xfId="9349"/>
    <cellStyle name="_SK수송동 주상복합 신축공사 2" xfId="9350"/>
    <cellStyle name="_SN-대전20" xfId="9351"/>
    <cellStyle name="_SN-대전20 2" xfId="9352"/>
    <cellStyle name="_SN-대전20_1.방수공사" xfId="9353"/>
    <cellStyle name="_SN-대전20_1.방수공사 2" xfId="9354"/>
    <cellStyle name="_SN-대전20_1.방수공사_1.흙막이공사 - 견적대비조서(입찰)" xfId="9355"/>
    <cellStyle name="_SN-대전20_1.방수공사_1.흙막이공사 - 견적대비조서(입찰) 2" xfId="9356"/>
    <cellStyle name="_SN-대전20_1.흙막이공사 - 견적대비조서(입찰)" xfId="9357"/>
    <cellStyle name="_SN-대전20_1.흙막이공사 - 견적대비조서(입찰) 2" xfId="9358"/>
    <cellStyle name="_SN-대전20_공내역서" xfId="9359"/>
    <cellStyle name="_SN-대전20_공내역서 2" xfId="9360"/>
    <cellStyle name="_SN-대전20_공내역서_사본 - ☆태평동  도급내역" xfId="9493"/>
    <cellStyle name="_SN-대전20_공내역서_사본 - ☆태평동  도급내역 2" xfId="9494"/>
    <cellStyle name="_SN-대전20_공내역서_성남태평동설비공사" xfId="9495"/>
    <cellStyle name="_SN-대전20_공내역서_성남태평동설비공사 2" xfId="9496"/>
    <cellStyle name="_SN-대전20_공내역서_수원율전 실행내역" xfId="9497"/>
    <cellStyle name="_SN-대전20_공내역서_수원율전 실행내역 2" xfId="9498"/>
    <cellStyle name="_SN-대전20_공내역서_수원율전 실행내역 검토안" xfId="9499"/>
    <cellStyle name="_SN-대전20_공내역서_수원율전 실행내역 검토안 2" xfId="9500"/>
    <cellStyle name="_SN-대전20_공내역서_수원율전 실행내역 검토안_사본 - ☆태평동  도급내역" xfId="9501"/>
    <cellStyle name="_SN-대전20_공내역서_수원율전 실행내역 검토안_사본 - ☆태평동  도급내역 2" xfId="9502"/>
    <cellStyle name="_SN-대전20_공내역서_수원율전 실행내역 검토안_성남태평동설비공사" xfId="9503"/>
    <cellStyle name="_SN-대전20_공내역서_수원율전 실행내역 검토안_성남태평동설비공사 2" xfId="9504"/>
    <cellStyle name="_SN-대전20_공내역서_수원율전 실행내역 검토안_수원율전 실행내역" xfId="9505"/>
    <cellStyle name="_SN-대전20_공내역서_수원율전 실행내역 검토안_수원율전 실행내역 2" xfId="9506"/>
    <cellStyle name="_SN-대전20_공내역서_수원율전 실행내역 검토안_수원율전 실행내역 검토안" xfId="9507"/>
    <cellStyle name="_SN-대전20_공내역서_수원율전 실행내역 검토안_수원율전 실행내역 검토안 2" xfId="9508"/>
    <cellStyle name="_SN-대전20_공내역서_수원율전 실행내역 검토안_수원율전 실행내역 검토안_사본 - ☆태평동  도급내역" xfId="9509"/>
    <cellStyle name="_SN-대전20_공내역서_수원율전 실행내역 검토안_수원율전 실행내역 검토안_사본 - ☆태평동  도급내역 2" xfId="9510"/>
    <cellStyle name="_SN-대전20_공내역서_수원율전 실행내역 검토안_수원율전 실행내역 검토안_성남태평동설비공사" xfId="9511"/>
    <cellStyle name="_SN-대전20_공내역서_수원율전 실행내역 검토안_수원율전 실행내역 검토안_성남태평동설비공사 2" xfId="9512"/>
    <cellStyle name="_SN-대전20_공내역서_수원율전 실행내역 검토안_수원율전 실행내역 검토안_수정구 태평동 주상복합 실행내역 검토안" xfId="9513"/>
    <cellStyle name="_SN-대전20_공내역서_수원율전 실행내역 검토안_수원율전 실행내역 검토안_수정구 태평동 주상복합 실행내역 검토안 2" xfId="9514"/>
    <cellStyle name="_SN-대전20_공내역서_수원율전 실행내역 검토안_수원율전 실행내역 검토안_태평동 실행내역서" xfId="9515"/>
    <cellStyle name="_SN-대전20_공내역서_수원율전 실행내역 검토안_수원율전 실행내역 검토안_태평동 실행내역서 2" xfId="9516"/>
    <cellStyle name="_SN-대전20_공내역서_수원율전 실행내역 검토안_수원율전 실행내역 검토안_태평동도급내역(Rev.2)-12.26" xfId="9517"/>
    <cellStyle name="_SN-대전20_공내역서_수원율전 실행내역 검토안_수원율전 실행내역 검토안_태평동도급내역(Rev.2)-12.26 2" xfId="9518"/>
    <cellStyle name="_SN-대전20_공내역서_수원율전 실행내역 검토안_수정구 태평동 주상복합 실행내역 검토안" xfId="9519"/>
    <cellStyle name="_SN-대전20_공내역서_수원율전 실행내역 검토안_수정구 태평동 주상복합 실행내역 검토안 2" xfId="9520"/>
    <cellStyle name="_SN-대전20_공내역서_수원율전 실행내역 검토안_태평동 실행내역서" xfId="9521"/>
    <cellStyle name="_SN-대전20_공내역서_수원율전 실행내역 검토안_태평동 실행내역서 2" xfId="9522"/>
    <cellStyle name="_SN-대전20_공내역서_수원율전 실행내역 검토안_태평동도급내역(Rev.2)-12.26" xfId="9523"/>
    <cellStyle name="_SN-대전20_공내역서_수원율전 실행내역 검토안_태평동도급내역(Rev.2)-12.26 2" xfId="9524"/>
    <cellStyle name="_SN-대전20_공내역서_수원율전조합" xfId="9525"/>
    <cellStyle name="_SN-대전20_공내역서_수원율전조합 2" xfId="9526"/>
    <cellStyle name="_SN-대전20_공내역서_수원율전조합_사본 - ☆태평동  도급내역" xfId="9527"/>
    <cellStyle name="_SN-대전20_공내역서_수원율전조합_사본 - ☆태평동  도급내역 2" xfId="9528"/>
    <cellStyle name="_SN-대전20_공내역서_수원율전조합_성남태평동설비공사" xfId="9529"/>
    <cellStyle name="_SN-대전20_공내역서_수원율전조합_성남태평동설비공사 2" xfId="9530"/>
    <cellStyle name="_SN-대전20_공내역서_수원율전조합_수원율전 실행내역" xfId="9531"/>
    <cellStyle name="_SN-대전20_공내역서_수원율전조합_수원율전 실행내역 2" xfId="9532"/>
    <cellStyle name="_SN-대전20_공내역서_수원율전조합_수원율전 실행내역 검토안" xfId="9533"/>
    <cellStyle name="_SN-대전20_공내역서_수원율전조합_수원율전 실행내역 검토안 2" xfId="9534"/>
    <cellStyle name="_SN-대전20_공내역서_수원율전조합_수원율전 실행내역 검토안_사본 - ☆태평동  도급내역" xfId="9535"/>
    <cellStyle name="_SN-대전20_공내역서_수원율전조합_수원율전 실행내역 검토안_사본 - ☆태평동  도급내역 2" xfId="9536"/>
    <cellStyle name="_SN-대전20_공내역서_수원율전조합_수원율전 실행내역 검토안_성남태평동설비공사" xfId="9537"/>
    <cellStyle name="_SN-대전20_공내역서_수원율전조합_수원율전 실행내역 검토안_성남태평동설비공사 2" xfId="9538"/>
    <cellStyle name="_SN-대전20_공내역서_수원율전조합_수원율전 실행내역 검토안_수정구 태평동 주상복합 실행내역 검토안" xfId="9539"/>
    <cellStyle name="_SN-대전20_공내역서_수원율전조합_수원율전 실행내역 검토안_수정구 태평동 주상복합 실행내역 검토안 2" xfId="9540"/>
    <cellStyle name="_SN-대전20_공내역서_수원율전조합_수원율전 실행내역 검토안_태평동 실행내역서" xfId="9541"/>
    <cellStyle name="_SN-대전20_공내역서_수원율전조합_수원율전 실행내역 검토안_태평동 실행내역서 2" xfId="9542"/>
    <cellStyle name="_SN-대전20_공내역서_수원율전조합_수원율전 실행내역 검토안_태평동도급내역(Rev.2)-12.26" xfId="9543"/>
    <cellStyle name="_SN-대전20_공내역서_수원율전조합_수원율전 실행내역 검토안_태평동도급내역(Rev.2)-12.26 2" xfId="9544"/>
    <cellStyle name="_SN-대전20_공내역서_수원율전조합_수정구 태평동 주상복합 실행내역 검토안" xfId="9545"/>
    <cellStyle name="_SN-대전20_공내역서_수원율전조합_수정구 태평동 주상복합 실행내역 검토안 2" xfId="9546"/>
    <cellStyle name="_SN-대전20_공내역서_수원율전조합_태평동 실행내역서" xfId="9547"/>
    <cellStyle name="_SN-대전20_공내역서_수원율전조합_태평동 실행내역서 2" xfId="9548"/>
    <cellStyle name="_SN-대전20_공내역서_수원율전조합_태평동도급내역(Rev.2)-12.26" xfId="9549"/>
    <cellStyle name="_SN-대전20_공내역서_수원율전조합_태평동도급내역(Rev.2)-12.26 2" xfId="9550"/>
    <cellStyle name="_SN-대전20_공내역서_수정구 태평동 주상복합 실행내역 검토안" xfId="9551"/>
    <cellStyle name="_SN-대전20_공내역서_수정구 태평동 주상복합 실행내역 검토안 2" xfId="9552"/>
    <cellStyle name="_SN-대전20_공내역서_태평동 실행내역서" xfId="9553"/>
    <cellStyle name="_SN-대전20_공내역서_태평동 실행내역서 2" xfId="9554"/>
    <cellStyle name="_SN-대전20_공내역서_태평동도급내역(Rev.2)-12.26" xfId="9555"/>
    <cellStyle name="_SN-대전20_공내역서_태평동도급내역(Rev.2)-12.26 2" xfId="9556"/>
    <cellStyle name="_SN-대전20_공내역서-창호" xfId="9361"/>
    <cellStyle name="_SN-대전20_공내역서-창호 2" xfId="9362"/>
    <cellStyle name="_SN-대전20_공내역서-창호_사본 - ☆태평동  도급내역" xfId="9363"/>
    <cellStyle name="_SN-대전20_공내역서-창호_사본 - ☆태평동  도급내역 2" xfId="9364"/>
    <cellStyle name="_SN-대전20_공내역서-창호_성남태평동설비공사" xfId="9365"/>
    <cellStyle name="_SN-대전20_공내역서-창호_성남태평동설비공사 2" xfId="9366"/>
    <cellStyle name="_SN-대전20_공내역서-창호_수원율전 실행내역" xfId="9367"/>
    <cellStyle name="_SN-대전20_공내역서-창호_수원율전 실행내역 2" xfId="9368"/>
    <cellStyle name="_SN-대전20_공내역서-창호_수원율전 실행내역 검토안" xfId="9369"/>
    <cellStyle name="_SN-대전20_공내역서-창호_수원율전 실행내역 검토안 2" xfId="9370"/>
    <cellStyle name="_SN-대전20_공내역서-창호_수원율전 실행내역 검토안_사본 - ☆태평동  도급내역" xfId="9371"/>
    <cellStyle name="_SN-대전20_공내역서-창호_수원율전 실행내역 검토안_사본 - ☆태평동  도급내역 2" xfId="9372"/>
    <cellStyle name="_SN-대전20_공내역서-창호_수원율전 실행내역 검토안_성남태평동설비공사" xfId="9373"/>
    <cellStyle name="_SN-대전20_공내역서-창호_수원율전 실행내역 검토안_성남태평동설비공사 2" xfId="9374"/>
    <cellStyle name="_SN-대전20_공내역서-창호_수원율전 실행내역 검토안_수원율전 실행내역" xfId="9375"/>
    <cellStyle name="_SN-대전20_공내역서-창호_수원율전 실행내역 검토안_수원율전 실행내역 2" xfId="9376"/>
    <cellStyle name="_SN-대전20_공내역서-창호_수원율전 실행내역 검토안_수원율전 실행내역 검토안" xfId="9377"/>
    <cellStyle name="_SN-대전20_공내역서-창호_수원율전 실행내역 검토안_수원율전 실행내역 검토안 2" xfId="9378"/>
    <cellStyle name="_SN-대전20_공내역서-창호_수원율전 실행내역 검토안_수원율전 실행내역 검토안_사본 - ☆태평동  도급내역" xfId="9379"/>
    <cellStyle name="_SN-대전20_공내역서-창호_수원율전 실행내역 검토안_수원율전 실행내역 검토안_사본 - ☆태평동  도급내역 2" xfId="9380"/>
    <cellStyle name="_SN-대전20_공내역서-창호_수원율전 실행내역 검토안_수원율전 실행내역 검토안_성남태평동설비공사" xfId="9381"/>
    <cellStyle name="_SN-대전20_공내역서-창호_수원율전 실행내역 검토안_수원율전 실행내역 검토안_성남태평동설비공사 2" xfId="9382"/>
    <cellStyle name="_SN-대전20_공내역서-창호_수원율전 실행내역 검토안_수원율전 실행내역 검토안_수정구 태평동 주상복합 실행내역 검토안" xfId="9383"/>
    <cellStyle name="_SN-대전20_공내역서-창호_수원율전 실행내역 검토안_수원율전 실행내역 검토안_수정구 태평동 주상복합 실행내역 검토안 2" xfId="9384"/>
    <cellStyle name="_SN-대전20_공내역서-창호_수원율전 실행내역 검토안_수원율전 실행내역 검토안_태평동 실행내역서" xfId="9385"/>
    <cellStyle name="_SN-대전20_공내역서-창호_수원율전 실행내역 검토안_수원율전 실행내역 검토안_태평동 실행내역서 2" xfId="9386"/>
    <cellStyle name="_SN-대전20_공내역서-창호_수원율전 실행내역 검토안_수원율전 실행내역 검토안_태평동도급내역(Rev.2)-12.26" xfId="9387"/>
    <cellStyle name="_SN-대전20_공내역서-창호_수원율전 실행내역 검토안_수원율전 실행내역 검토안_태평동도급내역(Rev.2)-12.26 2" xfId="9388"/>
    <cellStyle name="_SN-대전20_공내역서-창호_수원율전 실행내역 검토안_수정구 태평동 주상복합 실행내역 검토안" xfId="9389"/>
    <cellStyle name="_SN-대전20_공내역서-창호_수원율전 실행내역 검토안_수정구 태평동 주상복합 실행내역 검토안 2" xfId="9390"/>
    <cellStyle name="_SN-대전20_공내역서-창호_수원율전 실행내역 검토안_태평동 실행내역서" xfId="9391"/>
    <cellStyle name="_SN-대전20_공내역서-창호_수원율전 실행내역 검토안_태평동 실행내역서 2" xfId="9392"/>
    <cellStyle name="_SN-대전20_공내역서-창호_수원율전 실행내역 검토안_태평동도급내역(Rev.2)-12.26" xfId="9393"/>
    <cellStyle name="_SN-대전20_공내역서-창호_수원율전 실행내역 검토안_태평동도급내역(Rev.2)-12.26 2" xfId="9394"/>
    <cellStyle name="_SN-대전20_공내역서-창호_수원율전조합" xfId="9395"/>
    <cellStyle name="_SN-대전20_공내역서-창호_수원율전조합 2" xfId="9396"/>
    <cellStyle name="_SN-대전20_공내역서-창호_수원율전조합_사본 - ☆태평동  도급내역" xfId="9397"/>
    <cellStyle name="_SN-대전20_공내역서-창호_수원율전조합_사본 - ☆태평동  도급내역 2" xfId="9398"/>
    <cellStyle name="_SN-대전20_공내역서-창호_수원율전조합_성남태평동설비공사" xfId="9399"/>
    <cellStyle name="_SN-대전20_공내역서-창호_수원율전조합_성남태평동설비공사 2" xfId="9400"/>
    <cellStyle name="_SN-대전20_공내역서-창호_수원율전조합_수원율전 실행내역" xfId="9401"/>
    <cellStyle name="_SN-대전20_공내역서-창호_수원율전조합_수원율전 실행내역 2" xfId="9402"/>
    <cellStyle name="_SN-대전20_공내역서-창호_수원율전조합_수원율전 실행내역 검토안" xfId="9403"/>
    <cellStyle name="_SN-대전20_공내역서-창호_수원율전조합_수원율전 실행내역 검토안 2" xfId="9404"/>
    <cellStyle name="_SN-대전20_공내역서-창호_수원율전조합_수원율전 실행내역 검토안_사본 - ☆태평동  도급내역" xfId="9405"/>
    <cellStyle name="_SN-대전20_공내역서-창호_수원율전조합_수원율전 실행내역 검토안_사본 - ☆태평동  도급내역 2" xfId="9406"/>
    <cellStyle name="_SN-대전20_공내역서-창호_수원율전조합_수원율전 실행내역 검토안_성남태평동설비공사" xfId="9407"/>
    <cellStyle name="_SN-대전20_공내역서-창호_수원율전조합_수원율전 실행내역 검토안_성남태평동설비공사 2" xfId="9408"/>
    <cellStyle name="_SN-대전20_공내역서-창호_수원율전조합_수원율전 실행내역 검토안_수정구 태평동 주상복합 실행내역 검토안" xfId="9409"/>
    <cellStyle name="_SN-대전20_공내역서-창호_수원율전조합_수원율전 실행내역 검토안_수정구 태평동 주상복합 실행내역 검토안 2" xfId="9410"/>
    <cellStyle name="_SN-대전20_공내역서-창호_수원율전조합_수원율전 실행내역 검토안_태평동 실행내역서" xfId="9411"/>
    <cellStyle name="_SN-대전20_공내역서-창호_수원율전조합_수원율전 실행내역 검토안_태평동 실행내역서 2" xfId="9412"/>
    <cellStyle name="_SN-대전20_공내역서-창호_수원율전조합_수원율전 실행내역 검토안_태평동도급내역(Rev.2)-12.26" xfId="9413"/>
    <cellStyle name="_SN-대전20_공내역서-창호_수원율전조합_수원율전 실행내역 검토안_태평동도급내역(Rev.2)-12.26 2" xfId="9414"/>
    <cellStyle name="_SN-대전20_공내역서-창호_수원율전조합_수정구 태평동 주상복합 실행내역 검토안" xfId="9415"/>
    <cellStyle name="_SN-대전20_공내역서-창호_수원율전조합_수정구 태평동 주상복합 실행내역 검토안 2" xfId="9416"/>
    <cellStyle name="_SN-대전20_공내역서-창호_수원율전조합_태평동 실행내역서" xfId="9417"/>
    <cellStyle name="_SN-대전20_공내역서-창호_수원율전조합_태평동 실행내역서 2" xfId="9418"/>
    <cellStyle name="_SN-대전20_공내역서-창호_수원율전조합_태평동도급내역(Rev.2)-12.26" xfId="9419"/>
    <cellStyle name="_SN-대전20_공내역서-창호_수원율전조합_태평동도급내역(Rev.2)-12.26 2" xfId="9420"/>
    <cellStyle name="_SN-대전20_공내역서-창호_수정구 태평동 주상복합 실행내역 검토안" xfId="9421"/>
    <cellStyle name="_SN-대전20_공내역서-창호_수정구 태평동 주상복합 실행내역 검토안 2" xfId="9422"/>
    <cellStyle name="_SN-대전20_공내역서-창호_태평동 실행내역서" xfId="9423"/>
    <cellStyle name="_SN-대전20_공내역서-창호_태평동 실행내역서 2" xfId="9424"/>
    <cellStyle name="_SN-대전20_공내역서-창호_태평동도급내역(Rev.2)-12.26" xfId="9425"/>
    <cellStyle name="_SN-대전20_공내역서-창호_태평동도급내역(Rev.2)-12.26 2" xfId="9426"/>
    <cellStyle name="_SN-대전20_공내역서-창호분개" xfId="9427"/>
    <cellStyle name="_SN-대전20_공내역서-창호분개 2" xfId="9428"/>
    <cellStyle name="_SN-대전20_공내역서-창호분개_사본 - ☆태평동  도급내역" xfId="9429"/>
    <cellStyle name="_SN-대전20_공내역서-창호분개_사본 - ☆태평동  도급내역 2" xfId="9430"/>
    <cellStyle name="_SN-대전20_공내역서-창호분개_성남태평동설비공사" xfId="9431"/>
    <cellStyle name="_SN-대전20_공내역서-창호분개_성남태평동설비공사 2" xfId="9432"/>
    <cellStyle name="_SN-대전20_공내역서-창호분개_수원율전 실행내역" xfId="9433"/>
    <cellStyle name="_SN-대전20_공내역서-창호분개_수원율전 실행내역 2" xfId="9434"/>
    <cellStyle name="_SN-대전20_공내역서-창호분개_수원율전 실행내역 검토안" xfId="9435"/>
    <cellStyle name="_SN-대전20_공내역서-창호분개_수원율전 실행내역 검토안 2" xfId="9436"/>
    <cellStyle name="_SN-대전20_공내역서-창호분개_수원율전 실행내역 검토안_사본 - ☆태평동  도급내역" xfId="9437"/>
    <cellStyle name="_SN-대전20_공내역서-창호분개_수원율전 실행내역 검토안_사본 - ☆태평동  도급내역 2" xfId="9438"/>
    <cellStyle name="_SN-대전20_공내역서-창호분개_수원율전 실행내역 검토안_성남태평동설비공사" xfId="9439"/>
    <cellStyle name="_SN-대전20_공내역서-창호분개_수원율전 실행내역 검토안_성남태평동설비공사 2" xfId="9440"/>
    <cellStyle name="_SN-대전20_공내역서-창호분개_수원율전 실행내역 검토안_수원율전 실행내역" xfId="9441"/>
    <cellStyle name="_SN-대전20_공내역서-창호분개_수원율전 실행내역 검토안_수원율전 실행내역 2" xfId="9442"/>
    <cellStyle name="_SN-대전20_공내역서-창호분개_수원율전 실행내역 검토안_수원율전 실행내역 검토안" xfId="9443"/>
    <cellStyle name="_SN-대전20_공내역서-창호분개_수원율전 실행내역 검토안_수원율전 실행내역 검토안 2" xfId="9444"/>
    <cellStyle name="_SN-대전20_공내역서-창호분개_수원율전 실행내역 검토안_수원율전 실행내역 검토안_사본 - ☆태평동  도급내역" xfId="9445"/>
    <cellStyle name="_SN-대전20_공내역서-창호분개_수원율전 실행내역 검토안_수원율전 실행내역 검토안_사본 - ☆태평동  도급내역 2" xfId="9446"/>
    <cellStyle name="_SN-대전20_공내역서-창호분개_수원율전 실행내역 검토안_수원율전 실행내역 검토안_성남태평동설비공사" xfId="9447"/>
    <cellStyle name="_SN-대전20_공내역서-창호분개_수원율전 실행내역 검토안_수원율전 실행내역 검토안_성남태평동설비공사 2" xfId="9448"/>
    <cellStyle name="_SN-대전20_공내역서-창호분개_수원율전 실행내역 검토안_수원율전 실행내역 검토안_수정구 태평동 주상복합 실행내역 검토안" xfId="9449"/>
    <cellStyle name="_SN-대전20_공내역서-창호분개_수원율전 실행내역 검토안_수원율전 실행내역 검토안_수정구 태평동 주상복합 실행내역 검토안 2" xfId="9450"/>
    <cellStyle name="_SN-대전20_공내역서-창호분개_수원율전 실행내역 검토안_수원율전 실행내역 검토안_태평동 실행내역서" xfId="9451"/>
    <cellStyle name="_SN-대전20_공내역서-창호분개_수원율전 실행내역 검토안_수원율전 실행내역 검토안_태평동 실행내역서 2" xfId="9452"/>
    <cellStyle name="_SN-대전20_공내역서-창호분개_수원율전 실행내역 검토안_수원율전 실행내역 검토안_태평동도급내역(Rev.2)-12.26" xfId="9453"/>
    <cellStyle name="_SN-대전20_공내역서-창호분개_수원율전 실행내역 검토안_수원율전 실행내역 검토안_태평동도급내역(Rev.2)-12.26 2" xfId="9454"/>
    <cellStyle name="_SN-대전20_공내역서-창호분개_수원율전 실행내역 검토안_수정구 태평동 주상복합 실행내역 검토안" xfId="9455"/>
    <cellStyle name="_SN-대전20_공내역서-창호분개_수원율전 실행내역 검토안_수정구 태평동 주상복합 실행내역 검토안 2" xfId="9456"/>
    <cellStyle name="_SN-대전20_공내역서-창호분개_수원율전 실행내역 검토안_태평동 실행내역서" xfId="9457"/>
    <cellStyle name="_SN-대전20_공내역서-창호분개_수원율전 실행내역 검토안_태평동 실행내역서 2" xfId="9458"/>
    <cellStyle name="_SN-대전20_공내역서-창호분개_수원율전 실행내역 검토안_태평동도급내역(Rev.2)-12.26" xfId="9459"/>
    <cellStyle name="_SN-대전20_공내역서-창호분개_수원율전 실행내역 검토안_태평동도급내역(Rev.2)-12.26 2" xfId="9460"/>
    <cellStyle name="_SN-대전20_공내역서-창호분개_수원율전조합" xfId="9461"/>
    <cellStyle name="_SN-대전20_공내역서-창호분개_수원율전조합 2" xfId="9462"/>
    <cellStyle name="_SN-대전20_공내역서-창호분개_수원율전조합_사본 - ☆태평동  도급내역" xfId="9463"/>
    <cellStyle name="_SN-대전20_공내역서-창호분개_수원율전조합_사본 - ☆태평동  도급내역 2" xfId="9464"/>
    <cellStyle name="_SN-대전20_공내역서-창호분개_수원율전조합_성남태평동설비공사" xfId="9465"/>
    <cellStyle name="_SN-대전20_공내역서-창호분개_수원율전조합_성남태평동설비공사 2" xfId="9466"/>
    <cellStyle name="_SN-대전20_공내역서-창호분개_수원율전조합_수원율전 실행내역" xfId="9467"/>
    <cellStyle name="_SN-대전20_공내역서-창호분개_수원율전조합_수원율전 실행내역 2" xfId="9468"/>
    <cellStyle name="_SN-대전20_공내역서-창호분개_수원율전조합_수원율전 실행내역 검토안" xfId="9469"/>
    <cellStyle name="_SN-대전20_공내역서-창호분개_수원율전조합_수원율전 실행내역 검토안 2" xfId="9470"/>
    <cellStyle name="_SN-대전20_공내역서-창호분개_수원율전조합_수원율전 실행내역 검토안_사본 - ☆태평동  도급내역" xfId="9471"/>
    <cellStyle name="_SN-대전20_공내역서-창호분개_수원율전조합_수원율전 실행내역 검토안_사본 - ☆태평동  도급내역 2" xfId="9472"/>
    <cellStyle name="_SN-대전20_공내역서-창호분개_수원율전조합_수원율전 실행내역 검토안_성남태평동설비공사" xfId="9473"/>
    <cellStyle name="_SN-대전20_공내역서-창호분개_수원율전조합_수원율전 실행내역 검토안_성남태평동설비공사 2" xfId="9474"/>
    <cellStyle name="_SN-대전20_공내역서-창호분개_수원율전조합_수원율전 실행내역 검토안_수정구 태평동 주상복합 실행내역 검토안" xfId="9475"/>
    <cellStyle name="_SN-대전20_공내역서-창호분개_수원율전조합_수원율전 실행내역 검토안_수정구 태평동 주상복합 실행내역 검토안 2" xfId="9476"/>
    <cellStyle name="_SN-대전20_공내역서-창호분개_수원율전조합_수원율전 실행내역 검토안_태평동 실행내역서" xfId="9477"/>
    <cellStyle name="_SN-대전20_공내역서-창호분개_수원율전조합_수원율전 실행내역 검토안_태평동 실행내역서 2" xfId="9478"/>
    <cellStyle name="_SN-대전20_공내역서-창호분개_수원율전조합_수원율전 실행내역 검토안_태평동도급내역(Rev.2)-12.26" xfId="9479"/>
    <cellStyle name="_SN-대전20_공내역서-창호분개_수원율전조합_수원율전 실행내역 검토안_태평동도급내역(Rev.2)-12.26 2" xfId="9480"/>
    <cellStyle name="_SN-대전20_공내역서-창호분개_수원율전조합_수정구 태평동 주상복합 실행내역 검토안" xfId="9481"/>
    <cellStyle name="_SN-대전20_공내역서-창호분개_수원율전조합_수정구 태평동 주상복합 실행내역 검토안 2" xfId="9482"/>
    <cellStyle name="_SN-대전20_공내역서-창호분개_수원율전조합_태평동 실행내역서" xfId="9483"/>
    <cellStyle name="_SN-대전20_공내역서-창호분개_수원율전조합_태평동 실행내역서 2" xfId="9484"/>
    <cellStyle name="_SN-대전20_공내역서-창호분개_수원율전조합_태평동도급내역(Rev.2)-12.26" xfId="9485"/>
    <cellStyle name="_SN-대전20_공내역서-창호분개_수원율전조합_태평동도급내역(Rev.2)-12.26 2" xfId="9486"/>
    <cellStyle name="_SN-대전20_공내역서-창호분개_수정구 태평동 주상복합 실행내역 검토안" xfId="9487"/>
    <cellStyle name="_SN-대전20_공내역서-창호분개_수정구 태평동 주상복합 실행내역 검토안 2" xfId="9488"/>
    <cellStyle name="_SN-대전20_공내역서-창호분개_태평동 실행내역서" xfId="9489"/>
    <cellStyle name="_SN-대전20_공내역서-창호분개_태평동 실행내역서 2" xfId="9490"/>
    <cellStyle name="_SN-대전20_공내역서-창호분개_태평동도급내역(Rev.2)-12.26" xfId="9491"/>
    <cellStyle name="_SN-대전20_공내역서-창호분개_태평동도급내역(Rev.2)-12.26 2" xfId="9492"/>
    <cellStyle name="_SN-대전20_사본 - ☆태평동  도급내역" xfId="9557"/>
    <cellStyle name="_SN-대전20_사본 - ☆태평동  도급내역 2" xfId="9558"/>
    <cellStyle name="_SN-대전20_성남태평동설비공사" xfId="9559"/>
    <cellStyle name="_SN-대전20_성남태평동설비공사 2" xfId="9560"/>
    <cellStyle name="_SN-대전20_수원율전 실행내역" xfId="9561"/>
    <cellStyle name="_SN-대전20_수원율전 실행내역 2" xfId="9562"/>
    <cellStyle name="_SN-대전20_수원율전 실행내역 검토안" xfId="9563"/>
    <cellStyle name="_SN-대전20_수원율전 실행내역 검토안 2" xfId="9564"/>
    <cellStyle name="_SN-대전20_수원율전 실행내역 검토안_사본 - ☆태평동  도급내역" xfId="9565"/>
    <cellStyle name="_SN-대전20_수원율전 실행내역 검토안_사본 - ☆태평동  도급내역 2" xfId="9566"/>
    <cellStyle name="_SN-대전20_수원율전 실행내역 검토안_성남태평동설비공사" xfId="9567"/>
    <cellStyle name="_SN-대전20_수원율전 실행내역 검토안_성남태평동설비공사 2" xfId="9568"/>
    <cellStyle name="_SN-대전20_수원율전 실행내역 검토안_수원율전 실행내역" xfId="9569"/>
    <cellStyle name="_SN-대전20_수원율전 실행내역 검토안_수원율전 실행내역 2" xfId="9570"/>
    <cellStyle name="_SN-대전20_수원율전 실행내역 검토안_수원율전 실행내역 검토안" xfId="9571"/>
    <cellStyle name="_SN-대전20_수원율전 실행내역 검토안_수원율전 실행내역 검토안 2" xfId="9572"/>
    <cellStyle name="_SN-대전20_수원율전 실행내역 검토안_수원율전 실행내역 검토안_사본 - ☆태평동  도급내역" xfId="9573"/>
    <cellStyle name="_SN-대전20_수원율전 실행내역 검토안_수원율전 실행내역 검토안_사본 - ☆태평동  도급내역 2" xfId="9574"/>
    <cellStyle name="_SN-대전20_수원율전 실행내역 검토안_수원율전 실행내역 검토안_성남태평동설비공사" xfId="9575"/>
    <cellStyle name="_SN-대전20_수원율전 실행내역 검토안_수원율전 실행내역 검토안_성남태평동설비공사 2" xfId="9576"/>
    <cellStyle name="_SN-대전20_수원율전 실행내역 검토안_수원율전 실행내역 검토안_수정구 태평동 주상복합 실행내역 검토안" xfId="9577"/>
    <cellStyle name="_SN-대전20_수원율전 실행내역 검토안_수원율전 실행내역 검토안_수정구 태평동 주상복합 실행내역 검토안 2" xfId="9578"/>
    <cellStyle name="_SN-대전20_수원율전 실행내역 검토안_수원율전 실행내역 검토안_태평동 실행내역서" xfId="9579"/>
    <cellStyle name="_SN-대전20_수원율전 실행내역 검토안_수원율전 실행내역 검토안_태평동 실행내역서 2" xfId="9580"/>
    <cellStyle name="_SN-대전20_수원율전 실행내역 검토안_수원율전 실행내역 검토안_태평동도급내역(Rev.2)-12.26" xfId="9581"/>
    <cellStyle name="_SN-대전20_수원율전 실행내역 검토안_수원율전 실행내역 검토안_태평동도급내역(Rev.2)-12.26 2" xfId="9582"/>
    <cellStyle name="_SN-대전20_수원율전 실행내역 검토안_수정구 태평동 주상복합 실행내역 검토안" xfId="9583"/>
    <cellStyle name="_SN-대전20_수원율전 실행내역 검토안_수정구 태평동 주상복합 실행내역 검토안 2" xfId="9584"/>
    <cellStyle name="_SN-대전20_수원율전 실행내역 검토안_태평동 실행내역서" xfId="9585"/>
    <cellStyle name="_SN-대전20_수원율전 실행내역 검토안_태평동 실행내역서 2" xfId="9586"/>
    <cellStyle name="_SN-대전20_수원율전 실행내역 검토안_태평동도급내역(Rev.2)-12.26" xfId="9587"/>
    <cellStyle name="_SN-대전20_수원율전 실행내역 검토안_태평동도급내역(Rev.2)-12.26 2" xfId="9588"/>
    <cellStyle name="_SN-대전20_수원율전조합" xfId="9589"/>
    <cellStyle name="_SN-대전20_수원율전조합 2" xfId="9590"/>
    <cellStyle name="_SN-대전20_수원율전조합_사본 - ☆태평동  도급내역" xfId="9591"/>
    <cellStyle name="_SN-대전20_수원율전조합_사본 - ☆태평동  도급내역 2" xfId="9592"/>
    <cellStyle name="_SN-대전20_수원율전조합_성남태평동설비공사" xfId="9593"/>
    <cellStyle name="_SN-대전20_수원율전조합_성남태평동설비공사 2" xfId="9594"/>
    <cellStyle name="_SN-대전20_수원율전조합_수원율전 실행내역" xfId="9595"/>
    <cellStyle name="_SN-대전20_수원율전조합_수원율전 실행내역 2" xfId="9596"/>
    <cellStyle name="_SN-대전20_수원율전조합_수원율전 실행내역 검토안" xfId="9597"/>
    <cellStyle name="_SN-대전20_수원율전조합_수원율전 실행내역 검토안 2" xfId="9598"/>
    <cellStyle name="_SN-대전20_수원율전조합_수원율전 실행내역 검토안_사본 - ☆태평동  도급내역" xfId="9599"/>
    <cellStyle name="_SN-대전20_수원율전조합_수원율전 실행내역 검토안_사본 - ☆태평동  도급내역 2" xfId="9600"/>
    <cellStyle name="_SN-대전20_수원율전조합_수원율전 실행내역 검토안_성남태평동설비공사" xfId="9601"/>
    <cellStyle name="_SN-대전20_수원율전조합_수원율전 실행내역 검토안_성남태평동설비공사 2" xfId="9602"/>
    <cellStyle name="_SN-대전20_수원율전조합_수원율전 실행내역 검토안_수정구 태평동 주상복합 실행내역 검토안" xfId="9603"/>
    <cellStyle name="_SN-대전20_수원율전조합_수원율전 실행내역 검토안_수정구 태평동 주상복합 실행내역 검토안 2" xfId="9604"/>
    <cellStyle name="_SN-대전20_수원율전조합_수원율전 실행내역 검토안_태평동 실행내역서" xfId="9605"/>
    <cellStyle name="_SN-대전20_수원율전조합_수원율전 실행내역 검토안_태평동 실행내역서 2" xfId="9606"/>
    <cellStyle name="_SN-대전20_수원율전조합_수원율전 실행내역 검토안_태평동도급내역(Rev.2)-12.26" xfId="9607"/>
    <cellStyle name="_SN-대전20_수원율전조합_수원율전 실행내역 검토안_태평동도급내역(Rev.2)-12.26 2" xfId="9608"/>
    <cellStyle name="_SN-대전20_수원율전조합_수정구 태평동 주상복합 실행내역 검토안" xfId="9609"/>
    <cellStyle name="_SN-대전20_수원율전조합_수정구 태평동 주상복합 실행내역 검토안 2" xfId="9610"/>
    <cellStyle name="_SN-대전20_수원율전조합_태평동 실행내역서" xfId="9611"/>
    <cellStyle name="_SN-대전20_수원율전조합_태평동 실행내역서 2" xfId="9612"/>
    <cellStyle name="_SN-대전20_수원율전조합_태평동도급내역(Rev.2)-12.26" xfId="9613"/>
    <cellStyle name="_SN-대전20_수원율전조합_태평동도급내역(Rev.2)-12.26 2" xfId="9614"/>
    <cellStyle name="_SN-대전20_수정구 태평동 주상복합 실행내역 검토안" xfId="9615"/>
    <cellStyle name="_SN-대전20_수정구 태평동 주상복합 실행내역 검토안 2" xfId="9616"/>
    <cellStyle name="_SN-대전20_지붕공사" xfId="9617"/>
    <cellStyle name="_SN-대전20_지붕공사 2" xfId="9618"/>
    <cellStyle name="_SN-대전20_지붕공사_1.흙막이공사 - 견적대비조서(입찰)" xfId="9619"/>
    <cellStyle name="_SN-대전20_지붕공사_1.흙막이공사 - 견적대비조서(입찰) 2" xfId="9620"/>
    <cellStyle name="_SN-대전20_지붕공사_사본 - ☆태평동  도급내역" xfId="9621"/>
    <cellStyle name="_SN-대전20_지붕공사_사본 - ☆태평동  도급내역 2" xfId="9622"/>
    <cellStyle name="_SN-대전20_지붕공사_성남태평동설비공사" xfId="9623"/>
    <cellStyle name="_SN-대전20_지붕공사_성남태평동설비공사 2" xfId="9624"/>
    <cellStyle name="_SN-대전20_지붕공사_수원율전 실행내역" xfId="9625"/>
    <cellStyle name="_SN-대전20_지붕공사_수원율전 실행내역 2" xfId="9626"/>
    <cellStyle name="_SN-대전20_지붕공사_수원율전 실행내역 검토안" xfId="9627"/>
    <cellStyle name="_SN-대전20_지붕공사_수원율전 실행내역 검토안 2" xfId="9628"/>
    <cellStyle name="_SN-대전20_지붕공사_수원율전 실행내역 검토안_사본 - ☆태평동  도급내역" xfId="9629"/>
    <cellStyle name="_SN-대전20_지붕공사_수원율전 실행내역 검토안_사본 - ☆태평동  도급내역 2" xfId="9630"/>
    <cellStyle name="_SN-대전20_지붕공사_수원율전 실행내역 검토안_성남태평동설비공사" xfId="9631"/>
    <cellStyle name="_SN-대전20_지붕공사_수원율전 실행내역 검토안_성남태평동설비공사 2" xfId="9632"/>
    <cellStyle name="_SN-대전20_지붕공사_수원율전 실행내역 검토안_수원율전 실행내역" xfId="9633"/>
    <cellStyle name="_SN-대전20_지붕공사_수원율전 실행내역 검토안_수원율전 실행내역 2" xfId="9634"/>
    <cellStyle name="_SN-대전20_지붕공사_수원율전 실행내역 검토안_수원율전 실행내역 검토안" xfId="9635"/>
    <cellStyle name="_SN-대전20_지붕공사_수원율전 실행내역 검토안_수원율전 실행내역 검토안 2" xfId="9636"/>
    <cellStyle name="_SN-대전20_지붕공사_수원율전 실행내역 검토안_수원율전 실행내역 검토안_사본 - ☆태평동  도급내역" xfId="9637"/>
    <cellStyle name="_SN-대전20_지붕공사_수원율전 실행내역 검토안_수원율전 실행내역 검토안_사본 - ☆태평동  도급내역 2" xfId="9638"/>
    <cellStyle name="_SN-대전20_지붕공사_수원율전 실행내역 검토안_수원율전 실행내역 검토안_성남태평동설비공사" xfId="9639"/>
    <cellStyle name="_SN-대전20_지붕공사_수원율전 실행내역 검토안_수원율전 실행내역 검토안_성남태평동설비공사 2" xfId="9640"/>
    <cellStyle name="_SN-대전20_지붕공사_수원율전 실행내역 검토안_수원율전 실행내역 검토안_수정구 태평동 주상복합 실행내역 검토안" xfId="9641"/>
    <cellStyle name="_SN-대전20_지붕공사_수원율전 실행내역 검토안_수원율전 실행내역 검토안_수정구 태평동 주상복합 실행내역 검토안 2" xfId="9642"/>
    <cellStyle name="_SN-대전20_지붕공사_수원율전 실행내역 검토안_수원율전 실행내역 검토안_태평동 실행내역서" xfId="9643"/>
    <cellStyle name="_SN-대전20_지붕공사_수원율전 실행내역 검토안_수원율전 실행내역 검토안_태평동 실행내역서 2" xfId="9644"/>
    <cellStyle name="_SN-대전20_지붕공사_수원율전 실행내역 검토안_수원율전 실행내역 검토안_태평동도급내역(Rev.2)-12.26" xfId="9645"/>
    <cellStyle name="_SN-대전20_지붕공사_수원율전 실행내역 검토안_수원율전 실행내역 검토안_태평동도급내역(Rev.2)-12.26 2" xfId="9646"/>
    <cellStyle name="_SN-대전20_지붕공사_수원율전 실행내역 검토안_수정구 태평동 주상복합 실행내역 검토안" xfId="9647"/>
    <cellStyle name="_SN-대전20_지붕공사_수원율전 실행내역 검토안_수정구 태평동 주상복합 실행내역 검토안 2" xfId="9648"/>
    <cellStyle name="_SN-대전20_지붕공사_수원율전 실행내역 검토안_태평동 실행내역서" xfId="9649"/>
    <cellStyle name="_SN-대전20_지붕공사_수원율전 실행내역 검토안_태평동 실행내역서 2" xfId="9650"/>
    <cellStyle name="_SN-대전20_지붕공사_수원율전 실행내역 검토안_태평동도급내역(Rev.2)-12.26" xfId="9651"/>
    <cellStyle name="_SN-대전20_지붕공사_수원율전 실행내역 검토안_태평동도급내역(Rev.2)-12.26 2" xfId="9652"/>
    <cellStyle name="_SN-대전20_지붕공사_수원율전조합" xfId="9653"/>
    <cellStyle name="_SN-대전20_지붕공사_수원율전조합 2" xfId="9654"/>
    <cellStyle name="_SN-대전20_지붕공사_수원율전조합_사본 - ☆태평동  도급내역" xfId="9655"/>
    <cellStyle name="_SN-대전20_지붕공사_수원율전조합_사본 - ☆태평동  도급내역 2" xfId="9656"/>
    <cellStyle name="_SN-대전20_지붕공사_수원율전조합_성남태평동설비공사" xfId="9657"/>
    <cellStyle name="_SN-대전20_지붕공사_수원율전조합_성남태평동설비공사 2" xfId="9658"/>
    <cellStyle name="_SN-대전20_지붕공사_수원율전조합_수원율전 실행내역" xfId="9659"/>
    <cellStyle name="_SN-대전20_지붕공사_수원율전조합_수원율전 실행내역 2" xfId="9660"/>
    <cellStyle name="_SN-대전20_지붕공사_수원율전조합_수원율전 실행내역 검토안" xfId="9661"/>
    <cellStyle name="_SN-대전20_지붕공사_수원율전조합_수원율전 실행내역 검토안 2" xfId="9662"/>
    <cellStyle name="_SN-대전20_지붕공사_수원율전조합_수원율전 실행내역 검토안_사본 - ☆태평동  도급내역" xfId="9663"/>
    <cellStyle name="_SN-대전20_지붕공사_수원율전조합_수원율전 실행내역 검토안_사본 - ☆태평동  도급내역 2" xfId="9664"/>
    <cellStyle name="_SN-대전20_지붕공사_수원율전조합_수원율전 실행내역 검토안_성남태평동설비공사" xfId="9665"/>
    <cellStyle name="_SN-대전20_지붕공사_수원율전조합_수원율전 실행내역 검토안_성남태평동설비공사 2" xfId="9666"/>
    <cellStyle name="_SN-대전20_지붕공사_수원율전조합_수원율전 실행내역 검토안_수정구 태평동 주상복합 실행내역 검토안" xfId="9667"/>
    <cellStyle name="_SN-대전20_지붕공사_수원율전조합_수원율전 실행내역 검토안_수정구 태평동 주상복합 실행내역 검토안 2" xfId="9668"/>
    <cellStyle name="_SN-대전20_지붕공사_수원율전조합_수원율전 실행내역 검토안_태평동 실행내역서" xfId="9669"/>
    <cellStyle name="_SN-대전20_지붕공사_수원율전조합_수원율전 실행내역 검토안_태평동 실행내역서 2" xfId="9670"/>
    <cellStyle name="_SN-대전20_지붕공사_수원율전조합_수원율전 실행내역 검토안_태평동도급내역(Rev.2)-12.26" xfId="9671"/>
    <cellStyle name="_SN-대전20_지붕공사_수원율전조합_수원율전 실행내역 검토안_태평동도급내역(Rev.2)-12.26 2" xfId="9672"/>
    <cellStyle name="_SN-대전20_지붕공사_수원율전조합_수정구 태평동 주상복합 실행내역 검토안" xfId="9673"/>
    <cellStyle name="_SN-대전20_지붕공사_수원율전조합_수정구 태평동 주상복합 실행내역 검토안 2" xfId="9674"/>
    <cellStyle name="_SN-대전20_지붕공사_수원율전조합_태평동 실행내역서" xfId="9675"/>
    <cellStyle name="_SN-대전20_지붕공사_수원율전조합_태평동 실행내역서 2" xfId="9676"/>
    <cellStyle name="_SN-대전20_지붕공사_수원율전조합_태평동도급내역(Rev.2)-12.26" xfId="9677"/>
    <cellStyle name="_SN-대전20_지붕공사_수원율전조합_태평동도급내역(Rev.2)-12.26 2" xfId="9678"/>
    <cellStyle name="_SN-대전20_지붕공사_수정구 태평동 주상복합 실행내역 검토안" xfId="9679"/>
    <cellStyle name="_SN-대전20_지붕공사_수정구 태평동 주상복합 실행내역 검토안 2" xfId="9680"/>
    <cellStyle name="_SN-대전20_지붕공사_태평동 실행내역서" xfId="9681"/>
    <cellStyle name="_SN-대전20_지붕공사_태평동 실행내역서 2" xfId="9682"/>
    <cellStyle name="_SN-대전20_지붕공사_태평동도급내역(Rev.2)-12.26" xfId="9683"/>
    <cellStyle name="_SN-대전20_지붕공사_태평동도급내역(Rev.2)-12.26 2" xfId="9684"/>
    <cellStyle name="_SN-대전20_태평동 실행내역서" xfId="9685"/>
    <cellStyle name="_SN-대전20_태평동 실행내역서 2" xfId="9686"/>
    <cellStyle name="_SN-대전20_태평동도급내역(Rev.2)-12.26" xfId="9687"/>
    <cellStyle name="_SN-대전20_태평동도급내역(Rev.2)-12.26 2" xfId="9688"/>
    <cellStyle name="_STS304가로등 2종에 관한 원가계산(대영)." xfId="9689"/>
    <cellStyle name="_STS304가로등 2종에 관한 원가계산(대영). 2" xfId="9690"/>
    <cellStyle name="_SYS가전4월실적(한종호-0510)" xfId="9691"/>
    <cellStyle name="_SYS가전4월실적(한종호-0510) 2" xfId="9692"/>
    <cellStyle name="_UTILITY-계약B" xfId="9693"/>
    <cellStyle name="_UTILITY-계약B 2" xfId="9694"/>
    <cellStyle name="_U형개거" xfId="9695"/>
    <cellStyle name="_U형개거 2" xfId="9696"/>
    <cellStyle name="_Virus" xfId="9697"/>
    <cellStyle name="_Virus 2" xfId="9698"/>
    <cellStyle name="_X" xfId="9699"/>
    <cellStyle name="_X 2" xfId="9700"/>
    <cellStyle name="_x005f_x0001__x005f_x0002_ĵĵ_x005f_x0007_ ĵĵ_x005f_x000d__x005f_x000d_ƨƬ_x005f_x0001__x005f_x0002_ƨƬ_x005f_x0007__x005f_x000d_ǒǓ _x005f_x000d_ǜǜ_x005f_x000d__x005f_x000d_ǪǪ_x005f_x0007__x005f_x0007__x005f_x0005__x005f_x0005__x005f_x0010__x005f_x0001_ဠ" xfId="9701"/>
    <cellStyle name="_x005f_x0001__x005f_x0002_ĵĵ_x005f_x0007_ ĵĵ_x005f_x000d__x005f_x000d_ƨƬ_x005f_x0001__x005f_x0002_ƨƬ_x005f_x0007__x005f_x000d_ǒǓ _x005f_x000d_ǜǜ_x005f_x000d__x005f_x000d_ǪǪ_x005f_x0007__x005f_x0007__x005f_x0005__x005f_x0005__x005f_x0010__x005f_x0001_ဠ 2" xfId="9702"/>
    <cellStyle name="_x005f_x0001__x005f_x0002_ƨƬ_x005f_x0007__x005f_x000d_ǒǓ _x005f_x000d_ǜǜ_x005f_x000d__x005f_x000d_ǪǪ_x005f_x0007__x005f_x0007__x005f_x0005__x005f_x0005__x005f_x0010__x005f_x0001_ဠ" xfId="9703"/>
    <cellStyle name="_x005f_x0001__x005f_x0002_ƨƬ_x005f_x0007__x005f_x000d_ǒǓ _x005f_x000d_ǜǜ_x005f_x000d__x005f_x000d_ǪǪ_x005f_x0007__x005f_x0007__x005f_x0005__x005f_x0005__x005f_x0010__x005f_x0001_ဠ 2" xfId="9704"/>
    <cellStyle name="_x005f_x0004__x005f_x0004__x005f_x0019__x005f_x001b__x005f_x0004_$_x005f_x0010__x005f_x0010__x005f_x0008__x005f_x0001_" xfId="9705"/>
    <cellStyle name="_x005f_x0004__x005f_x0004__x005f_x0019__x005f_x001b__x005f_x0004_$_x005f_x0010__x005f_x0010__x005f_x0008__x005f_x0001_ 2" xfId="9706"/>
    <cellStyle name="_x005f_x0010__x005f_x0001_ဠ" xfId="9707"/>
    <cellStyle name="_x005f_x0010__x005f_x0001_ဠ 2" xfId="9708"/>
    <cellStyle name="_가구공사" xfId="9719"/>
    <cellStyle name="_가구공사 2" xfId="9720"/>
    <cellStyle name="_가구공사_2007현황보고양식" xfId="9721"/>
    <cellStyle name="_가구공사_2007현황보고양식 2" xfId="9722"/>
    <cellStyle name="_가구공사_두산산업개발 입찰견적" xfId="9723"/>
    <cellStyle name="_가구공사_두산산업개발 입찰견적 2" xfId="9724"/>
    <cellStyle name="_가구공사_두산중공업 입찰견적" xfId="9725"/>
    <cellStyle name="_가구공사_두산중공업 입찰견적 2" xfId="9726"/>
    <cellStyle name="_가구공사_추가일위대가표 총괄" xfId="9727"/>
    <cellStyle name="_가구공사_추가일위대가표 총괄 2" xfId="9728"/>
    <cellStyle name="_가구공사_현대건설 대구대천" xfId="9729"/>
    <cellStyle name="_가구공사_현대건설 대구대천 2" xfId="9730"/>
    <cellStyle name="_가로등3차공사전체분" xfId="9731"/>
    <cellStyle name="_가로등3차공사전체분 2" xfId="9732"/>
    <cellStyle name="_가로등3차공사전체분_가로등계약6.14" xfId="9733"/>
    <cellStyle name="_가로등3차공사전체분_가로등계약6.14 2" xfId="9734"/>
    <cellStyle name="_가로등3차공사전체분_보안등계약8.09" xfId="9735"/>
    <cellStyle name="_가로등3차공사전체분_보안등계약8.09 2" xfId="9736"/>
    <cellStyle name="_가로등3차공사전체분_보안등최종설계5.14" xfId="9737"/>
    <cellStyle name="_가로등3차공사전체분_보안등최종설계5.14 2" xfId="9738"/>
    <cellStyle name="_가로등3차공사전체분_보안등최종설계5.14_가로등계약6.14" xfId="9739"/>
    <cellStyle name="_가로등3차공사전체분_보안등최종설계5.14_가로등계약6.14 2" xfId="9740"/>
    <cellStyle name="_가로등3차공사전체분_보안등최종설계5.14_보안등계약8.09" xfId="9741"/>
    <cellStyle name="_가로등3차공사전체분_보안등최종설계5.14_보안등계약8.09 2" xfId="9742"/>
    <cellStyle name="_가로등3차공사전체분_보안등최종설계5.14_양지면관내가로등설계" xfId="9743"/>
    <cellStyle name="_가로등3차공사전체분_보안등최종설계5.14_양지면관내가로등설계 2" xfId="9744"/>
    <cellStyle name="_가로등3차공사전체분_보안등최종설계5.14_양지면관내보안등설계" xfId="9745"/>
    <cellStyle name="_가로등3차공사전체분_보안등최종설계5.14_양지면관내보안등설계 2" xfId="9746"/>
    <cellStyle name="_가로등3차공사전체분_송전초교" xfId="9747"/>
    <cellStyle name="_가로등3차공사전체분_송전초교 2" xfId="9748"/>
    <cellStyle name="_가로등3차공사전체분_송전초교_양지면관내보안등설계" xfId="9749"/>
    <cellStyle name="_가로등3차공사전체분_송전초교_양지면관내보안등설계 2" xfId="9750"/>
    <cellStyle name="_가로등3차공사전체분_양지 자립보안등4.17설계" xfId="9751"/>
    <cellStyle name="_가로등3차공사전체분_양지 자립보안등4.17설계 2" xfId="9752"/>
    <cellStyle name="_가로등3차공사전체분_양지 자립보안등4.17설계_가로등계약6.14" xfId="9753"/>
    <cellStyle name="_가로등3차공사전체분_양지 자립보안등4.17설계_가로등계약6.14 2" xfId="9754"/>
    <cellStyle name="_가로등3차공사전체분_양지 자립보안등4.17설계_보안등계약8.09" xfId="9755"/>
    <cellStyle name="_가로등3차공사전체분_양지 자립보안등4.17설계_보안등계약8.09 2" xfId="9756"/>
    <cellStyle name="_가로등3차공사전체분_양지 자립보안등4.17설계_양지면관내가로등설계" xfId="9757"/>
    <cellStyle name="_가로등3차공사전체분_양지 자립보안등4.17설계_양지면관내가로등설계 2" xfId="9758"/>
    <cellStyle name="_가로등3차공사전체분_양지 자립보안등4.17설계_양지면관내보안등설계" xfId="9759"/>
    <cellStyle name="_가로등3차공사전체분_양지 자립보안등4.17설계_양지면관내보안등설계 2" xfId="9760"/>
    <cellStyle name="_가로등3차공사전체분_양지면관내가로등설계" xfId="9761"/>
    <cellStyle name="_가로등3차공사전체분_양지면관내가로등설계 2" xfId="9762"/>
    <cellStyle name="_가로등3차공사전체분_양지면관내보안등설계" xfId="9763"/>
    <cellStyle name="_가로등3차공사전체분_양지면관내보안등설계 2" xfId="9764"/>
    <cellStyle name="_가로등계약6.14" xfId="9765"/>
    <cellStyle name="_가로등계약6.14 2" xfId="9766"/>
    <cellStyle name="_갈현동" xfId="9767"/>
    <cellStyle name="_갈현동 2" xfId="9768"/>
    <cellStyle name="_갑지" xfId="9769"/>
    <cellStyle name="_갑지 2" xfId="9770"/>
    <cellStyle name="_갑지(1221)" xfId="9771"/>
    <cellStyle name="_갑지(1221) 2" xfId="9772"/>
    <cellStyle name="_갑지(총)" xfId="9773"/>
    <cellStyle name="_갑지(총) 2" xfId="9774"/>
    <cellStyle name="_갑지_08신발장_설계가(LPM,포름)_2구손잡이_원본tool_최종_지급자재_작성용" xfId="9775"/>
    <cellStyle name="_갑지_08신발장_설계가(LPM,포름)_2구손잡이_원본tool_최종_지급자재_작성용 2" xfId="9776"/>
    <cellStyle name="_갑지양식" xfId="9777"/>
    <cellStyle name="_갑지양식 2" xfId="9778"/>
    <cellStyle name="_강과장(Fronnix,설계가1126)" xfId="9779"/>
    <cellStyle name="_강과장(Fronnix,설계가1126) 2" xfId="9780"/>
    <cellStyle name="_강남도급내역(기계설비)" xfId="9781"/>
    <cellStyle name="_강남도급내역(기계설비) 2" xfId="9782"/>
    <cellStyle name="_강내투찰내역서-x" xfId="9783"/>
    <cellStyle name="_강내투찰내역서-x 2" xfId="9784"/>
    <cellStyle name="_강내투찰내역서-x_왜관-태평건설" xfId="9785"/>
    <cellStyle name="_강내투찰내역서-x_왜관-태평건설 2" xfId="9786"/>
    <cellStyle name="_강릉e-mart" xfId="9787"/>
    <cellStyle name="_강릉e-mart 2" xfId="9788"/>
    <cellStyle name="_강릉남산교-제출본" xfId="9789"/>
    <cellStyle name="_강릉대학술정보지원센터총괄(월드2낙찰)" xfId="9790"/>
    <cellStyle name="_강릉대학술정보지원센터총괄(월드2낙찰) 2" xfId="9791"/>
    <cellStyle name="_개요" xfId="9792"/>
    <cellStyle name="_개요 2" xfId="9793"/>
    <cellStyle name="_개요(봉림)-참고용" xfId="9794"/>
    <cellStyle name="_개요(봉림)-참고용 2" xfId="9795"/>
    <cellStyle name="_개요(봉림)-최종" xfId="9796"/>
    <cellStyle name="_개요(봉림)-최종 2" xfId="9797"/>
    <cellStyle name="_개요(주안-인천)" xfId="9798"/>
    <cellStyle name="_개요(주안-인천) 2" xfId="9799"/>
    <cellStyle name="_거여초등학교 - 내역서(기타만)-2" xfId="9800"/>
    <cellStyle name="_거여초등학교 - 내역서(기타만)-2 2" xfId="9801"/>
    <cellStyle name="_거제도 명명식장 1차 가실행(20020718)" xfId="9802"/>
    <cellStyle name="_거제도 명명식장 1차 가실행(20020718) 2" xfId="9803"/>
    <cellStyle name="_거창군공설운동장1203" xfId="9804"/>
    <cellStyle name="_거창군공설운동장1203 2" xfId="9805"/>
    <cellStyle name="_건축" xfId="9806"/>
    <cellStyle name="_건축 2" xfId="9807"/>
    <cellStyle name="_건축심사내역서-최종" xfId="9808"/>
    <cellStyle name="_검암2차사전공사(본사검토) " xfId="9809"/>
    <cellStyle name="_검암2차사전공사(본사검토)  2" xfId="9810"/>
    <cellStyle name="_검암2차사전공사(본사검토) _Book2" xfId="9811"/>
    <cellStyle name="_검암2차사전공사(본사검토) _Book2 2" xfId="9812"/>
    <cellStyle name="_검암2차사전공사(본사검토) _Book4" xfId="9813"/>
    <cellStyle name="_검암2차사전공사(본사검토) _Book4 2" xfId="9814"/>
    <cellStyle name="_견적(관악점7층리뉴얼전기)" xfId="9815"/>
    <cellStyle name="_견적1" xfId="9816"/>
    <cellStyle name="_견적1_28-3-2 삼환-대한생명 63빌딩 현장 철거공사 (재노경)" xfId="9817"/>
    <cellStyle name="_견적결과" xfId="9818"/>
    <cellStyle name="_견적결과 2" xfId="9819"/>
    <cellStyle name="_견적결과 분석" xfId="9820"/>
    <cellStyle name="_견적결과 분석 2" xfId="9821"/>
    <cellStyle name="_견적결과_범향 구월동 교회" xfId="9822"/>
    <cellStyle name="_견적결과_선정안(삼산)" xfId="9823"/>
    <cellStyle name="_견적결과_선정안(삼산)_범향 구월동 교회" xfId="9824"/>
    <cellStyle name="_견적결과_추풍령" xfId="9825"/>
    <cellStyle name="_견적결과_추풍령_범향 구월동 교회" xfId="9828"/>
    <cellStyle name="_견적결과_추풍령-1" xfId="9826"/>
    <cellStyle name="_견적결과_추풍령-1_범향 구월동 교회" xfId="9827"/>
    <cellStyle name="_견적서" xfId="9829"/>
    <cellStyle name="_견적서 (현건 한남홈타운102동1403호'05(1)(1).08.18)" xfId="9830"/>
    <cellStyle name="_견적서 (현건 한남홈타운102동1403호'05(1)(1).08.18) 2" xfId="9831"/>
    <cellStyle name="_견적서 2" xfId="9832"/>
    <cellStyle name="_견적서 양식" xfId="9833"/>
    <cellStyle name="_견적서 양식 2" xfId="9834"/>
    <cellStyle name="_견적서(1014)" xfId="9835"/>
    <cellStyle name="_견적서(1014) 2" xfId="9836"/>
    <cellStyle name="_견적서(원자력)" xfId="9837"/>
    <cellStyle name="_견적서(원자력) 2" xfId="9838"/>
    <cellStyle name="_견적서(현건평택안중301동1202호안방(1).작은방균열)" xfId="9839"/>
    <cellStyle name="_견적서(현건평택안중301동1202호안방(1).작은방균열) 2" xfId="9840"/>
    <cellStyle name="_견적서_(현건 문래 홈CT 201동 504호 세탁실 누수 `06.04.24)" xfId="9843"/>
    <cellStyle name="_견적서_(현건 문래 홈CT 201동 504호 세탁실 누수 `06.04.24) 2" xfId="9844"/>
    <cellStyle name="_견적서_(현건 문래 홈CT 201동 504호 세탁실 누수 `06.04.24) 대비견적서" xfId="9845"/>
    <cellStyle name="_견적서_(현건 문래 홈CT 201동 504호 세탁실 누수 `06.04.24) 대비견적서 2" xfId="9846"/>
    <cellStyle name="_견적서_24-1(동부)-두능-연곡 도로건설공사 중 기존교량철거" xfId="9847"/>
    <cellStyle name="_견적서_견적1" xfId="9848"/>
    <cellStyle name="_견적서_견적1_28-3-2 삼환-대한생명 63빌딩 현장 철거공사 (재노경)" xfId="9849"/>
    <cellStyle name="_견적서_서울숲교회 02-15" xfId="9850"/>
    <cellStyle name="_견적서_서울숲교회 02-15 2" xfId="9851"/>
    <cellStyle name="_견적서_서울숲교회01-19" xfId="9852"/>
    <cellStyle name="_견적서_서울숲교회01-19 2" xfId="9853"/>
    <cellStyle name="_견적서_서울숲교회02-07" xfId="9854"/>
    <cellStyle name="_견적서_서울숲교회02-07 2" xfId="9855"/>
    <cellStyle name="_견적서_서울숲교회부속실02-07" xfId="9856"/>
    <cellStyle name="_견적서_서울숲교회부속실02-07 2" xfId="9857"/>
    <cellStyle name="_견적서_서울숲교회부속실영상2-7" xfId="9858"/>
    <cellStyle name="_견적서_서울숲교회부속실영상2-7 2" xfId="9859"/>
    <cellStyle name="_견적서_효성교회견적계약" xfId="9860"/>
    <cellStyle name="_견적서_효성교회견적계약 2" xfId="9861"/>
    <cellStyle name="_견적서FORM'2005'0131" xfId="9862"/>
    <cellStyle name="_견적서FORM'2005'0131 2" xfId="9863"/>
    <cellStyle name="_견적서갑지양식" xfId="9864"/>
    <cellStyle name="_견적서갑지양식 2" xfId="9865"/>
    <cellStyle name="_견적서양식" xfId="9866"/>
    <cellStyle name="_견적서양식 2" xfId="9867"/>
    <cellStyle name="_견적서양식(세로)" xfId="9868"/>
    <cellStyle name="_견적서양식(세로) 2" xfId="9869"/>
    <cellStyle name="_견적서-제출용0306" xfId="9841"/>
    <cellStyle name="_견적서-제출용0306 2" xfId="9842"/>
    <cellStyle name="_견적조건" xfId="9870"/>
    <cellStyle name="_견적조건 2" xfId="9871"/>
    <cellStyle name="_견적조건_범향 구월동 교회" xfId="9872"/>
    <cellStyle name="_견적조건_선정안(삼산)" xfId="9873"/>
    <cellStyle name="_견적조건_선정안(삼산)_범향 구월동 교회" xfId="9874"/>
    <cellStyle name="_견적조건_추풍령" xfId="9875"/>
    <cellStyle name="_견적조건_추풍령_범향 구월동 교회" xfId="9878"/>
    <cellStyle name="_견적조건_추풍령-1" xfId="9876"/>
    <cellStyle name="_견적조건_추풍령-1_범향 구월동 교회" xfId="9877"/>
    <cellStyle name="_결과(PP목무늬)" xfId="9879"/>
    <cellStyle name="_결과(PP목무늬) 2" xfId="9880"/>
    <cellStyle name="_결과(PW백색)" xfId="9881"/>
    <cellStyle name="_결과(PW백색) 2" xfId="9882"/>
    <cellStyle name="_경기도 대심리 주택" xfId="9883"/>
    <cellStyle name="_경기도 대심리 주택 2" xfId="9884"/>
    <cellStyle name="_경기예고(수정)" xfId="9885"/>
    <cellStyle name="_경기예고(수정) 2" xfId="9886"/>
    <cellStyle name="_경기예고내역서" xfId="9887"/>
    <cellStyle name="_경기예고내역서 2" xfId="9888"/>
    <cellStyle name="_경기예고내역서(20060420)" xfId="9889"/>
    <cellStyle name="_경기예고내역서(20060420) 2" xfId="9890"/>
    <cellStyle name="_경북031002" xfId="9891"/>
    <cellStyle name="_경북031002 2" xfId="9892"/>
    <cellStyle name="_경비 년간예상양식" xfId="9893"/>
    <cellStyle name="_경비 년간예상양식 2" xfId="9894"/>
    <cellStyle name="_경서정거장도로" xfId="9895"/>
    <cellStyle name="_경암대(설계변경0117)-3차" xfId="9896"/>
    <cellStyle name="_경암대(설계변경0117)-3차 2" xfId="9897"/>
    <cellStyle name="_경영개선활동상반기실적(990708)" xfId="9898"/>
    <cellStyle name="_경영개선활동상반기실적(990708) 2" xfId="9899"/>
    <cellStyle name="_경영개선활동상반기실적(990708)_1" xfId="9900"/>
    <cellStyle name="_경영개선활동상반기실적(990708)_1 2" xfId="9901"/>
    <cellStyle name="_경영개선활동상반기실적(990708)_2" xfId="9902"/>
    <cellStyle name="_경영개선활동상반기실적(990708)_2 2" xfId="9903"/>
    <cellStyle name="_경영개선활성화방안(990802)" xfId="9904"/>
    <cellStyle name="_경영개선활성화방안(990802) 2" xfId="9905"/>
    <cellStyle name="_경영개선활성화방안(990802)_1" xfId="9906"/>
    <cellStyle name="_경영개선활성화방안(990802)_1 2" xfId="9907"/>
    <cellStyle name="_경영현황(0212_권상희)" xfId="9908"/>
    <cellStyle name="_경영현황(0212_권상희) 2" xfId="9909"/>
    <cellStyle name="_경영회의(1027)_계수" xfId="9910"/>
    <cellStyle name="_경영회의(1027)_계수 2" xfId="9911"/>
    <cellStyle name="_경영회의(1027)_계수(수정1103)" xfId="9912"/>
    <cellStyle name="_경영회의(1027)_계수(수정1103) 2" xfId="9913"/>
    <cellStyle name="_계단공사내역서,견적서" xfId="9914"/>
    <cellStyle name="_계단공사내역서,견적서 2" xfId="9915"/>
    <cellStyle name="_계수_냉공" xfId="9916"/>
    <cellStyle name="_계수_냉공 2" xfId="9917"/>
    <cellStyle name="_계수별첨" xfId="9918"/>
    <cellStyle name="_계수별첨 2" xfId="9919"/>
    <cellStyle name="_계약내역(총차)-교육청제출" xfId="9920"/>
    <cellStyle name="_계약내역(총차)-교육청제출 2" xfId="9921"/>
    <cellStyle name="_계약수정안_B" xfId="9922"/>
    <cellStyle name="_계약수정안_B 2" xfId="9923"/>
    <cellStyle name="_계장(SK)" xfId="9924"/>
    <cellStyle name="_계장(SK) 2" xfId="9925"/>
    <cellStyle name="_계획3" xfId="9926"/>
    <cellStyle name="_계획3 2" xfId="9927"/>
    <cellStyle name="_고대 법학도서관" xfId="9928"/>
    <cellStyle name="_고대 법학도서관 2" xfId="9929"/>
    <cellStyle name="_고덕 E-MART" xfId="9930"/>
    <cellStyle name="_고덕 E-MART 2" xfId="9931"/>
    <cellStyle name="_고려-수원미네시티(작업)" xfId="9932"/>
    <cellStyle name="_고려-수원미네시티(작업) 2" xfId="9933"/>
    <cellStyle name="_고산투찰" xfId="9934"/>
    <cellStyle name="_고산투찰 2" xfId="9935"/>
    <cellStyle name="_고속국도제1호선한남~반포간확장공사(대동)" xfId="9936"/>
    <cellStyle name="_고속국도제1호선한남~반포간확장공사(대동) 2" xfId="9937"/>
    <cellStyle name="_공내역서(송파트리플)" xfId="9938"/>
    <cellStyle name="_공내역서(송파트리플) 2" xfId="9939"/>
    <cellStyle name="_공내역서-3(1)(1). 조경" xfId="9940"/>
    <cellStyle name="_공내역서-3(1)(1). 조경 2" xfId="9941"/>
    <cellStyle name="_공량산출1105" xfId="9942"/>
    <cellStyle name="_공량산출1105 2" xfId="9943"/>
    <cellStyle name="_공문 " xfId="9944"/>
    <cellStyle name="_공문  2" xfId="9945"/>
    <cellStyle name="_공문  2 2" xfId="9946"/>
    <cellStyle name="_공문  3" xfId="9947"/>
    <cellStyle name="_공문 _내역서" xfId="9948"/>
    <cellStyle name="_공문 _내역서 2" xfId="9949"/>
    <cellStyle name="_공문양식" xfId="9950"/>
    <cellStyle name="_공문양식 2" xfId="9951"/>
    <cellStyle name="_공사개요" xfId="9952"/>
    <cellStyle name="_공사개요 2" xfId="9953"/>
    <cellStyle name="_공사개요(2003) " xfId="9954"/>
    <cellStyle name="_공사부문" xfId="9955"/>
    <cellStyle name="_공사부문 2" xfId="9956"/>
    <cellStyle name="_공사원가계산서 만들기'0812" xfId="9957"/>
    <cellStyle name="_공사원가계산서 만들기'0812 2" xfId="9958"/>
    <cellStyle name="_관리실행" xfId="9959"/>
    <cellStyle name="_관리실행 2" xfId="9960"/>
    <cellStyle name="_광릉투찰" xfId="9961"/>
    <cellStyle name="_광릉투찰 2" xfId="9962"/>
    <cellStyle name="_광릉투찰_왜관-태평건설" xfId="9963"/>
    <cellStyle name="_광릉투찰_왜관-태평건설 2" xfId="9964"/>
    <cellStyle name="_광영-옥곡간작성" xfId="9965"/>
    <cellStyle name="_광영-옥곡간작성 2" xfId="9966"/>
    <cellStyle name="_광주점 리뉴얼 약전설비계약내역서(갱신본)" xfId="9967"/>
    <cellStyle name="_광주퇴촌면주택" xfId="9968"/>
    <cellStyle name="_광주퇴촌면주택 2" xfId="9969"/>
    <cellStyle name="_교원그룹 낙산 숙박시설 신축공사" xfId="9970"/>
    <cellStyle name="_교원그룹 낙산 숙박시설 신축공사 2" xfId="9971"/>
    <cellStyle name="_교통영향평가 변경건(완료)" xfId="9972"/>
    <cellStyle name="_교통영향평가 변경건(완료) 2" xfId="9973"/>
    <cellStyle name="_교환기내역서-1" xfId="9974"/>
    <cellStyle name="_교환기내역서-1 2" xfId="9975"/>
    <cellStyle name="_교환기내역서-1_서울숲교회 02-15" xfId="9976"/>
    <cellStyle name="_교환기내역서-1_서울숲교회 02-15 2" xfId="9977"/>
    <cellStyle name="_교환기내역서-1_서울숲교회01-19" xfId="9978"/>
    <cellStyle name="_교환기내역서-1_서울숲교회01-19 2" xfId="9979"/>
    <cellStyle name="_교환기내역서-1_서울숲교회02-07" xfId="9980"/>
    <cellStyle name="_교환기내역서-1_서울숲교회02-07 2" xfId="9981"/>
    <cellStyle name="_교환기내역서-1_서울숲교회부속실02-07" xfId="9982"/>
    <cellStyle name="_교환기내역서-1_서울숲교회부속실02-07 2" xfId="9983"/>
    <cellStyle name="_교환기내역서-1_서울숲교회부속실영상2-7" xfId="9984"/>
    <cellStyle name="_교환기내역서-1_서울숲교회부속실영상2-7 2" xfId="9985"/>
    <cellStyle name="_교환기내역서-1_효성교회견적계약" xfId="9986"/>
    <cellStyle name="_교환기내역서-1_효성교회견적계약 2" xfId="9987"/>
    <cellStyle name="_구리,삼패" xfId="9988"/>
    <cellStyle name="_구리,삼패 2" xfId="9989"/>
    <cellStyle name="_구문소철암투찰" xfId="9990"/>
    <cellStyle name="_구문소철암투찰 2" xfId="9991"/>
    <cellStyle name="_구문소철암투찰_광릉투찰" xfId="9992"/>
    <cellStyle name="_구문소철암투찰_광릉투찰 2" xfId="9993"/>
    <cellStyle name="_구문소철암투찰_광릉투찰_왜관-태평건설" xfId="9994"/>
    <cellStyle name="_구문소철암투찰_광릉투찰_왜관-태평건설 2" xfId="9995"/>
    <cellStyle name="_구문소철암투찰_왜관-태평건설" xfId="9996"/>
    <cellStyle name="_구문소철암투찰_왜관-태평건설 2" xfId="9997"/>
    <cellStyle name="_구조조정" xfId="9998"/>
    <cellStyle name="_구조조정 2" xfId="9999"/>
    <cellStyle name="_구즉내역서" xfId="10000"/>
    <cellStyle name="_구즉내역서 2" xfId="10001"/>
    <cellStyle name="_국가에너지종합정보db구축사업_기능점수산출(1)" xfId="10002"/>
    <cellStyle name="_국가에너지종합정보db구축사업_기능점수산출(1) 2" xfId="10003"/>
    <cellStyle name="_국도23호선영암연소지구내역서" xfId="10004"/>
    <cellStyle name="_국도23호선영암연소지구내역서 2" xfId="10005"/>
    <cellStyle name="_국도38호선통리지구내역서" xfId="10006"/>
    <cellStyle name="_국도38호선통리지구내역서 2" xfId="10007"/>
    <cellStyle name="_국도42호선여량지구오르막차로" xfId="10008"/>
    <cellStyle name="_국도42호선여량지구오르막차로 2" xfId="10009"/>
    <cellStyle name="_국수교수량" xfId="10010"/>
    <cellStyle name="_국수교수량 2" xfId="10011"/>
    <cellStyle name="_국수교수량_1.광명상수1차(0531)" xfId="10012"/>
    <cellStyle name="_국수교수량_1.광명상수1차(0531) 2" xfId="10013"/>
    <cellStyle name="_국수교수량_13.급수공사-2차(택)" xfId="10014"/>
    <cellStyle name="_국수교수량_13.급수공사-2차(택) 2" xfId="10015"/>
    <cellStyle name="_국수교수량_2광명상수2차(0523)" xfId="10016"/>
    <cellStyle name="_국수교수량_2광명상수2차(0523) 2" xfId="10017"/>
    <cellStyle name="_국수교수량_2광명상수2차(0531)-11" xfId="10018"/>
    <cellStyle name="_국수교수량_2광명상수2차(0531)-11 2" xfId="10019"/>
    <cellStyle name="_국수교수량_원주상수도2차" xfId="10020"/>
    <cellStyle name="_국수교수량_원주상수도2차 2" xfId="10021"/>
    <cellStyle name="_국수교수량_원주상수도2차_1.광명상수1차(0531)" xfId="10022"/>
    <cellStyle name="_국수교수량_원주상수도2차_1.광명상수1차(0531) 2" xfId="10023"/>
    <cellStyle name="_국수교수량_원주상수도2차_2광명상수2차(0523)" xfId="10024"/>
    <cellStyle name="_국수교수량_원주상수도2차_2광명상수2차(0523) 2" xfId="10025"/>
    <cellStyle name="_국수교수량_원주상수도2차_2광명상수2차(0531)-11" xfId="10026"/>
    <cellStyle name="_국수교수량_원주상수도2차_2광명상수2차(0531)-11 2" xfId="10027"/>
    <cellStyle name="_규격1" xfId="10028"/>
    <cellStyle name="_규격1 2" xfId="10029"/>
    <cellStyle name="_규격2" xfId="10030"/>
    <cellStyle name="_규격2 2" xfId="10031"/>
    <cellStyle name="_금강Ⅱ지구김제2-2공구토목공사(동도)" xfId="10032"/>
    <cellStyle name="_금강Ⅱ지구김제2-2공구토목공사(동도) 2" xfId="10033"/>
    <cellStyle name="_금구초.중 공 내역서0" xfId="10034"/>
    <cellStyle name="_금구초.중 공 내역서0 2" xfId="10035"/>
    <cellStyle name="_금액" xfId="10036"/>
    <cellStyle name="_금액 2" xfId="10037"/>
    <cellStyle name="_금천청소년수련관(토목林)" xfId="10038"/>
    <cellStyle name="_금천청소년수련관(토목林) 2" xfId="10039"/>
    <cellStyle name="_기계,전기설계내역서(계약검토-실행)" xfId="10040"/>
    <cellStyle name="_기계,전기설계내역서(계약검토-실행) 2" xfId="10041"/>
    <cellStyle name="_기계,전기설계내역서(계약검토-실행)_내역서(건설사)" xfId="10042"/>
    <cellStyle name="_기계,전기설계내역서(계약검토-실행)_내역서(건설사) 2" xfId="10043"/>
    <cellStyle name="_기계,전기설계내역서(계약검토-실행)_내역서(작업)" xfId="10044"/>
    <cellStyle name="_기계,전기설계내역서(계약검토-실행)_내역서(작업) 2" xfId="10045"/>
    <cellStyle name="_기계약대비" xfId="10046"/>
    <cellStyle name="_기계약대비 2" xfId="10047"/>
    <cellStyle name="_기성검사원" xfId="10048"/>
    <cellStyle name="_기성검사원 2" xfId="10049"/>
    <cellStyle name="_기성검사원_내역서" xfId="10050"/>
    <cellStyle name="_기성검사원_내역서 2" xfId="10051"/>
    <cellStyle name="_기성부분청구내역서(제3차3회)REV1" xfId="10052"/>
    <cellStyle name="_기성부분청구내역서(제3차3회)REV1 2" xfId="10053"/>
    <cellStyle name="_기성부분청구내역서(제3차4회)" xfId="10054"/>
    <cellStyle name="_기성부분청구내역서(제3차4회) 2" xfId="10055"/>
    <cellStyle name="_기흥읍청사신축공사(조원)" xfId="10056"/>
    <cellStyle name="_기흥읍청사신축공사(조원) 2" xfId="10057"/>
    <cellStyle name="_길내기33702.88" xfId="10058"/>
    <cellStyle name="_길내기6.0" xfId="10059"/>
    <cellStyle name="_길동배수지건설공사(구보)" xfId="10060"/>
    <cellStyle name="_길동배수지건설공사(구보) 2" xfId="10061"/>
    <cellStyle name="_김천동부초교사증축(4)" xfId="10062"/>
    <cellStyle name="_김천동부초교사증축(4) 2" xfId="10063"/>
    <cellStyle name="_김천동부초교사증축(4)_서울숲교회 02-15" xfId="10064"/>
    <cellStyle name="_김천동부초교사증축(4)_서울숲교회 02-15 2" xfId="10065"/>
    <cellStyle name="_김천동부초교사증축(4)_서울숲교회01-19" xfId="10066"/>
    <cellStyle name="_김천동부초교사증축(4)_서울숲교회01-19 2" xfId="10067"/>
    <cellStyle name="_김천동부초교사증축(4)_서울숲교회02-07" xfId="10068"/>
    <cellStyle name="_김천동부초교사증축(4)_서울숲교회02-07 2" xfId="10069"/>
    <cellStyle name="_김천동부초교사증축(4)_서울숲교회부속실02-07" xfId="10070"/>
    <cellStyle name="_김천동부초교사증축(4)_서울숲교회부속실02-07 2" xfId="10071"/>
    <cellStyle name="_김천동부초교사증축(4)_서울숲교회부속실영상2-7" xfId="10072"/>
    <cellStyle name="_김천동부초교사증축(4)_서울숲교회부속실영상2-7 2" xfId="10073"/>
    <cellStyle name="_김천동부초교사증축(4)_효성교회견적계약" xfId="10074"/>
    <cellStyle name="_김천동부초교사증축(4)_효성교회견적계약 2" xfId="10075"/>
    <cellStyle name="_김포ER(세종)" xfId="10076"/>
    <cellStyle name="_김포대학국제관견적(030121)" xfId="10077"/>
    <cellStyle name="_김포대학국제관견적(030121) 2" xfId="10078"/>
    <cellStyle name="_김해분성고(동성)" xfId="10079"/>
    <cellStyle name="_김해분성고(동성) 2" xfId="10080"/>
    <cellStyle name="_김해진영" xfId="10081"/>
    <cellStyle name="_김해진영 2" xfId="10082"/>
    <cellStyle name="_난계국악당일위대가" xfId="10083"/>
    <cellStyle name="_난계국악당일위대가 2" xfId="10084"/>
    <cellStyle name="_난계국악당일위대가_1" xfId="10085"/>
    <cellStyle name="_난계국악당일위대가_1 2" xfId="10086"/>
    <cellStyle name="_난계국악당일위대가_2" xfId="10087"/>
    <cellStyle name="_난계국악당일위대가_2 2" xfId="10088"/>
    <cellStyle name="_내덕1+신안+능동" xfId="10089"/>
    <cellStyle name="_내덕1+신안+능동 2" xfId="10090"/>
    <cellStyle name="_내덕1초교 내역서(투찰)" xfId="10091"/>
    <cellStyle name="_내덕1초교 내역서(투찰) 2" xfId="10092"/>
    <cellStyle name="_내역(02.04.16)선우대교" xfId="10093"/>
    <cellStyle name="_내역(02.04.16)선우대교_☆남악2-3공구가실행" xfId="10102"/>
    <cellStyle name="_내역(02.04.16)선우대교_☆남악2-3공구가실행_3-1(금강)-여의도 세우회관 철거공사" xfId="10103"/>
    <cellStyle name="_내역(02.04.16)선우대교_☆남악2-3공구가실행_3-1(금강)-여의도 세우회관 철거공사_24-1(동부)-두능-연곡 도로건설공사 중 기존교량철거" xfId="10104"/>
    <cellStyle name="_내역(02.04.16)선우대교_☆남악2-3공구가실행_3-1(금강)-여의도 세우회관 철거공사_견적1" xfId="10105"/>
    <cellStyle name="_내역(02.04.16)선우대교_☆남악2-3공구가실행_3-1(금강)-여의도 세우회관 철거공사_견적1_28-3-2 삼환-대한생명 63빌딩 현장 철거공사 (재노경)" xfId="10106"/>
    <cellStyle name="_내역(02.04.16)선우대교_☆남악2-3공구가실행_8-2(삼성)-김해공항 국제청 화물청사 세관창고철거" xfId="10107"/>
    <cellStyle name="_내역(02.04.16)선우대교_☆남악2-3공구가실행_8-2(삼성)-김해공항 국제청 화물청사 세관창고철거_24-1(동부)-두능-연곡 도로건설공사 중 기존교량철거" xfId="10108"/>
    <cellStyle name="_내역(02.04.16)선우대교_☆남악2-3공구가실행_8-2(삼성)-김해공항 국제청 화물청사 세관창고철거_견적1" xfId="10109"/>
    <cellStyle name="_내역(02.04.16)선우대교_☆남악2-3공구가실행_8-2(삼성)-김해공항 국제청 화물청사 세관창고철거_견적1_28-3-2 삼환-대한생명 63빌딩 현장 철거공사 (재노경)" xfId="10110"/>
    <cellStyle name="_내역(02.04.16)선우대교_☆남악2-3공구가실행_견적1" xfId="10111"/>
    <cellStyle name="_내역(02.04.16)선우대교_☆남악2-3공구가실행_견적1_28-3-2 삼환-대한생명 63빌딩 현장 철거공사 (재노경)" xfId="10112"/>
    <cellStyle name="_내역(02.04.16)선우대교_☆남악2-3공구가실행_견적서" xfId="10113"/>
    <cellStyle name="_내역(02.04.16)선우대교_☆남악2-3공구가실행_견적서_24-1(동부)-두능-연곡 도로건설공사 중 기존교량철거" xfId="10114"/>
    <cellStyle name="_내역(02.04.16)선우대교_☆남악2-3공구가실행_견적서_견적1" xfId="10115"/>
    <cellStyle name="_내역(02.04.16)선우대교_☆남악2-3공구가실행_견적서_견적1_28-3-2 삼환-대한생명 63빌딩 현장 철거공사 (재노경)" xfId="10116"/>
    <cellStyle name="_내역(02.04.16)선우대교_3-1(금강)-여의도 세우회관 철거공사" xfId="10094"/>
    <cellStyle name="_내역(02.04.16)선우대교_3-1(금강)-여의도 세우회관 철거공사_24-1(동부)-두능-연곡 도로건설공사 중 기존교량철거" xfId="10095"/>
    <cellStyle name="_내역(02.04.16)선우대교_3-1(금강)-여의도 세우회관 철거공사_견적1" xfId="10096"/>
    <cellStyle name="_내역(02.04.16)선우대교_3-1(금강)-여의도 세우회관 철거공사_견적1_28-3-2 삼환-대한생명 63빌딩 현장 철거공사 (재노경)" xfId="10097"/>
    <cellStyle name="_내역(02.04.16)선우대교_8-2(삼성)-김해공항 국제청 화물청사 세관창고철거" xfId="10098"/>
    <cellStyle name="_내역(02.04.16)선우대교_8-2(삼성)-김해공항 국제청 화물청사 세관창고철거_24-1(동부)-두능-연곡 도로건설공사 중 기존교량철거" xfId="10099"/>
    <cellStyle name="_내역(02.04.16)선우대교_8-2(삼성)-김해공항 국제청 화물청사 세관창고철거_견적1" xfId="10100"/>
    <cellStyle name="_내역(02.04.16)선우대교_8-2(삼성)-김해공항 국제청 화물청사 세관창고철거_견적1_28-3-2 삼환-대한생명 63빌딩 현장 철거공사 (재노경)" xfId="10101"/>
    <cellStyle name="_내역(02.04.16)선우대교_견적1" xfId="10117"/>
    <cellStyle name="_내역(02.04.16)선우대교_견적1_28-3-2 삼환-대한생명 63빌딩 현장 철거공사 (재노경)" xfId="10118"/>
    <cellStyle name="_내역(02.04.16)선우대교_견적서" xfId="10119"/>
    <cellStyle name="_내역(02.04.16)선우대교_견적서_24-1(동부)-두능-연곡 도로건설공사 중 기존교량철거" xfId="10120"/>
    <cellStyle name="_내역(02.04.16)선우대교_견적서_견적1" xfId="10121"/>
    <cellStyle name="_내역(02.04.16)선우대교_견적서_견적1_28-3-2 삼환-대한생명 63빌딩 현장 철거공사 (재노경)" xfId="10122"/>
    <cellStyle name="_내역(02.04.17)선우대교" xfId="10123"/>
    <cellStyle name="_내역(02.04.17)선우대교_☆남악2-3공구가실행" xfId="10132"/>
    <cellStyle name="_내역(02.04.17)선우대교_☆남악2-3공구가실행_3-1(금강)-여의도 세우회관 철거공사" xfId="10133"/>
    <cellStyle name="_내역(02.04.17)선우대교_☆남악2-3공구가실행_3-1(금강)-여의도 세우회관 철거공사_24-1(동부)-두능-연곡 도로건설공사 중 기존교량철거" xfId="10134"/>
    <cellStyle name="_내역(02.04.17)선우대교_☆남악2-3공구가실행_3-1(금강)-여의도 세우회관 철거공사_견적1" xfId="10135"/>
    <cellStyle name="_내역(02.04.17)선우대교_☆남악2-3공구가실행_3-1(금강)-여의도 세우회관 철거공사_견적1_28-3-2 삼환-대한생명 63빌딩 현장 철거공사 (재노경)" xfId="10136"/>
    <cellStyle name="_내역(02.04.17)선우대교_☆남악2-3공구가실행_8-2(삼성)-김해공항 국제청 화물청사 세관창고철거" xfId="10137"/>
    <cellStyle name="_내역(02.04.17)선우대교_☆남악2-3공구가실행_8-2(삼성)-김해공항 국제청 화물청사 세관창고철거_24-1(동부)-두능-연곡 도로건설공사 중 기존교량철거" xfId="10138"/>
    <cellStyle name="_내역(02.04.17)선우대교_☆남악2-3공구가실행_8-2(삼성)-김해공항 국제청 화물청사 세관창고철거_견적1" xfId="10139"/>
    <cellStyle name="_내역(02.04.17)선우대교_☆남악2-3공구가실행_8-2(삼성)-김해공항 국제청 화물청사 세관창고철거_견적1_28-3-2 삼환-대한생명 63빌딩 현장 철거공사 (재노경)" xfId="10140"/>
    <cellStyle name="_내역(02.04.17)선우대교_☆남악2-3공구가실행_견적1" xfId="10141"/>
    <cellStyle name="_내역(02.04.17)선우대교_☆남악2-3공구가실행_견적1_28-3-2 삼환-대한생명 63빌딩 현장 철거공사 (재노경)" xfId="10142"/>
    <cellStyle name="_내역(02.04.17)선우대교_☆남악2-3공구가실행_견적서" xfId="10143"/>
    <cellStyle name="_내역(02.04.17)선우대교_☆남악2-3공구가실행_견적서_24-1(동부)-두능-연곡 도로건설공사 중 기존교량철거" xfId="10144"/>
    <cellStyle name="_내역(02.04.17)선우대교_☆남악2-3공구가실행_견적서_견적1" xfId="10145"/>
    <cellStyle name="_내역(02.04.17)선우대교_☆남악2-3공구가실행_견적서_견적1_28-3-2 삼환-대한생명 63빌딩 현장 철거공사 (재노경)" xfId="10146"/>
    <cellStyle name="_내역(02.04.17)선우대교_3-1(금강)-여의도 세우회관 철거공사" xfId="10124"/>
    <cellStyle name="_내역(02.04.17)선우대교_3-1(금강)-여의도 세우회관 철거공사_24-1(동부)-두능-연곡 도로건설공사 중 기존교량철거" xfId="10125"/>
    <cellStyle name="_내역(02.04.17)선우대교_3-1(금강)-여의도 세우회관 철거공사_견적1" xfId="10126"/>
    <cellStyle name="_내역(02.04.17)선우대교_3-1(금강)-여의도 세우회관 철거공사_견적1_28-3-2 삼환-대한생명 63빌딩 현장 철거공사 (재노경)" xfId="10127"/>
    <cellStyle name="_내역(02.04.17)선우대교_8-2(삼성)-김해공항 국제청 화물청사 세관창고철거" xfId="10128"/>
    <cellStyle name="_내역(02.04.17)선우대교_8-2(삼성)-김해공항 국제청 화물청사 세관창고철거_24-1(동부)-두능-연곡 도로건설공사 중 기존교량철거" xfId="10129"/>
    <cellStyle name="_내역(02.04.17)선우대교_8-2(삼성)-김해공항 국제청 화물청사 세관창고철거_견적1" xfId="10130"/>
    <cellStyle name="_내역(02.04.17)선우대교_8-2(삼성)-김해공항 국제청 화물청사 세관창고철거_견적1_28-3-2 삼환-대한생명 63빌딩 현장 철거공사 (재노경)" xfId="10131"/>
    <cellStyle name="_내역(02.04.17)선우대교_견적1" xfId="10147"/>
    <cellStyle name="_내역(02.04.17)선우대교_견적1_28-3-2 삼환-대한생명 63빌딩 현장 철거공사 (재노경)" xfId="10148"/>
    <cellStyle name="_내역(02.04.17)선우대교_견적서" xfId="10149"/>
    <cellStyle name="_내역(02.04.17)선우대교_견적서_24-1(동부)-두능-연곡 도로건설공사 중 기존교량철거" xfId="10150"/>
    <cellStyle name="_내역(02.04.17)선우대교_견적서_견적1" xfId="10151"/>
    <cellStyle name="_내역(02.04.17)선우대교_견적서_견적1_28-3-2 삼환-대한생명 63빌딩 현장 철거공사 (재노경)" xfId="10152"/>
    <cellStyle name="_내역(02.04.17)추모공원" xfId="10153"/>
    <cellStyle name="_내역(02.04.17)추모공원_☆남악2-3공구가실행" xfId="10162"/>
    <cellStyle name="_내역(02.04.17)추모공원_☆남악2-3공구가실행_3-1(금강)-여의도 세우회관 철거공사" xfId="10163"/>
    <cellStyle name="_내역(02.04.17)추모공원_☆남악2-3공구가실행_3-1(금강)-여의도 세우회관 철거공사_24-1(동부)-두능-연곡 도로건설공사 중 기존교량철거" xfId="10164"/>
    <cellStyle name="_내역(02.04.17)추모공원_☆남악2-3공구가실행_3-1(금강)-여의도 세우회관 철거공사_견적1" xfId="10165"/>
    <cellStyle name="_내역(02.04.17)추모공원_☆남악2-3공구가실행_3-1(금강)-여의도 세우회관 철거공사_견적1_28-3-2 삼환-대한생명 63빌딩 현장 철거공사 (재노경)" xfId="10166"/>
    <cellStyle name="_내역(02.04.17)추모공원_☆남악2-3공구가실행_8-2(삼성)-김해공항 국제청 화물청사 세관창고철거" xfId="10167"/>
    <cellStyle name="_내역(02.04.17)추모공원_☆남악2-3공구가실행_8-2(삼성)-김해공항 국제청 화물청사 세관창고철거_24-1(동부)-두능-연곡 도로건설공사 중 기존교량철거" xfId="10168"/>
    <cellStyle name="_내역(02.04.17)추모공원_☆남악2-3공구가실행_8-2(삼성)-김해공항 국제청 화물청사 세관창고철거_견적1" xfId="10169"/>
    <cellStyle name="_내역(02.04.17)추모공원_☆남악2-3공구가실행_8-2(삼성)-김해공항 국제청 화물청사 세관창고철거_견적1_28-3-2 삼환-대한생명 63빌딩 현장 철거공사 (재노경)" xfId="10170"/>
    <cellStyle name="_내역(02.04.17)추모공원_☆남악2-3공구가실행_견적1" xfId="10171"/>
    <cellStyle name="_내역(02.04.17)추모공원_☆남악2-3공구가실행_견적1_28-3-2 삼환-대한생명 63빌딩 현장 철거공사 (재노경)" xfId="10172"/>
    <cellStyle name="_내역(02.04.17)추모공원_☆남악2-3공구가실행_견적서" xfId="10173"/>
    <cellStyle name="_내역(02.04.17)추모공원_☆남악2-3공구가실행_견적서_24-1(동부)-두능-연곡 도로건설공사 중 기존교량철거" xfId="10174"/>
    <cellStyle name="_내역(02.04.17)추모공원_☆남악2-3공구가실행_견적서_견적1" xfId="10175"/>
    <cellStyle name="_내역(02.04.17)추모공원_☆남악2-3공구가실행_견적서_견적1_28-3-2 삼환-대한생명 63빌딩 현장 철거공사 (재노경)" xfId="10176"/>
    <cellStyle name="_내역(02.04.17)추모공원_3-1(금강)-여의도 세우회관 철거공사" xfId="10154"/>
    <cellStyle name="_내역(02.04.17)추모공원_3-1(금강)-여의도 세우회관 철거공사_24-1(동부)-두능-연곡 도로건설공사 중 기존교량철거" xfId="10155"/>
    <cellStyle name="_내역(02.04.17)추모공원_3-1(금강)-여의도 세우회관 철거공사_견적1" xfId="10156"/>
    <cellStyle name="_내역(02.04.17)추모공원_3-1(금강)-여의도 세우회관 철거공사_견적1_28-3-2 삼환-대한생명 63빌딩 현장 철거공사 (재노경)" xfId="10157"/>
    <cellStyle name="_내역(02.04.17)추모공원_8-2(삼성)-김해공항 국제청 화물청사 세관창고철거" xfId="10158"/>
    <cellStyle name="_내역(02.04.17)추모공원_8-2(삼성)-김해공항 국제청 화물청사 세관창고철거_24-1(동부)-두능-연곡 도로건설공사 중 기존교량철거" xfId="10159"/>
    <cellStyle name="_내역(02.04.17)추모공원_8-2(삼성)-김해공항 국제청 화물청사 세관창고철거_견적1" xfId="10160"/>
    <cellStyle name="_내역(02.04.17)추모공원_8-2(삼성)-김해공항 국제청 화물청사 세관창고철거_견적1_28-3-2 삼환-대한생명 63빌딩 현장 철거공사 (재노경)" xfId="10161"/>
    <cellStyle name="_내역(02.04.17)추모공원_견적1" xfId="10177"/>
    <cellStyle name="_내역(02.04.17)추모공원_견적1_28-3-2 삼환-대한생명 63빌딩 현장 철거공사 (재노경)" xfId="10178"/>
    <cellStyle name="_내역(02.04.17)추모공원_견적서" xfId="10179"/>
    <cellStyle name="_내역(02.04.17)추모공원_견적서_24-1(동부)-두능-연곡 도로건설공사 중 기존교량철거" xfId="10180"/>
    <cellStyle name="_내역(02.04.17)추모공원_견적서_견적1" xfId="10181"/>
    <cellStyle name="_내역(02.04.17)추모공원_견적서_견적1_28-3-2 삼환-대한생명 63빌딩 현장 철거공사 (재노경)" xfId="10182"/>
    <cellStyle name="_내역(02.09.30)신령-영천(2공구)" xfId="10183"/>
    <cellStyle name="_내역(02.09.30)신령-영천(2공구)_☆남악2-3공구가실행" xfId="10192"/>
    <cellStyle name="_내역(02.09.30)신령-영천(2공구)_☆남악2-3공구가실행_3-1(금강)-여의도 세우회관 철거공사" xfId="10193"/>
    <cellStyle name="_내역(02.09.30)신령-영천(2공구)_☆남악2-3공구가실행_3-1(금강)-여의도 세우회관 철거공사_24-1(동부)-두능-연곡 도로건설공사 중 기존교량철거" xfId="10194"/>
    <cellStyle name="_내역(02.09.30)신령-영천(2공구)_☆남악2-3공구가실행_3-1(금강)-여의도 세우회관 철거공사_견적1" xfId="10195"/>
    <cellStyle name="_내역(02.09.30)신령-영천(2공구)_☆남악2-3공구가실행_3-1(금강)-여의도 세우회관 철거공사_견적1_28-3-2 삼환-대한생명 63빌딩 현장 철거공사 (재노경)" xfId="10196"/>
    <cellStyle name="_내역(02.09.30)신령-영천(2공구)_☆남악2-3공구가실행_8-2(삼성)-김해공항 국제청 화물청사 세관창고철거" xfId="10197"/>
    <cellStyle name="_내역(02.09.30)신령-영천(2공구)_☆남악2-3공구가실행_8-2(삼성)-김해공항 국제청 화물청사 세관창고철거_24-1(동부)-두능-연곡 도로건설공사 중 기존교량철거" xfId="10198"/>
    <cellStyle name="_내역(02.09.30)신령-영천(2공구)_☆남악2-3공구가실행_8-2(삼성)-김해공항 국제청 화물청사 세관창고철거_견적1" xfId="10199"/>
    <cellStyle name="_내역(02.09.30)신령-영천(2공구)_☆남악2-3공구가실행_8-2(삼성)-김해공항 국제청 화물청사 세관창고철거_견적1_28-3-2 삼환-대한생명 63빌딩 현장 철거공사 (재노경)" xfId="10200"/>
    <cellStyle name="_내역(02.09.30)신령-영천(2공구)_☆남악2-3공구가실행_견적1" xfId="10201"/>
    <cellStyle name="_내역(02.09.30)신령-영천(2공구)_☆남악2-3공구가실행_견적1_28-3-2 삼환-대한생명 63빌딩 현장 철거공사 (재노경)" xfId="10202"/>
    <cellStyle name="_내역(02.09.30)신령-영천(2공구)_☆남악2-3공구가실행_견적서" xfId="10203"/>
    <cellStyle name="_내역(02.09.30)신령-영천(2공구)_☆남악2-3공구가실행_견적서_24-1(동부)-두능-연곡 도로건설공사 중 기존교량철거" xfId="10204"/>
    <cellStyle name="_내역(02.09.30)신령-영천(2공구)_☆남악2-3공구가실행_견적서_견적1" xfId="10205"/>
    <cellStyle name="_내역(02.09.30)신령-영천(2공구)_☆남악2-3공구가실행_견적서_견적1_28-3-2 삼환-대한생명 63빌딩 현장 철거공사 (재노경)" xfId="10206"/>
    <cellStyle name="_내역(02.09.30)신령-영천(2공구)_3-1(금강)-여의도 세우회관 철거공사" xfId="10184"/>
    <cellStyle name="_내역(02.09.30)신령-영천(2공구)_3-1(금강)-여의도 세우회관 철거공사_24-1(동부)-두능-연곡 도로건설공사 중 기존교량철거" xfId="10185"/>
    <cellStyle name="_내역(02.09.30)신령-영천(2공구)_3-1(금강)-여의도 세우회관 철거공사_견적1" xfId="10186"/>
    <cellStyle name="_내역(02.09.30)신령-영천(2공구)_3-1(금강)-여의도 세우회관 철거공사_견적1_28-3-2 삼환-대한생명 63빌딩 현장 철거공사 (재노경)" xfId="10187"/>
    <cellStyle name="_내역(02.09.30)신령-영천(2공구)_8-2(삼성)-김해공항 국제청 화물청사 세관창고철거" xfId="10188"/>
    <cellStyle name="_내역(02.09.30)신령-영천(2공구)_8-2(삼성)-김해공항 국제청 화물청사 세관창고철거_24-1(동부)-두능-연곡 도로건설공사 중 기존교량철거" xfId="10189"/>
    <cellStyle name="_내역(02.09.30)신령-영천(2공구)_8-2(삼성)-김해공항 국제청 화물청사 세관창고철거_견적1" xfId="10190"/>
    <cellStyle name="_내역(02.09.30)신령-영천(2공구)_8-2(삼성)-김해공항 국제청 화물청사 세관창고철거_견적1_28-3-2 삼환-대한생명 63빌딩 현장 철거공사 (재노경)" xfId="10191"/>
    <cellStyle name="_내역(02.09.30)신령-영천(2공구)_견적1" xfId="10207"/>
    <cellStyle name="_내역(02.09.30)신령-영천(2공구)_견적1_28-3-2 삼환-대한생명 63빌딩 현장 철거공사 (재노경)" xfId="10208"/>
    <cellStyle name="_내역(02.09.30)신령-영천(2공구)_견적서" xfId="10209"/>
    <cellStyle name="_내역(02.09.30)신령-영천(2공구)_견적서_24-1(동부)-두능-연곡 도로건설공사 중 기존교량철거" xfId="10210"/>
    <cellStyle name="_내역(02.09.30)신령-영천(2공구)_견적서_견적1" xfId="10211"/>
    <cellStyle name="_내역(02.09.30)신령-영천(2공구)_견적서_견적1_28-3-2 삼환-대한생명 63빌딩 현장 철거공사 (재노경)" xfId="10212"/>
    <cellStyle name="_내역(02.10.14)신령-영천(2공구)-0.3312" xfId="10213"/>
    <cellStyle name="_내역(02.10.14)신령-영천(2공구)-0.3312_☆남악2-3공구가실행" xfId="10222"/>
    <cellStyle name="_내역(02.10.14)신령-영천(2공구)-0.3312_☆남악2-3공구가실행_3-1(금강)-여의도 세우회관 철거공사" xfId="10223"/>
    <cellStyle name="_내역(02.10.14)신령-영천(2공구)-0.3312_☆남악2-3공구가실행_3-1(금강)-여의도 세우회관 철거공사_24-1(동부)-두능-연곡 도로건설공사 중 기존교량철거" xfId="10224"/>
    <cellStyle name="_내역(02.10.14)신령-영천(2공구)-0.3312_☆남악2-3공구가실행_3-1(금강)-여의도 세우회관 철거공사_견적1" xfId="10225"/>
    <cellStyle name="_내역(02.10.14)신령-영천(2공구)-0.3312_☆남악2-3공구가실행_3-1(금강)-여의도 세우회관 철거공사_견적1_28-3-2 삼환-대한생명 63빌딩 현장 철거공사 (재노경)" xfId="10226"/>
    <cellStyle name="_내역(02.10.14)신령-영천(2공구)-0.3312_☆남악2-3공구가실행_8-2(삼성)-김해공항 국제청 화물청사 세관창고철거" xfId="10227"/>
    <cellStyle name="_내역(02.10.14)신령-영천(2공구)-0.3312_☆남악2-3공구가실행_8-2(삼성)-김해공항 국제청 화물청사 세관창고철거_24-1(동부)-두능-연곡 도로건설공사 중 기존교량철거" xfId="10228"/>
    <cellStyle name="_내역(02.10.14)신령-영천(2공구)-0.3312_☆남악2-3공구가실행_8-2(삼성)-김해공항 국제청 화물청사 세관창고철거_견적1" xfId="10229"/>
    <cellStyle name="_내역(02.10.14)신령-영천(2공구)-0.3312_☆남악2-3공구가실행_8-2(삼성)-김해공항 국제청 화물청사 세관창고철거_견적1_28-3-2 삼환-대한생명 63빌딩 현장 철거공사 (재노경)" xfId="10230"/>
    <cellStyle name="_내역(02.10.14)신령-영천(2공구)-0.3312_☆남악2-3공구가실행_견적1" xfId="10231"/>
    <cellStyle name="_내역(02.10.14)신령-영천(2공구)-0.3312_☆남악2-3공구가실행_견적1_28-3-2 삼환-대한생명 63빌딩 현장 철거공사 (재노경)" xfId="10232"/>
    <cellStyle name="_내역(02.10.14)신령-영천(2공구)-0.3312_☆남악2-3공구가실행_견적서" xfId="10233"/>
    <cellStyle name="_내역(02.10.14)신령-영천(2공구)-0.3312_☆남악2-3공구가실행_견적서_24-1(동부)-두능-연곡 도로건설공사 중 기존교량철거" xfId="10234"/>
    <cellStyle name="_내역(02.10.14)신령-영천(2공구)-0.3312_☆남악2-3공구가실행_견적서_견적1" xfId="10235"/>
    <cellStyle name="_내역(02.10.14)신령-영천(2공구)-0.3312_☆남악2-3공구가실행_견적서_견적1_28-3-2 삼환-대한생명 63빌딩 현장 철거공사 (재노경)" xfId="10236"/>
    <cellStyle name="_내역(02.10.14)신령-영천(2공구)-0.3312_3-1(금강)-여의도 세우회관 철거공사" xfId="10214"/>
    <cellStyle name="_내역(02.10.14)신령-영천(2공구)-0.3312_3-1(금강)-여의도 세우회관 철거공사_24-1(동부)-두능-연곡 도로건설공사 중 기존교량철거" xfId="10215"/>
    <cellStyle name="_내역(02.10.14)신령-영천(2공구)-0.3312_3-1(금강)-여의도 세우회관 철거공사_견적1" xfId="10216"/>
    <cellStyle name="_내역(02.10.14)신령-영천(2공구)-0.3312_3-1(금강)-여의도 세우회관 철거공사_견적1_28-3-2 삼환-대한생명 63빌딩 현장 철거공사 (재노경)" xfId="10217"/>
    <cellStyle name="_내역(02.10.14)신령-영천(2공구)-0.3312_8-2(삼성)-김해공항 국제청 화물청사 세관창고철거" xfId="10218"/>
    <cellStyle name="_내역(02.10.14)신령-영천(2공구)-0.3312_8-2(삼성)-김해공항 국제청 화물청사 세관창고철거_24-1(동부)-두능-연곡 도로건설공사 중 기존교량철거" xfId="10219"/>
    <cellStyle name="_내역(02.10.14)신령-영천(2공구)-0.3312_8-2(삼성)-김해공항 국제청 화물청사 세관창고철거_견적1" xfId="10220"/>
    <cellStyle name="_내역(02.10.14)신령-영천(2공구)-0.3312_8-2(삼성)-김해공항 국제청 화물청사 세관창고철거_견적1_28-3-2 삼환-대한생명 63빌딩 현장 철거공사 (재노경)" xfId="10221"/>
    <cellStyle name="_내역(02.10.14)신령-영천(2공구)-0.3312_견적1" xfId="10237"/>
    <cellStyle name="_내역(02.10.14)신령-영천(2공구)-0.3312_견적1_28-3-2 삼환-대한생명 63빌딩 현장 철거공사 (재노경)" xfId="10238"/>
    <cellStyle name="_내역(02.10.14)신령-영천(2공구)-0.3312_견적서" xfId="10239"/>
    <cellStyle name="_내역(02.10.14)신령-영천(2공구)-0.3312_견적서_24-1(동부)-두능-연곡 도로건설공사 중 기존교량철거" xfId="10240"/>
    <cellStyle name="_내역(02.10.14)신령-영천(2공구)-0.3312_견적서_견적1" xfId="10241"/>
    <cellStyle name="_내역(02.10.14)신령-영천(2공구)-0.3312_견적서_견적1_28-3-2 삼환-대한생명 63빌딩 현장 철거공사 (재노경)" xfId="10242"/>
    <cellStyle name="_내역(02.11.07)강변북로(청담대교-성수대교)확장공사" xfId="10243"/>
    <cellStyle name="_내역(02.11.07)강변북로(청담대교-성수대교)확장공사_☆남악2-3공구가실행" xfId="10252"/>
    <cellStyle name="_내역(02.11.07)강변북로(청담대교-성수대교)확장공사_☆남악2-3공구가실행_3-1(금강)-여의도 세우회관 철거공사" xfId="10253"/>
    <cellStyle name="_내역(02.11.07)강변북로(청담대교-성수대교)확장공사_☆남악2-3공구가실행_3-1(금강)-여의도 세우회관 철거공사_24-1(동부)-두능-연곡 도로건설공사 중 기존교량철거" xfId="10254"/>
    <cellStyle name="_내역(02.11.07)강변북로(청담대교-성수대교)확장공사_☆남악2-3공구가실행_3-1(금강)-여의도 세우회관 철거공사_견적1" xfId="10255"/>
    <cellStyle name="_내역(02.11.07)강변북로(청담대교-성수대교)확장공사_☆남악2-3공구가실행_3-1(금강)-여의도 세우회관 철거공사_견적1_28-3-2 삼환-대한생명 63빌딩 현장 철거공사 (재노경)" xfId="10256"/>
    <cellStyle name="_내역(02.11.07)강변북로(청담대교-성수대교)확장공사_☆남악2-3공구가실행_8-2(삼성)-김해공항 국제청 화물청사 세관창고철거" xfId="10257"/>
    <cellStyle name="_내역(02.11.07)강변북로(청담대교-성수대교)확장공사_☆남악2-3공구가실행_8-2(삼성)-김해공항 국제청 화물청사 세관창고철거_24-1(동부)-두능-연곡 도로건설공사 중 기존교량철거" xfId="10258"/>
    <cellStyle name="_내역(02.11.07)강변북로(청담대교-성수대교)확장공사_☆남악2-3공구가실행_8-2(삼성)-김해공항 국제청 화물청사 세관창고철거_견적1" xfId="10259"/>
    <cellStyle name="_내역(02.11.07)강변북로(청담대교-성수대교)확장공사_☆남악2-3공구가실행_8-2(삼성)-김해공항 국제청 화물청사 세관창고철거_견적1_28-3-2 삼환-대한생명 63빌딩 현장 철거공사 (재노경)" xfId="10260"/>
    <cellStyle name="_내역(02.11.07)강변북로(청담대교-성수대교)확장공사_☆남악2-3공구가실행_견적1" xfId="10261"/>
    <cellStyle name="_내역(02.11.07)강변북로(청담대교-성수대교)확장공사_☆남악2-3공구가실행_견적1_28-3-2 삼환-대한생명 63빌딩 현장 철거공사 (재노경)" xfId="10262"/>
    <cellStyle name="_내역(02.11.07)강변북로(청담대교-성수대교)확장공사_☆남악2-3공구가실행_견적서" xfId="10263"/>
    <cellStyle name="_내역(02.11.07)강변북로(청담대교-성수대교)확장공사_☆남악2-3공구가실행_견적서_24-1(동부)-두능-연곡 도로건설공사 중 기존교량철거" xfId="10264"/>
    <cellStyle name="_내역(02.11.07)강변북로(청담대교-성수대교)확장공사_☆남악2-3공구가실행_견적서_견적1" xfId="10265"/>
    <cellStyle name="_내역(02.11.07)강변북로(청담대교-성수대교)확장공사_☆남악2-3공구가실행_견적서_견적1_28-3-2 삼환-대한생명 63빌딩 현장 철거공사 (재노경)" xfId="10266"/>
    <cellStyle name="_내역(02.11.07)강변북로(청담대교-성수대교)확장공사_3-1(금강)-여의도 세우회관 철거공사" xfId="10244"/>
    <cellStyle name="_내역(02.11.07)강변북로(청담대교-성수대교)확장공사_3-1(금강)-여의도 세우회관 철거공사_24-1(동부)-두능-연곡 도로건설공사 중 기존교량철거" xfId="10245"/>
    <cellStyle name="_내역(02.11.07)강변북로(청담대교-성수대교)확장공사_3-1(금강)-여의도 세우회관 철거공사_견적1" xfId="10246"/>
    <cellStyle name="_내역(02.11.07)강변북로(청담대교-성수대교)확장공사_3-1(금강)-여의도 세우회관 철거공사_견적1_28-3-2 삼환-대한생명 63빌딩 현장 철거공사 (재노경)" xfId="10247"/>
    <cellStyle name="_내역(02.11.07)강변북로(청담대교-성수대교)확장공사_8-2(삼성)-김해공항 국제청 화물청사 세관창고철거" xfId="10248"/>
    <cellStyle name="_내역(02.11.07)강변북로(청담대교-성수대교)확장공사_8-2(삼성)-김해공항 국제청 화물청사 세관창고철거_24-1(동부)-두능-연곡 도로건설공사 중 기존교량철거" xfId="10249"/>
    <cellStyle name="_내역(02.11.07)강변북로(청담대교-성수대교)확장공사_8-2(삼성)-김해공항 국제청 화물청사 세관창고철거_견적1" xfId="10250"/>
    <cellStyle name="_내역(02.11.07)강변북로(청담대교-성수대교)확장공사_8-2(삼성)-김해공항 국제청 화물청사 세관창고철거_견적1_28-3-2 삼환-대한생명 63빌딩 현장 철거공사 (재노경)" xfId="10251"/>
    <cellStyle name="_내역(02.11.07)강변북로(청담대교-성수대교)확장공사_견적1" xfId="10267"/>
    <cellStyle name="_내역(02.11.07)강변북로(청담대교-성수대교)확장공사_견적1_28-3-2 삼환-대한생명 63빌딩 현장 철거공사 (재노경)" xfId="10268"/>
    <cellStyle name="_내역(02.11.07)강변북로(청담대교-성수대교)확장공사_견적서" xfId="10269"/>
    <cellStyle name="_내역(02.11.07)강변북로(청담대교-성수대교)확장공사_견적서_24-1(동부)-두능-연곡 도로건설공사 중 기존교량철거" xfId="10270"/>
    <cellStyle name="_내역(02.11.07)강변북로(청담대교-성수대교)확장공사_견적서_견적1" xfId="10271"/>
    <cellStyle name="_내역(02.11.07)강변북로(청담대교-성수대교)확장공사_견적서_견적1_28-3-2 삼환-대한생명 63빌딩 현장 철거공사 (재노경)" xfId="10272"/>
    <cellStyle name="_내역(02.11.27)무안~광주간 건설공사(제2공구)투찰" xfId="10273"/>
    <cellStyle name="_내역(02.11.27)무안~광주간 건설공사(제2공구)투찰_☆남악2-3공구가실행" xfId="10282"/>
    <cellStyle name="_내역(02.11.27)무안~광주간 건설공사(제2공구)투찰_☆남악2-3공구가실행_3-1(금강)-여의도 세우회관 철거공사" xfId="10283"/>
    <cellStyle name="_내역(02.11.27)무안~광주간 건설공사(제2공구)투찰_☆남악2-3공구가실행_3-1(금강)-여의도 세우회관 철거공사_24-1(동부)-두능-연곡 도로건설공사 중 기존교량철거" xfId="10284"/>
    <cellStyle name="_내역(02.11.27)무안~광주간 건설공사(제2공구)투찰_☆남악2-3공구가실행_3-1(금강)-여의도 세우회관 철거공사_견적1" xfId="10285"/>
    <cellStyle name="_내역(02.11.27)무안~광주간 건설공사(제2공구)투찰_☆남악2-3공구가실행_3-1(금강)-여의도 세우회관 철거공사_견적1_28-3-2 삼환-대한생명 63빌딩 현장 철거공사 (재노경)" xfId="10286"/>
    <cellStyle name="_내역(02.11.27)무안~광주간 건설공사(제2공구)투찰_☆남악2-3공구가실행_8-2(삼성)-김해공항 국제청 화물청사 세관창고철거" xfId="10287"/>
    <cellStyle name="_내역(02.11.27)무안~광주간 건설공사(제2공구)투찰_☆남악2-3공구가실행_8-2(삼성)-김해공항 국제청 화물청사 세관창고철거_24-1(동부)-두능-연곡 도로건설공사 중 기존교량철거" xfId="10288"/>
    <cellStyle name="_내역(02.11.27)무안~광주간 건설공사(제2공구)투찰_☆남악2-3공구가실행_8-2(삼성)-김해공항 국제청 화물청사 세관창고철거_견적1" xfId="10289"/>
    <cellStyle name="_내역(02.11.27)무안~광주간 건설공사(제2공구)투찰_☆남악2-3공구가실행_8-2(삼성)-김해공항 국제청 화물청사 세관창고철거_견적1_28-3-2 삼환-대한생명 63빌딩 현장 철거공사 (재노경)" xfId="10290"/>
    <cellStyle name="_내역(02.11.27)무안~광주간 건설공사(제2공구)투찰_☆남악2-3공구가실행_견적1" xfId="10291"/>
    <cellStyle name="_내역(02.11.27)무안~광주간 건설공사(제2공구)투찰_☆남악2-3공구가실행_견적1_28-3-2 삼환-대한생명 63빌딩 현장 철거공사 (재노경)" xfId="10292"/>
    <cellStyle name="_내역(02.11.27)무안~광주간 건설공사(제2공구)투찰_☆남악2-3공구가실행_견적서" xfId="10293"/>
    <cellStyle name="_내역(02.11.27)무안~광주간 건설공사(제2공구)투찰_☆남악2-3공구가실행_견적서_24-1(동부)-두능-연곡 도로건설공사 중 기존교량철거" xfId="10294"/>
    <cellStyle name="_내역(02.11.27)무안~광주간 건설공사(제2공구)투찰_☆남악2-3공구가실행_견적서_견적1" xfId="10295"/>
    <cellStyle name="_내역(02.11.27)무안~광주간 건설공사(제2공구)투찰_☆남악2-3공구가실행_견적서_견적1_28-3-2 삼환-대한생명 63빌딩 현장 철거공사 (재노경)" xfId="10296"/>
    <cellStyle name="_내역(02.11.27)무안~광주간 건설공사(제2공구)투찰_3-1(금강)-여의도 세우회관 철거공사" xfId="10274"/>
    <cellStyle name="_내역(02.11.27)무안~광주간 건설공사(제2공구)투찰_3-1(금강)-여의도 세우회관 철거공사_24-1(동부)-두능-연곡 도로건설공사 중 기존교량철거" xfId="10275"/>
    <cellStyle name="_내역(02.11.27)무안~광주간 건설공사(제2공구)투찰_3-1(금강)-여의도 세우회관 철거공사_견적1" xfId="10276"/>
    <cellStyle name="_내역(02.11.27)무안~광주간 건설공사(제2공구)투찰_3-1(금강)-여의도 세우회관 철거공사_견적1_28-3-2 삼환-대한생명 63빌딩 현장 철거공사 (재노경)" xfId="10277"/>
    <cellStyle name="_내역(02.11.27)무안~광주간 건설공사(제2공구)투찰_8-2(삼성)-김해공항 국제청 화물청사 세관창고철거" xfId="10278"/>
    <cellStyle name="_내역(02.11.27)무안~광주간 건설공사(제2공구)투찰_8-2(삼성)-김해공항 국제청 화물청사 세관창고철거_24-1(동부)-두능-연곡 도로건설공사 중 기존교량철거" xfId="10279"/>
    <cellStyle name="_내역(02.11.27)무안~광주간 건설공사(제2공구)투찰_8-2(삼성)-김해공항 국제청 화물청사 세관창고철거_견적1" xfId="10280"/>
    <cellStyle name="_내역(02.11.27)무안~광주간 건설공사(제2공구)투찰_8-2(삼성)-김해공항 국제청 화물청사 세관창고철거_견적1_28-3-2 삼환-대한생명 63빌딩 현장 철거공사 (재노경)" xfId="10281"/>
    <cellStyle name="_내역(02.11.27)무안~광주간 건설공사(제2공구)투찰_견적1" xfId="10297"/>
    <cellStyle name="_내역(02.11.27)무안~광주간 건설공사(제2공구)투찰_견적1_28-3-2 삼환-대한생명 63빌딩 현장 철거공사 (재노경)" xfId="10298"/>
    <cellStyle name="_내역(02.11.27)무안~광주간 건설공사(제2공구)투찰_견적서" xfId="10299"/>
    <cellStyle name="_내역(02.11.27)무안~광주간 건설공사(제2공구)투찰_견적서_24-1(동부)-두능-연곡 도로건설공사 중 기존교량철거" xfId="10300"/>
    <cellStyle name="_내역(02.11.27)무안~광주간 건설공사(제2공구)투찰_견적서_견적1" xfId="10301"/>
    <cellStyle name="_내역(02.11.27)무안~광주간 건설공사(제2공구)투찰_견적서_견적1_28-3-2 삼환-대한생명 63빌딩 현장 철거공사 (재노경)" xfId="10302"/>
    <cellStyle name="_내역(991895-7)" xfId="10303"/>
    <cellStyle name="_내역(991895-7) 2" xfId="10304"/>
    <cellStyle name="_내역(991895-7)-01" xfId="10305"/>
    <cellStyle name="_내역(991895-7)-01 2" xfId="10306"/>
    <cellStyle name="_내역(991895-7)-12-3일작업" xfId="10307"/>
    <cellStyle name="_내역(991895-7)-12-3일작업 2" xfId="10308"/>
    <cellStyle name="_내역(복정동4호공영주차장.준공1011)" xfId="10309"/>
    <cellStyle name="_내역(복정동4호공영주차장.준공1011) 2" xfId="10310"/>
    <cellStyle name="_내역서" xfId="10311"/>
    <cellStyle name="_내역서 10" xfId="10312"/>
    <cellStyle name="_내역서 10 2" xfId="10313"/>
    <cellStyle name="_내역서 11" xfId="10314"/>
    <cellStyle name="_내역서 11 2" xfId="10315"/>
    <cellStyle name="_내역서 12" xfId="10316"/>
    <cellStyle name="_내역서 2" xfId="10317"/>
    <cellStyle name="_내역서 2 2" xfId="10318"/>
    <cellStyle name="_내역서 3" xfId="10319"/>
    <cellStyle name="_내역서 3 2" xfId="10320"/>
    <cellStyle name="_내역서 4" xfId="10321"/>
    <cellStyle name="_내역서 4 2" xfId="10322"/>
    <cellStyle name="_내역서 5" xfId="10323"/>
    <cellStyle name="_내역서 5 2" xfId="10324"/>
    <cellStyle name="_내역서 6" xfId="10325"/>
    <cellStyle name="_내역서 6 2" xfId="10326"/>
    <cellStyle name="_내역서 7" xfId="10327"/>
    <cellStyle name="_내역서 7 2" xfId="10328"/>
    <cellStyle name="_내역서 8" xfId="10329"/>
    <cellStyle name="_내역서 8 2" xfId="10330"/>
    <cellStyle name="_내역서 9" xfId="10331"/>
    <cellStyle name="_내역서 9 2" xfId="10332"/>
    <cellStyle name="_내역서(견적)" xfId="10333"/>
    <cellStyle name="_내역서(견적) 2" xfId="10334"/>
    <cellStyle name="_내역서(실행)-A동" xfId="10335"/>
    <cellStyle name="_내역서(실행)-A동 2" xfId="10336"/>
    <cellStyle name="_내역서(자동제어)" xfId="10337"/>
    <cellStyle name="_내역서(자동제어) 2" xfId="10338"/>
    <cellStyle name="_내역서(최초)" xfId="10339"/>
    <cellStyle name="_내역서(최초) 2" xfId="10340"/>
    <cellStyle name="_내역서+개요(월배통신)" xfId="10341"/>
    <cellStyle name="_내역서+개요(월배통신) 2" xfId="10342"/>
    <cellStyle name="_내역서+개요(전기)-6.7(최종)" xfId="10343"/>
    <cellStyle name="_내역서+개요(전기)-6.7(최종) 2" xfId="10344"/>
    <cellStyle name="_내역서+개요(통신)" xfId="10345"/>
    <cellStyle name="_내역서+개요(통신) 2" xfId="10346"/>
    <cellStyle name="_내역서-건축음향" xfId="10347"/>
    <cellStyle name="_내역서-건축음향 2" xfId="10348"/>
    <cellStyle name="_내역서및설계서" xfId="10349"/>
    <cellStyle name="_내역서및설계서 2" xfId="10350"/>
    <cellStyle name="_내역서양식" xfId="10351"/>
    <cellStyle name="_내역서양식 2" xfId="10352"/>
    <cellStyle name="_내역서양식_서울숲교회 02-15" xfId="10353"/>
    <cellStyle name="_내역서양식_서울숲교회 02-15 2" xfId="10354"/>
    <cellStyle name="_내역서양식_서울숲교회01-19" xfId="10355"/>
    <cellStyle name="_내역서양식_서울숲교회01-19 2" xfId="10356"/>
    <cellStyle name="_내역서양식_서울숲교회02-07" xfId="10357"/>
    <cellStyle name="_내역서양식_서울숲교회02-07 2" xfId="10358"/>
    <cellStyle name="_내역서양식_서울숲교회부속실02-07" xfId="10359"/>
    <cellStyle name="_내역서양식_서울숲교회부속실02-07 2" xfId="10360"/>
    <cellStyle name="_내역서양식_서울숲교회부속실영상2-7" xfId="10361"/>
    <cellStyle name="_내역서양식_서울숲교회부속실영상2-7 2" xfId="10362"/>
    <cellStyle name="_내역서양식_효성교회견적계약" xfId="10363"/>
    <cellStyle name="_내역서양식_효성교회견적계약 2" xfId="10364"/>
    <cellStyle name="_내역서최종" xfId="10365"/>
    <cellStyle name="_내역서최종 2" xfId="10366"/>
    <cellStyle name="_내역표지,업체명단" xfId="10367"/>
    <cellStyle name="_내역표지,업체명단 2" xfId="10368"/>
    <cellStyle name="_년도별총원가" xfId="10369"/>
    <cellStyle name="_년도별총원가 2" xfId="10370"/>
    <cellStyle name="_농소투찰(32152)" xfId="10371"/>
    <cellStyle name="_농소투찰(32152) 2" xfId="10372"/>
    <cellStyle name="_농소투찰(32152)_왜관-태평건설" xfId="10373"/>
    <cellStyle name="_농소투찰(32152)_왜관-태평건설 2" xfId="10374"/>
    <cellStyle name="_단가비교" xfId="10375"/>
    <cellStyle name="_단가비교 2" xfId="10376"/>
    <cellStyle name="_단가표" xfId="10377"/>
    <cellStyle name="_단가표 2" xfId="10378"/>
    <cellStyle name="_단계간 CTQ 검토" xfId="10379"/>
    <cellStyle name="_단계간 CTQ 검토 2" xfId="10380"/>
    <cellStyle name="_단위" xfId="10381"/>
    <cellStyle name="_단위 2" xfId="10382"/>
    <cellStyle name="_당동(청강)" xfId="10383"/>
    <cellStyle name="_당동(청강) 2" xfId="10384"/>
    <cellStyle name="_당동(청강디스켓1)" xfId="10385"/>
    <cellStyle name="_당동(청강디스켓1) 2" xfId="10386"/>
    <cellStyle name="_대갑견적" xfId="10387"/>
    <cellStyle name="_대갑견적 2" xfId="10388"/>
    <cellStyle name="_대갑견적1" xfId="10389"/>
    <cellStyle name="_대갑견적1 2" xfId="10390"/>
    <cellStyle name="_대곡이설(투찰)" xfId="10391"/>
    <cellStyle name="_대곡이설(투찰) 2" xfId="10392"/>
    <cellStyle name="_대곡이설(투찰)_1" xfId="10393"/>
    <cellStyle name="_대곡이설(투찰)_1 2" xfId="10394"/>
    <cellStyle name="_대곡이설(투찰)_1_경찰서-터미널간도로(투찰)②" xfId="10395"/>
    <cellStyle name="_대곡이설(투찰)_1_경찰서-터미널간도로(투찰)② 2" xfId="10396"/>
    <cellStyle name="_대곡이설(투찰)_1_경찰서-터미널간도로(투찰)②_마현생창(동양고속)" xfId="10397"/>
    <cellStyle name="_대곡이설(투찰)_1_경찰서-터미널간도로(투찰)②_마현생창(동양고속) 2" xfId="10398"/>
    <cellStyle name="_대곡이설(투찰)_1_경찰서-터미널간도로(투찰)②_마현생창(동양고속)_왜관-태평건설" xfId="10399"/>
    <cellStyle name="_대곡이설(투찰)_1_경찰서-터미널간도로(투찰)②_마현생창(동양고속)_왜관-태평건설 2" xfId="10400"/>
    <cellStyle name="_대곡이설(투찰)_1_경찰서-터미널간도로(투찰)②_왜관-태평건설" xfId="10401"/>
    <cellStyle name="_대곡이설(투찰)_1_경찰서-터미널간도로(투찰)②_왜관-태평건설 2" xfId="10402"/>
    <cellStyle name="_대곡이설(투찰)_1_마현생창(동양고속)" xfId="10403"/>
    <cellStyle name="_대곡이설(투찰)_1_마현생창(동양고속) 2" xfId="10404"/>
    <cellStyle name="_대곡이설(투찰)_1_마현생창(동양고속)_왜관-태평건설" xfId="10405"/>
    <cellStyle name="_대곡이설(투찰)_1_마현생창(동양고속)_왜관-태평건설 2" xfId="10406"/>
    <cellStyle name="_대곡이설(투찰)_1_봉무지방산업단지도로(투찰)②" xfId="10407"/>
    <cellStyle name="_대곡이설(투찰)_1_봉무지방산업단지도로(투찰)② 2" xfId="10408"/>
    <cellStyle name="_대곡이설(투찰)_1_봉무지방산업단지도로(투찰)②_마현생창(동양고속)" xfId="10417"/>
    <cellStyle name="_대곡이설(투찰)_1_봉무지방산업단지도로(투찰)②_마현생창(동양고속) 2" xfId="10418"/>
    <cellStyle name="_대곡이설(투찰)_1_봉무지방산업단지도로(투찰)②_마현생창(동양고속)_왜관-태평건설" xfId="10419"/>
    <cellStyle name="_대곡이설(투찰)_1_봉무지방산업단지도로(투찰)②_마현생창(동양고속)_왜관-태평건설 2" xfId="10420"/>
    <cellStyle name="_대곡이설(투찰)_1_봉무지방산업단지도로(투찰)②_왜관-태평건설" xfId="10421"/>
    <cellStyle name="_대곡이설(투찰)_1_봉무지방산업단지도로(투찰)②_왜관-태평건설 2" xfId="10422"/>
    <cellStyle name="_대곡이설(투찰)_1_봉무지방산업단지도로(투찰)②+0.250%" xfId="10409"/>
    <cellStyle name="_대곡이설(투찰)_1_봉무지방산업단지도로(투찰)②+0.250% 2" xfId="10410"/>
    <cellStyle name="_대곡이설(투찰)_1_봉무지방산업단지도로(투찰)②+0.250%_마현생창(동양고속)" xfId="10411"/>
    <cellStyle name="_대곡이설(투찰)_1_봉무지방산업단지도로(투찰)②+0.250%_마현생창(동양고속) 2" xfId="10412"/>
    <cellStyle name="_대곡이설(투찰)_1_봉무지방산업단지도로(투찰)②+0.250%_마현생창(동양고속)_왜관-태평건설" xfId="10413"/>
    <cellStyle name="_대곡이설(투찰)_1_봉무지방산업단지도로(투찰)②+0.250%_마현생창(동양고속)_왜관-태평건설 2" xfId="10414"/>
    <cellStyle name="_대곡이설(투찰)_1_봉무지방산업단지도로(투찰)②+0.250%_왜관-태평건설" xfId="10415"/>
    <cellStyle name="_대곡이설(투찰)_1_봉무지방산업단지도로(투찰)②+0.250%_왜관-태평건설 2" xfId="10416"/>
    <cellStyle name="_대곡이설(투찰)_1_왜관-태평건설" xfId="10423"/>
    <cellStyle name="_대곡이설(투찰)_1_왜관-태평건설 2" xfId="10424"/>
    <cellStyle name="_대곡이설(투찰)_1_합덕-신례원(2공구)투찰" xfId="10425"/>
    <cellStyle name="_대곡이설(투찰)_1_합덕-신례원(2공구)투찰 2" xfId="10426"/>
    <cellStyle name="_대곡이설(투찰)_1_합덕-신례원(2공구)투찰_경찰서-터미널간도로(투찰)②" xfId="10427"/>
    <cellStyle name="_대곡이설(투찰)_1_합덕-신례원(2공구)투찰_경찰서-터미널간도로(투찰)② 2" xfId="10428"/>
    <cellStyle name="_대곡이설(투찰)_1_합덕-신례원(2공구)투찰_경찰서-터미널간도로(투찰)②_마현생창(동양고속)" xfId="10429"/>
    <cellStyle name="_대곡이설(투찰)_1_합덕-신례원(2공구)투찰_경찰서-터미널간도로(투찰)②_마현생창(동양고속) 2" xfId="10430"/>
    <cellStyle name="_대곡이설(투찰)_1_합덕-신례원(2공구)투찰_경찰서-터미널간도로(투찰)②_마현생창(동양고속)_왜관-태평건설" xfId="10431"/>
    <cellStyle name="_대곡이설(투찰)_1_합덕-신례원(2공구)투찰_경찰서-터미널간도로(투찰)②_마현생창(동양고속)_왜관-태평건설 2" xfId="10432"/>
    <cellStyle name="_대곡이설(투찰)_1_합덕-신례원(2공구)투찰_경찰서-터미널간도로(투찰)②_왜관-태평건설" xfId="10433"/>
    <cellStyle name="_대곡이설(투찰)_1_합덕-신례원(2공구)투찰_경찰서-터미널간도로(투찰)②_왜관-태평건설 2" xfId="10434"/>
    <cellStyle name="_대곡이설(투찰)_1_합덕-신례원(2공구)투찰_마현생창(동양고속)" xfId="10435"/>
    <cellStyle name="_대곡이설(투찰)_1_합덕-신례원(2공구)투찰_마현생창(동양고속) 2" xfId="10436"/>
    <cellStyle name="_대곡이설(투찰)_1_합덕-신례원(2공구)투찰_마현생창(동양고속)_왜관-태평건설" xfId="10437"/>
    <cellStyle name="_대곡이설(투찰)_1_합덕-신례원(2공구)투찰_마현생창(동양고속)_왜관-태평건설 2" xfId="10438"/>
    <cellStyle name="_대곡이설(투찰)_1_합덕-신례원(2공구)투찰_봉무지방산업단지도로(투찰)②" xfId="10439"/>
    <cellStyle name="_대곡이설(투찰)_1_합덕-신례원(2공구)투찰_봉무지방산업단지도로(투찰)② 2" xfId="10440"/>
    <cellStyle name="_대곡이설(투찰)_1_합덕-신례원(2공구)투찰_봉무지방산업단지도로(투찰)②_마현생창(동양고속)" xfId="10449"/>
    <cellStyle name="_대곡이설(투찰)_1_합덕-신례원(2공구)투찰_봉무지방산업단지도로(투찰)②_마현생창(동양고속) 2" xfId="10450"/>
    <cellStyle name="_대곡이설(투찰)_1_합덕-신례원(2공구)투찰_봉무지방산업단지도로(투찰)②_마현생창(동양고속)_왜관-태평건설" xfId="10451"/>
    <cellStyle name="_대곡이설(투찰)_1_합덕-신례원(2공구)투찰_봉무지방산업단지도로(투찰)②_마현생창(동양고속)_왜관-태평건설 2" xfId="10452"/>
    <cellStyle name="_대곡이설(투찰)_1_합덕-신례원(2공구)투찰_봉무지방산업단지도로(투찰)②_왜관-태평건설" xfId="10453"/>
    <cellStyle name="_대곡이설(투찰)_1_합덕-신례원(2공구)투찰_봉무지방산업단지도로(투찰)②_왜관-태평건설 2" xfId="10454"/>
    <cellStyle name="_대곡이설(투찰)_1_합덕-신례원(2공구)투찰_봉무지방산업단지도로(투찰)②+0.250%" xfId="10441"/>
    <cellStyle name="_대곡이설(투찰)_1_합덕-신례원(2공구)투찰_봉무지방산업단지도로(투찰)②+0.250% 2" xfId="10442"/>
    <cellStyle name="_대곡이설(투찰)_1_합덕-신례원(2공구)투찰_봉무지방산업단지도로(투찰)②+0.250%_마현생창(동양고속)" xfId="10443"/>
    <cellStyle name="_대곡이설(투찰)_1_합덕-신례원(2공구)투찰_봉무지방산업단지도로(투찰)②+0.250%_마현생창(동양고속) 2" xfId="10444"/>
    <cellStyle name="_대곡이설(투찰)_1_합덕-신례원(2공구)투찰_봉무지방산업단지도로(투찰)②+0.250%_마현생창(동양고속)_왜관-태평건설" xfId="10445"/>
    <cellStyle name="_대곡이설(투찰)_1_합덕-신례원(2공구)투찰_봉무지방산업단지도로(투찰)②+0.250%_마현생창(동양고속)_왜관-태평건설 2" xfId="10446"/>
    <cellStyle name="_대곡이설(투찰)_1_합덕-신례원(2공구)투찰_봉무지방산업단지도로(투찰)②+0.250%_왜관-태평건설" xfId="10447"/>
    <cellStyle name="_대곡이설(투찰)_1_합덕-신례원(2공구)투찰_봉무지방산업단지도로(투찰)②+0.250%_왜관-태평건설 2" xfId="10448"/>
    <cellStyle name="_대곡이설(투찰)_1_합덕-신례원(2공구)투찰_왜관-태평건설" xfId="10455"/>
    <cellStyle name="_대곡이설(투찰)_1_합덕-신례원(2공구)투찰_왜관-태평건설 2" xfId="10456"/>
    <cellStyle name="_대곡이설(투찰)_1_합덕-신례원(2공구)투찰_합덕-신례원(2공구)투찰" xfId="10457"/>
    <cellStyle name="_대곡이설(투찰)_1_합덕-신례원(2공구)투찰_합덕-신례원(2공구)투찰 2" xfId="10458"/>
    <cellStyle name="_대곡이설(투찰)_1_합덕-신례원(2공구)투찰_합덕-신례원(2공구)투찰_경찰서-터미널간도로(투찰)②" xfId="10459"/>
    <cellStyle name="_대곡이설(투찰)_1_합덕-신례원(2공구)투찰_합덕-신례원(2공구)투찰_경찰서-터미널간도로(투찰)② 2" xfId="10460"/>
    <cellStyle name="_대곡이설(투찰)_1_합덕-신례원(2공구)투찰_합덕-신례원(2공구)투찰_경찰서-터미널간도로(투찰)②_마현생창(동양고속)" xfId="10461"/>
    <cellStyle name="_대곡이설(투찰)_1_합덕-신례원(2공구)투찰_합덕-신례원(2공구)투찰_경찰서-터미널간도로(투찰)②_마현생창(동양고속) 2" xfId="10462"/>
    <cellStyle name="_대곡이설(투찰)_1_합덕-신례원(2공구)투찰_합덕-신례원(2공구)투찰_경찰서-터미널간도로(투찰)②_마현생창(동양고속)_왜관-태평건설" xfId="10463"/>
    <cellStyle name="_대곡이설(투찰)_1_합덕-신례원(2공구)투찰_합덕-신례원(2공구)투찰_경찰서-터미널간도로(투찰)②_마현생창(동양고속)_왜관-태평건설 2" xfId="10464"/>
    <cellStyle name="_대곡이설(투찰)_1_합덕-신례원(2공구)투찰_합덕-신례원(2공구)투찰_경찰서-터미널간도로(투찰)②_왜관-태평건설" xfId="10465"/>
    <cellStyle name="_대곡이설(투찰)_1_합덕-신례원(2공구)투찰_합덕-신례원(2공구)투찰_경찰서-터미널간도로(투찰)②_왜관-태평건설 2" xfId="10466"/>
    <cellStyle name="_대곡이설(투찰)_1_합덕-신례원(2공구)투찰_합덕-신례원(2공구)투찰_마현생창(동양고속)" xfId="10467"/>
    <cellStyle name="_대곡이설(투찰)_1_합덕-신례원(2공구)투찰_합덕-신례원(2공구)투찰_마현생창(동양고속) 2" xfId="10468"/>
    <cellStyle name="_대곡이설(투찰)_1_합덕-신례원(2공구)투찰_합덕-신례원(2공구)투찰_마현생창(동양고속)_왜관-태평건설" xfId="10469"/>
    <cellStyle name="_대곡이설(투찰)_1_합덕-신례원(2공구)투찰_합덕-신례원(2공구)투찰_마현생창(동양고속)_왜관-태평건설 2" xfId="10470"/>
    <cellStyle name="_대곡이설(투찰)_1_합덕-신례원(2공구)투찰_합덕-신례원(2공구)투찰_봉무지방산업단지도로(투찰)②" xfId="10471"/>
    <cellStyle name="_대곡이설(투찰)_1_합덕-신례원(2공구)투찰_합덕-신례원(2공구)투찰_봉무지방산업단지도로(투찰)② 2" xfId="10472"/>
    <cellStyle name="_대곡이설(투찰)_1_합덕-신례원(2공구)투찰_합덕-신례원(2공구)투찰_봉무지방산업단지도로(투찰)②_마현생창(동양고속)" xfId="10481"/>
    <cellStyle name="_대곡이설(투찰)_1_합덕-신례원(2공구)투찰_합덕-신례원(2공구)투찰_봉무지방산업단지도로(투찰)②_마현생창(동양고속) 2" xfId="10482"/>
    <cellStyle name="_대곡이설(투찰)_1_합덕-신례원(2공구)투찰_합덕-신례원(2공구)투찰_봉무지방산업단지도로(투찰)②_마현생창(동양고속)_왜관-태평건설" xfId="10483"/>
    <cellStyle name="_대곡이설(투찰)_1_합덕-신례원(2공구)투찰_합덕-신례원(2공구)투찰_봉무지방산업단지도로(투찰)②_마현생창(동양고속)_왜관-태평건설 2" xfId="10484"/>
    <cellStyle name="_대곡이설(투찰)_1_합덕-신례원(2공구)투찰_합덕-신례원(2공구)투찰_봉무지방산업단지도로(투찰)②_왜관-태평건설" xfId="10485"/>
    <cellStyle name="_대곡이설(투찰)_1_합덕-신례원(2공구)투찰_합덕-신례원(2공구)투찰_봉무지방산업단지도로(투찰)②_왜관-태평건설 2" xfId="10486"/>
    <cellStyle name="_대곡이설(투찰)_1_합덕-신례원(2공구)투찰_합덕-신례원(2공구)투찰_봉무지방산업단지도로(투찰)②+0.250%" xfId="10473"/>
    <cellStyle name="_대곡이설(투찰)_1_합덕-신례원(2공구)투찰_합덕-신례원(2공구)투찰_봉무지방산업단지도로(투찰)②+0.250% 2" xfId="10474"/>
    <cellStyle name="_대곡이설(투찰)_1_합덕-신례원(2공구)투찰_합덕-신례원(2공구)투찰_봉무지방산업단지도로(투찰)②+0.250%_마현생창(동양고속)" xfId="10475"/>
    <cellStyle name="_대곡이설(투찰)_1_합덕-신례원(2공구)투찰_합덕-신례원(2공구)투찰_봉무지방산업단지도로(투찰)②+0.250%_마현생창(동양고속) 2" xfId="10476"/>
    <cellStyle name="_대곡이설(투찰)_1_합덕-신례원(2공구)투찰_합덕-신례원(2공구)투찰_봉무지방산업단지도로(투찰)②+0.250%_마현생창(동양고속)_왜관-태평건설" xfId="10477"/>
    <cellStyle name="_대곡이설(투찰)_1_합덕-신례원(2공구)투찰_합덕-신례원(2공구)투찰_봉무지방산업단지도로(투찰)②+0.250%_마현생창(동양고속)_왜관-태평건설 2" xfId="10478"/>
    <cellStyle name="_대곡이설(투찰)_1_합덕-신례원(2공구)투찰_합덕-신례원(2공구)투찰_봉무지방산업단지도로(투찰)②+0.250%_왜관-태평건설" xfId="10479"/>
    <cellStyle name="_대곡이설(투찰)_1_합덕-신례원(2공구)투찰_합덕-신례원(2공구)투찰_봉무지방산업단지도로(투찰)②+0.250%_왜관-태평건설 2" xfId="10480"/>
    <cellStyle name="_대곡이설(투찰)_1_합덕-신례원(2공구)투찰_합덕-신례원(2공구)투찰_왜관-태평건설" xfId="10487"/>
    <cellStyle name="_대곡이설(투찰)_1_합덕-신례원(2공구)투찰_합덕-신례원(2공구)투찰_왜관-태평건설 2" xfId="10488"/>
    <cellStyle name="_대곡이설(투찰)_경찰서-터미널간도로(투찰)②" xfId="10489"/>
    <cellStyle name="_대곡이설(투찰)_경찰서-터미널간도로(투찰)② 2" xfId="10490"/>
    <cellStyle name="_대곡이설(투찰)_경찰서-터미널간도로(투찰)②_마현생창(동양고속)" xfId="10491"/>
    <cellStyle name="_대곡이설(투찰)_경찰서-터미널간도로(투찰)②_마현생창(동양고속) 2" xfId="10492"/>
    <cellStyle name="_대곡이설(투찰)_경찰서-터미널간도로(투찰)②_마현생창(동양고속)_왜관-태평건설" xfId="10493"/>
    <cellStyle name="_대곡이설(투찰)_경찰서-터미널간도로(투찰)②_마현생창(동양고속)_왜관-태평건설 2" xfId="10494"/>
    <cellStyle name="_대곡이설(투찰)_경찰서-터미널간도로(투찰)②_왜관-태평건설" xfId="10495"/>
    <cellStyle name="_대곡이설(투찰)_경찰서-터미널간도로(투찰)②_왜관-태평건설 2" xfId="10496"/>
    <cellStyle name="_대곡이설(투찰)_도덕-고흥도로(투찰)" xfId="10497"/>
    <cellStyle name="_대곡이설(투찰)_도덕-고흥도로(투찰) 2" xfId="10498"/>
    <cellStyle name="_대곡이설(투찰)_도덕-고흥도로(투찰)_경찰서-터미널간도로(투찰)②" xfId="10499"/>
    <cellStyle name="_대곡이설(투찰)_도덕-고흥도로(투찰)_경찰서-터미널간도로(투찰)② 2" xfId="10500"/>
    <cellStyle name="_대곡이설(투찰)_도덕-고흥도로(투찰)_경찰서-터미널간도로(투찰)②_마현생창(동양고속)" xfId="10501"/>
    <cellStyle name="_대곡이설(투찰)_도덕-고흥도로(투찰)_경찰서-터미널간도로(투찰)②_마현생창(동양고속) 2" xfId="10502"/>
    <cellStyle name="_대곡이설(투찰)_도덕-고흥도로(투찰)_경찰서-터미널간도로(투찰)②_마현생창(동양고속)_왜관-태평건설" xfId="10503"/>
    <cellStyle name="_대곡이설(투찰)_도덕-고흥도로(투찰)_경찰서-터미널간도로(투찰)②_마현생창(동양고속)_왜관-태평건설 2" xfId="10504"/>
    <cellStyle name="_대곡이설(투찰)_도덕-고흥도로(투찰)_경찰서-터미널간도로(투찰)②_왜관-태평건설" xfId="10505"/>
    <cellStyle name="_대곡이설(투찰)_도덕-고흥도로(투찰)_경찰서-터미널간도로(투찰)②_왜관-태평건설 2" xfId="10506"/>
    <cellStyle name="_대곡이설(투찰)_도덕-고흥도로(투찰)_마현생창(동양고속)" xfId="10507"/>
    <cellStyle name="_대곡이설(투찰)_도덕-고흥도로(투찰)_마현생창(동양고속) 2" xfId="10508"/>
    <cellStyle name="_대곡이설(투찰)_도덕-고흥도로(투찰)_마현생창(동양고속)_왜관-태평건설" xfId="10509"/>
    <cellStyle name="_대곡이설(투찰)_도덕-고흥도로(투찰)_마현생창(동양고속)_왜관-태평건설 2" xfId="10510"/>
    <cellStyle name="_대곡이설(투찰)_도덕-고흥도로(투찰)_봉무지방산업단지도로(투찰)②" xfId="10511"/>
    <cellStyle name="_대곡이설(투찰)_도덕-고흥도로(투찰)_봉무지방산업단지도로(투찰)② 2" xfId="10512"/>
    <cellStyle name="_대곡이설(투찰)_도덕-고흥도로(투찰)_봉무지방산업단지도로(투찰)②_마현생창(동양고속)" xfId="10521"/>
    <cellStyle name="_대곡이설(투찰)_도덕-고흥도로(투찰)_봉무지방산업단지도로(투찰)②_마현생창(동양고속) 2" xfId="10522"/>
    <cellStyle name="_대곡이설(투찰)_도덕-고흥도로(투찰)_봉무지방산업단지도로(투찰)②_마현생창(동양고속)_왜관-태평건설" xfId="10523"/>
    <cellStyle name="_대곡이설(투찰)_도덕-고흥도로(투찰)_봉무지방산업단지도로(투찰)②_마현생창(동양고속)_왜관-태평건설 2" xfId="10524"/>
    <cellStyle name="_대곡이설(투찰)_도덕-고흥도로(투찰)_봉무지방산업단지도로(투찰)②_왜관-태평건설" xfId="10525"/>
    <cellStyle name="_대곡이설(투찰)_도덕-고흥도로(투찰)_봉무지방산업단지도로(투찰)②_왜관-태평건설 2" xfId="10526"/>
    <cellStyle name="_대곡이설(투찰)_도덕-고흥도로(투찰)_봉무지방산업단지도로(투찰)②+0.250%" xfId="10513"/>
    <cellStyle name="_대곡이설(투찰)_도덕-고흥도로(투찰)_봉무지방산업단지도로(투찰)②+0.250% 2" xfId="10514"/>
    <cellStyle name="_대곡이설(투찰)_도덕-고흥도로(투찰)_봉무지방산업단지도로(투찰)②+0.250%_마현생창(동양고속)" xfId="10515"/>
    <cellStyle name="_대곡이설(투찰)_도덕-고흥도로(투찰)_봉무지방산업단지도로(투찰)②+0.250%_마현생창(동양고속) 2" xfId="10516"/>
    <cellStyle name="_대곡이설(투찰)_도덕-고흥도로(투찰)_봉무지방산업단지도로(투찰)②+0.250%_마현생창(동양고속)_왜관-태평건설" xfId="10517"/>
    <cellStyle name="_대곡이설(투찰)_도덕-고흥도로(투찰)_봉무지방산업단지도로(투찰)②+0.250%_마현생창(동양고속)_왜관-태평건설 2" xfId="10518"/>
    <cellStyle name="_대곡이설(투찰)_도덕-고흥도로(투찰)_봉무지방산업단지도로(투찰)②+0.250%_왜관-태평건설" xfId="10519"/>
    <cellStyle name="_대곡이설(투찰)_도덕-고흥도로(투찰)_봉무지방산업단지도로(투찰)②+0.250%_왜관-태평건설 2" xfId="10520"/>
    <cellStyle name="_대곡이설(투찰)_도덕-고흥도로(투찰)_왜관-태평건설" xfId="10527"/>
    <cellStyle name="_대곡이설(투찰)_도덕-고흥도로(투찰)_왜관-태평건설 2" xfId="10528"/>
    <cellStyle name="_대곡이설(투찰)_도덕-고흥도로(투찰)_합덕-신례원(2공구)투찰" xfId="10529"/>
    <cellStyle name="_대곡이설(투찰)_도덕-고흥도로(투찰)_합덕-신례원(2공구)투찰 2" xfId="10530"/>
    <cellStyle name="_대곡이설(투찰)_도덕-고흥도로(투찰)_합덕-신례원(2공구)투찰_경찰서-터미널간도로(투찰)②" xfId="10531"/>
    <cellStyle name="_대곡이설(투찰)_도덕-고흥도로(투찰)_합덕-신례원(2공구)투찰_경찰서-터미널간도로(투찰)② 2" xfId="10532"/>
    <cellStyle name="_대곡이설(투찰)_도덕-고흥도로(투찰)_합덕-신례원(2공구)투찰_경찰서-터미널간도로(투찰)②_마현생창(동양고속)" xfId="10533"/>
    <cellStyle name="_대곡이설(투찰)_도덕-고흥도로(투찰)_합덕-신례원(2공구)투찰_경찰서-터미널간도로(투찰)②_마현생창(동양고속) 2" xfId="10534"/>
    <cellStyle name="_대곡이설(투찰)_도덕-고흥도로(투찰)_합덕-신례원(2공구)투찰_경찰서-터미널간도로(투찰)②_마현생창(동양고속)_왜관-태평건설" xfId="10535"/>
    <cellStyle name="_대곡이설(투찰)_도덕-고흥도로(투찰)_합덕-신례원(2공구)투찰_경찰서-터미널간도로(투찰)②_마현생창(동양고속)_왜관-태평건설 2" xfId="10536"/>
    <cellStyle name="_대곡이설(투찰)_도덕-고흥도로(투찰)_합덕-신례원(2공구)투찰_경찰서-터미널간도로(투찰)②_왜관-태평건설" xfId="10537"/>
    <cellStyle name="_대곡이설(투찰)_도덕-고흥도로(투찰)_합덕-신례원(2공구)투찰_경찰서-터미널간도로(투찰)②_왜관-태평건설 2" xfId="10538"/>
    <cellStyle name="_대곡이설(투찰)_도덕-고흥도로(투찰)_합덕-신례원(2공구)투찰_마현생창(동양고속)" xfId="10539"/>
    <cellStyle name="_대곡이설(투찰)_도덕-고흥도로(투찰)_합덕-신례원(2공구)투찰_마현생창(동양고속) 2" xfId="10540"/>
    <cellStyle name="_대곡이설(투찰)_도덕-고흥도로(투찰)_합덕-신례원(2공구)투찰_마현생창(동양고속)_왜관-태평건설" xfId="10541"/>
    <cellStyle name="_대곡이설(투찰)_도덕-고흥도로(투찰)_합덕-신례원(2공구)투찰_마현생창(동양고속)_왜관-태평건설 2" xfId="10542"/>
    <cellStyle name="_대곡이설(투찰)_도덕-고흥도로(투찰)_합덕-신례원(2공구)투찰_봉무지방산업단지도로(투찰)②" xfId="10543"/>
    <cellStyle name="_대곡이설(투찰)_도덕-고흥도로(투찰)_합덕-신례원(2공구)투찰_봉무지방산업단지도로(투찰)② 2" xfId="10544"/>
    <cellStyle name="_대곡이설(투찰)_도덕-고흥도로(투찰)_합덕-신례원(2공구)투찰_봉무지방산업단지도로(투찰)②_마현생창(동양고속)" xfId="10553"/>
    <cellStyle name="_대곡이설(투찰)_도덕-고흥도로(투찰)_합덕-신례원(2공구)투찰_봉무지방산업단지도로(투찰)②_마현생창(동양고속) 2" xfId="10554"/>
    <cellStyle name="_대곡이설(투찰)_도덕-고흥도로(투찰)_합덕-신례원(2공구)투찰_봉무지방산업단지도로(투찰)②_마현생창(동양고속)_왜관-태평건설" xfId="10555"/>
    <cellStyle name="_대곡이설(투찰)_도덕-고흥도로(투찰)_합덕-신례원(2공구)투찰_봉무지방산업단지도로(투찰)②_마현생창(동양고속)_왜관-태평건설 2" xfId="10556"/>
    <cellStyle name="_대곡이설(투찰)_도덕-고흥도로(투찰)_합덕-신례원(2공구)투찰_봉무지방산업단지도로(투찰)②_왜관-태평건설" xfId="10557"/>
    <cellStyle name="_대곡이설(투찰)_도덕-고흥도로(투찰)_합덕-신례원(2공구)투찰_봉무지방산업단지도로(투찰)②_왜관-태평건설 2" xfId="10558"/>
    <cellStyle name="_대곡이설(투찰)_도덕-고흥도로(투찰)_합덕-신례원(2공구)투찰_봉무지방산업단지도로(투찰)②+0.250%" xfId="10545"/>
    <cellStyle name="_대곡이설(투찰)_도덕-고흥도로(투찰)_합덕-신례원(2공구)투찰_봉무지방산업단지도로(투찰)②+0.250% 2" xfId="10546"/>
    <cellStyle name="_대곡이설(투찰)_도덕-고흥도로(투찰)_합덕-신례원(2공구)투찰_봉무지방산업단지도로(투찰)②+0.250%_마현생창(동양고속)" xfId="10547"/>
    <cellStyle name="_대곡이설(투찰)_도덕-고흥도로(투찰)_합덕-신례원(2공구)투찰_봉무지방산업단지도로(투찰)②+0.250%_마현생창(동양고속) 2" xfId="10548"/>
    <cellStyle name="_대곡이설(투찰)_도덕-고흥도로(투찰)_합덕-신례원(2공구)투찰_봉무지방산업단지도로(투찰)②+0.250%_마현생창(동양고속)_왜관-태평건설" xfId="10549"/>
    <cellStyle name="_대곡이설(투찰)_도덕-고흥도로(투찰)_합덕-신례원(2공구)투찰_봉무지방산업단지도로(투찰)②+0.250%_마현생창(동양고속)_왜관-태평건설 2" xfId="10550"/>
    <cellStyle name="_대곡이설(투찰)_도덕-고흥도로(투찰)_합덕-신례원(2공구)투찰_봉무지방산업단지도로(투찰)②+0.250%_왜관-태평건설" xfId="10551"/>
    <cellStyle name="_대곡이설(투찰)_도덕-고흥도로(투찰)_합덕-신례원(2공구)투찰_봉무지방산업단지도로(투찰)②+0.250%_왜관-태평건설 2" xfId="10552"/>
    <cellStyle name="_대곡이설(투찰)_도덕-고흥도로(투찰)_합덕-신례원(2공구)투찰_왜관-태평건설" xfId="10559"/>
    <cellStyle name="_대곡이설(투찰)_도덕-고흥도로(투찰)_합덕-신례원(2공구)투찰_왜관-태평건설 2" xfId="10560"/>
    <cellStyle name="_대곡이설(투찰)_도덕-고흥도로(투찰)_합덕-신례원(2공구)투찰_합덕-신례원(2공구)투찰" xfId="10561"/>
    <cellStyle name="_대곡이설(투찰)_도덕-고흥도로(투찰)_합덕-신례원(2공구)투찰_합덕-신례원(2공구)투찰 2" xfId="10562"/>
    <cellStyle name="_대곡이설(투찰)_도덕-고흥도로(투찰)_합덕-신례원(2공구)투찰_합덕-신례원(2공구)투찰_경찰서-터미널간도로(투찰)②" xfId="10563"/>
    <cellStyle name="_대곡이설(투찰)_도덕-고흥도로(투찰)_합덕-신례원(2공구)투찰_합덕-신례원(2공구)투찰_경찰서-터미널간도로(투찰)② 2" xfId="10564"/>
    <cellStyle name="_대곡이설(투찰)_도덕-고흥도로(투찰)_합덕-신례원(2공구)투찰_합덕-신례원(2공구)투찰_경찰서-터미널간도로(투찰)②_마현생창(동양고속)" xfId="10565"/>
    <cellStyle name="_대곡이설(투찰)_도덕-고흥도로(투찰)_합덕-신례원(2공구)투찰_합덕-신례원(2공구)투찰_경찰서-터미널간도로(투찰)②_마현생창(동양고속) 2" xfId="10566"/>
    <cellStyle name="_대곡이설(투찰)_도덕-고흥도로(투찰)_합덕-신례원(2공구)투찰_합덕-신례원(2공구)투찰_경찰서-터미널간도로(투찰)②_마현생창(동양고속)_왜관-태평건설" xfId="10567"/>
    <cellStyle name="_대곡이설(투찰)_도덕-고흥도로(투찰)_합덕-신례원(2공구)투찰_합덕-신례원(2공구)투찰_경찰서-터미널간도로(투찰)②_마현생창(동양고속)_왜관-태평건설 2" xfId="10568"/>
    <cellStyle name="_대곡이설(투찰)_도덕-고흥도로(투찰)_합덕-신례원(2공구)투찰_합덕-신례원(2공구)투찰_경찰서-터미널간도로(투찰)②_왜관-태평건설" xfId="10569"/>
    <cellStyle name="_대곡이설(투찰)_도덕-고흥도로(투찰)_합덕-신례원(2공구)투찰_합덕-신례원(2공구)투찰_경찰서-터미널간도로(투찰)②_왜관-태평건설 2" xfId="10570"/>
    <cellStyle name="_대곡이설(투찰)_도덕-고흥도로(투찰)_합덕-신례원(2공구)투찰_합덕-신례원(2공구)투찰_마현생창(동양고속)" xfId="10571"/>
    <cellStyle name="_대곡이설(투찰)_도덕-고흥도로(투찰)_합덕-신례원(2공구)투찰_합덕-신례원(2공구)투찰_마현생창(동양고속) 2" xfId="10572"/>
    <cellStyle name="_대곡이설(투찰)_도덕-고흥도로(투찰)_합덕-신례원(2공구)투찰_합덕-신례원(2공구)투찰_마현생창(동양고속)_왜관-태평건설" xfId="10573"/>
    <cellStyle name="_대곡이설(투찰)_도덕-고흥도로(투찰)_합덕-신례원(2공구)투찰_합덕-신례원(2공구)투찰_마현생창(동양고속)_왜관-태평건설 2" xfId="10574"/>
    <cellStyle name="_대곡이설(투찰)_도덕-고흥도로(투찰)_합덕-신례원(2공구)투찰_합덕-신례원(2공구)투찰_봉무지방산업단지도로(투찰)②" xfId="10575"/>
    <cellStyle name="_대곡이설(투찰)_도덕-고흥도로(투찰)_합덕-신례원(2공구)투찰_합덕-신례원(2공구)투찰_봉무지방산업단지도로(투찰)② 2" xfId="10576"/>
    <cellStyle name="_대곡이설(투찰)_도덕-고흥도로(투찰)_합덕-신례원(2공구)투찰_합덕-신례원(2공구)투찰_봉무지방산업단지도로(투찰)②_마현생창(동양고속)" xfId="10585"/>
    <cellStyle name="_대곡이설(투찰)_도덕-고흥도로(투찰)_합덕-신례원(2공구)투찰_합덕-신례원(2공구)투찰_봉무지방산업단지도로(투찰)②_마현생창(동양고속) 2" xfId="10586"/>
    <cellStyle name="_대곡이설(투찰)_도덕-고흥도로(투찰)_합덕-신례원(2공구)투찰_합덕-신례원(2공구)투찰_봉무지방산업단지도로(투찰)②_마현생창(동양고속)_왜관-태평건설" xfId="10587"/>
    <cellStyle name="_대곡이설(투찰)_도덕-고흥도로(투찰)_합덕-신례원(2공구)투찰_합덕-신례원(2공구)투찰_봉무지방산업단지도로(투찰)②_마현생창(동양고속)_왜관-태평건설 2" xfId="10588"/>
    <cellStyle name="_대곡이설(투찰)_도덕-고흥도로(투찰)_합덕-신례원(2공구)투찰_합덕-신례원(2공구)투찰_봉무지방산업단지도로(투찰)②_왜관-태평건설" xfId="10589"/>
    <cellStyle name="_대곡이설(투찰)_도덕-고흥도로(투찰)_합덕-신례원(2공구)투찰_합덕-신례원(2공구)투찰_봉무지방산업단지도로(투찰)②_왜관-태평건설 2" xfId="10590"/>
    <cellStyle name="_대곡이설(투찰)_도덕-고흥도로(투찰)_합덕-신례원(2공구)투찰_합덕-신례원(2공구)투찰_봉무지방산업단지도로(투찰)②+0.250%" xfId="10577"/>
    <cellStyle name="_대곡이설(투찰)_도덕-고흥도로(투찰)_합덕-신례원(2공구)투찰_합덕-신례원(2공구)투찰_봉무지방산업단지도로(투찰)②+0.250% 2" xfId="10578"/>
    <cellStyle name="_대곡이설(투찰)_도덕-고흥도로(투찰)_합덕-신례원(2공구)투찰_합덕-신례원(2공구)투찰_봉무지방산업단지도로(투찰)②+0.250%_마현생창(동양고속)" xfId="10579"/>
    <cellStyle name="_대곡이설(투찰)_도덕-고흥도로(투찰)_합덕-신례원(2공구)투찰_합덕-신례원(2공구)투찰_봉무지방산업단지도로(투찰)②+0.250%_마현생창(동양고속) 2" xfId="10580"/>
    <cellStyle name="_대곡이설(투찰)_도덕-고흥도로(투찰)_합덕-신례원(2공구)투찰_합덕-신례원(2공구)투찰_봉무지방산업단지도로(투찰)②+0.250%_마현생창(동양고속)_왜관-태평건설" xfId="10581"/>
    <cellStyle name="_대곡이설(투찰)_도덕-고흥도로(투찰)_합덕-신례원(2공구)투찰_합덕-신례원(2공구)투찰_봉무지방산업단지도로(투찰)②+0.250%_마현생창(동양고속)_왜관-태평건설 2" xfId="10582"/>
    <cellStyle name="_대곡이설(투찰)_도덕-고흥도로(투찰)_합덕-신례원(2공구)투찰_합덕-신례원(2공구)투찰_봉무지방산업단지도로(투찰)②+0.250%_왜관-태평건설" xfId="10583"/>
    <cellStyle name="_대곡이설(투찰)_도덕-고흥도로(투찰)_합덕-신례원(2공구)투찰_합덕-신례원(2공구)투찰_봉무지방산업단지도로(투찰)②+0.250%_왜관-태평건설 2" xfId="10584"/>
    <cellStyle name="_대곡이설(투찰)_도덕-고흥도로(투찰)_합덕-신례원(2공구)투찰_합덕-신례원(2공구)투찰_왜관-태평건설" xfId="10591"/>
    <cellStyle name="_대곡이설(투찰)_도덕-고흥도로(투찰)_합덕-신례원(2공구)투찰_합덕-신례원(2공구)투찰_왜관-태평건설 2" xfId="10592"/>
    <cellStyle name="_대곡이설(투찰)_마현생창(동양고속)" xfId="10593"/>
    <cellStyle name="_대곡이설(투찰)_마현생창(동양고속) 2" xfId="10594"/>
    <cellStyle name="_대곡이설(투찰)_마현생창(동양고속)_왜관-태평건설" xfId="10595"/>
    <cellStyle name="_대곡이설(투찰)_마현생창(동양고속)_왜관-태평건설 2" xfId="10596"/>
    <cellStyle name="_대곡이설(투찰)_봉무지방산업단지도로(투찰)②" xfId="10597"/>
    <cellStyle name="_대곡이설(투찰)_봉무지방산업단지도로(투찰)② 2" xfId="10598"/>
    <cellStyle name="_대곡이설(투찰)_봉무지방산업단지도로(투찰)②_마현생창(동양고속)" xfId="10607"/>
    <cellStyle name="_대곡이설(투찰)_봉무지방산업단지도로(투찰)②_마현생창(동양고속) 2" xfId="10608"/>
    <cellStyle name="_대곡이설(투찰)_봉무지방산업단지도로(투찰)②_마현생창(동양고속)_왜관-태평건설" xfId="10609"/>
    <cellStyle name="_대곡이설(투찰)_봉무지방산업단지도로(투찰)②_마현생창(동양고속)_왜관-태평건설 2" xfId="10610"/>
    <cellStyle name="_대곡이설(투찰)_봉무지방산업단지도로(투찰)②_왜관-태평건설" xfId="10611"/>
    <cellStyle name="_대곡이설(투찰)_봉무지방산업단지도로(투찰)②_왜관-태평건설 2" xfId="10612"/>
    <cellStyle name="_대곡이설(투찰)_봉무지방산업단지도로(투찰)②+0.250%" xfId="10599"/>
    <cellStyle name="_대곡이설(투찰)_봉무지방산업단지도로(투찰)②+0.250% 2" xfId="10600"/>
    <cellStyle name="_대곡이설(투찰)_봉무지방산업단지도로(투찰)②+0.250%_마현생창(동양고속)" xfId="10601"/>
    <cellStyle name="_대곡이설(투찰)_봉무지방산업단지도로(투찰)②+0.250%_마현생창(동양고속) 2" xfId="10602"/>
    <cellStyle name="_대곡이설(투찰)_봉무지방산업단지도로(투찰)②+0.250%_마현생창(동양고속)_왜관-태평건설" xfId="10603"/>
    <cellStyle name="_대곡이설(투찰)_봉무지방산업단지도로(투찰)②+0.250%_마현생창(동양고속)_왜관-태평건설 2" xfId="10604"/>
    <cellStyle name="_대곡이설(투찰)_봉무지방산업단지도로(투찰)②+0.250%_왜관-태평건설" xfId="10605"/>
    <cellStyle name="_대곡이설(투찰)_봉무지방산업단지도로(투찰)②+0.250%_왜관-태평건설 2" xfId="10606"/>
    <cellStyle name="_대곡이설(투찰)_안산부대(투찰)⑤" xfId="10613"/>
    <cellStyle name="_대곡이설(투찰)_안산부대(투찰)⑤ 2" xfId="10614"/>
    <cellStyle name="_대곡이설(투찰)_안산부대(투찰)⑤_경찰서-터미널간도로(투찰)②" xfId="10615"/>
    <cellStyle name="_대곡이설(투찰)_안산부대(투찰)⑤_경찰서-터미널간도로(투찰)② 2" xfId="10616"/>
    <cellStyle name="_대곡이설(투찰)_안산부대(투찰)⑤_경찰서-터미널간도로(투찰)②_마현생창(동양고속)" xfId="10617"/>
    <cellStyle name="_대곡이설(투찰)_안산부대(투찰)⑤_경찰서-터미널간도로(투찰)②_마현생창(동양고속) 2" xfId="10618"/>
    <cellStyle name="_대곡이설(투찰)_안산부대(투찰)⑤_경찰서-터미널간도로(투찰)②_마현생창(동양고속)_왜관-태평건설" xfId="10619"/>
    <cellStyle name="_대곡이설(투찰)_안산부대(투찰)⑤_경찰서-터미널간도로(투찰)②_마현생창(동양고속)_왜관-태평건설 2" xfId="10620"/>
    <cellStyle name="_대곡이설(투찰)_안산부대(투찰)⑤_경찰서-터미널간도로(투찰)②_왜관-태평건설" xfId="10621"/>
    <cellStyle name="_대곡이설(투찰)_안산부대(투찰)⑤_경찰서-터미널간도로(투찰)②_왜관-태평건설 2" xfId="10622"/>
    <cellStyle name="_대곡이설(투찰)_안산부대(투찰)⑤_마현생창(동양고속)" xfId="10623"/>
    <cellStyle name="_대곡이설(투찰)_안산부대(투찰)⑤_마현생창(동양고속) 2" xfId="10624"/>
    <cellStyle name="_대곡이설(투찰)_안산부대(투찰)⑤_마현생창(동양고속)_왜관-태평건설" xfId="10625"/>
    <cellStyle name="_대곡이설(투찰)_안산부대(투찰)⑤_마현생창(동양고속)_왜관-태평건설 2" xfId="10626"/>
    <cellStyle name="_대곡이설(투찰)_안산부대(투찰)⑤_봉무지방산업단지도로(투찰)②" xfId="10627"/>
    <cellStyle name="_대곡이설(투찰)_안산부대(투찰)⑤_봉무지방산업단지도로(투찰)② 2" xfId="10628"/>
    <cellStyle name="_대곡이설(투찰)_안산부대(투찰)⑤_봉무지방산업단지도로(투찰)②_마현생창(동양고속)" xfId="10637"/>
    <cellStyle name="_대곡이설(투찰)_안산부대(투찰)⑤_봉무지방산업단지도로(투찰)②_마현생창(동양고속) 2" xfId="10638"/>
    <cellStyle name="_대곡이설(투찰)_안산부대(투찰)⑤_봉무지방산업단지도로(투찰)②_마현생창(동양고속)_왜관-태평건설" xfId="10639"/>
    <cellStyle name="_대곡이설(투찰)_안산부대(투찰)⑤_봉무지방산업단지도로(투찰)②_마현생창(동양고속)_왜관-태평건설 2" xfId="10640"/>
    <cellStyle name="_대곡이설(투찰)_안산부대(투찰)⑤_봉무지방산업단지도로(투찰)②_왜관-태평건설" xfId="10641"/>
    <cellStyle name="_대곡이설(투찰)_안산부대(투찰)⑤_봉무지방산업단지도로(투찰)②_왜관-태평건설 2" xfId="10642"/>
    <cellStyle name="_대곡이설(투찰)_안산부대(투찰)⑤_봉무지방산업단지도로(투찰)②+0.250%" xfId="10629"/>
    <cellStyle name="_대곡이설(투찰)_안산부대(투찰)⑤_봉무지방산업단지도로(투찰)②+0.250% 2" xfId="10630"/>
    <cellStyle name="_대곡이설(투찰)_안산부대(투찰)⑤_봉무지방산업단지도로(투찰)②+0.250%_마현생창(동양고속)" xfId="10631"/>
    <cellStyle name="_대곡이설(투찰)_안산부대(투찰)⑤_봉무지방산업단지도로(투찰)②+0.250%_마현생창(동양고속) 2" xfId="10632"/>
    <cellStyle name="_대곡이설(투찰)_안산부대(투찰)⑤_봉무지방산업단지도로(투찰)②+0.250%_마현생창(동양고속)_왜관-태평건설" xfId="10633"/>
    <cellStyle name="_대곡이설(투찰)_안산부대(투찰)⑤_봉무지방산업단지도로(투찰)②+0.250%_마현생창(동양고속)_왜관-태평건설 2" xfId="10634"/>
    <cellStyle name="_대곡이설(투찰)_안산부대(투찰)⑤_봉무지방산업단지도로(투찰)②+0.250%_왜관-태평건설" xfId="10635"/>
    <cellStyle name="_대곡이설(투찰)_안산부대(투찰)⑤_봉무지방산업단지도로(투찰)②+0.250%_왜관-태평건설 2" xfId="10636"/>
    <cellStyle name="_대곡이설(투찰)_안산부대(투찰)⑤_왜관-태평건설" xfId="10643"/>
    <cellStyle name="_대곡이설(투찰)_안산부대(투찰)⑤_왜관-태평건설 2" xfId="10644"/>
    <cellStyle name="_대곡이설(투찰)_안산부대(투찰)⑤_합덕-신례원(2공구)투찰" xfId="10645"/>
    <cellStyle name="_대곡이설(투찰)_안산부대(투찰)⑤_합덕-신례원(2공구)투찰 2" xfId="10646"/>
    <cellStyle name="_대곡이설(투찰)_안산부대(투찰)⑤_합덕-신례원(2공구)투찰_경찰서-터미널간도로(투찰)②" xfId="10647"/>
    <cellStyle name="_대곡이설(투찰)_안산부대(투찰)⑤_합덕-신례원(2공구)투찰_경찰서-터미널간도로(투찰)② 2" xfId="10648"/>
    <cellStyle name="_대곡이설(투찰)_안산부대(투찰)⑤_합덕-신례원(2공구)투찰_경찰서-터미널간도로(투찰)②_마현생창(동양고속)" xfId="10649"/>
    <cellStyle name="_대곡이설(투찰)_안산부대(투찰)⑤_합덕-신례원(2공구)투찰_경찰서-터미널간도로(투찰)②_마현생창(동양고속) 2" xfId="10650"/>
    <cellStyle name="_대곡이설(투찰)_안산부대(투찰)⑤_합덕-신례원(2공구)투찰_경찰서-터미널간도로(투찰)②_마현생창(동양고속)_왜관-태평건설" xfId="10651"/>
    <cellStyle name="_대곡이설(투찰)_안산부대(투찰)⑤_합덕-신례원(2공구)투찰_경찰서-터미널간도로(투찰)②_마현생창(동양고속)_왜관-태평건설 2" xfId="10652"/>
    <cellStyle name="_대곡이설(투찰)_안산부대(투찰)⑤_합덕-신례원(2공구)투찰_경찰서-터미널간도로(투찰)②_왜관-태평건설" xfId="10653"/>
    <cellStyle name="_대곡이설(투찰)_안산부대(투찰)⑤_합덕-신례원(2공구)투찰_경찰서-터미널간도로(투찰)②_왜관-태평건설 2" xfId="10654"/>
    <cellStyle name="_대곡이설(투찰)_안산부대(투찰)⑤_합덕-신례원(2공구)투찰_마현생창(동양고속)" xfId="10655"/>
    <cellStyle name="_대곡이설(투찰)_안산부대(투찰)⑤_합덕-신례원(2공구)투찰_마현생창(동양고속) 2" xfId="10656"/>
    <cellStyle name="_대곡이설(투찰)_안산부대(투찰)⑤_합덕-신례원(2공구)투찰_마현생창(동양고속)_왜관-태평건설" xfId="10657"/>
    <cellStyle name="_대곡이설(투찰)_안산부대(투찰)⑤_합덕-신례원(2공구)투찰_마현생창(동양고속)_왜관-태평건설 2" xfId="10658"/>
    <cellStyle name="_대곡이설(투찰)_안산부대(투찰)⑤_합덕-신례원(2공구)투찰_봉무지방산업단지도로(투찰)②" xfId="10659"/>
    <cellStyle name="_대곡이설(투찰)_안산부대(투찰)⑤_합덕-신례원(2공구)투찰_봉무지방산업단지도로(투찰)② 2" xfId="10660"/>
    <cellStyle name="_대곡이설(투찰)_안산부대(투찰)⑤_합덕-신례원(2공구)투찰_봉무지방산업단지도로(투찰)②_마현생창(동양고속)" xfId="10669"/>
    <cellStyle name="_대곡이설(투찰)_안산부대(투찰)⑤_합덕-신례원(2공구)투찰_봉무지방산업단지도로(투찰)②_마현생창(동양고속) 2" xfId="10670"/>
    <cellStyle name="_대곡이설(투찰)_안산부대(투찰)⑤_합덕-신례원(2공구)투찰_봉무지방산업단지도로(투찰)②_마현생창(동양고속)_왜관-태평건설" xfId="10671"/>
    <cellStyle name="_대곡이설(투찰)_안산부대(투찰)⑤_합덕-신례원(2공구)투찰_봉무지방산업단지도로(투찰)②_마현생창(동양고속)_왜관-태평건설 2" xfId="10672"/>
    <cellStyle name="_대곡이설(투찰)_안산부대(투찰)⑤_합덕-신례원(2공구)투찰_봉무지방산업단지도로(투찰)②_왜관-태평건설" xfId="10673"/>
    <cellStyle name="_대곡이설(투찰)_안산부대(투찰)⑤_합덕-신례원(2공구)투찰_봉무지방산업단지도로(투찰)②_왜관-태평건설 2" xfId="10674"/>
    <cellStyle name="_대곡이설(투찰)_안산부대(투찰)⑤_합덕-신례원(2공구)투찰_봉무지방산업단지도로(투찰)②+0.250%" xfId="10661"/>
    <cellStyle name="_대곡이설(투찰)_안산부대(투찰)⑤_합덕-신례원(2공구)투찰_봉무지방산업단지도로(투찰)②+0.250% 2" xfId="10662"/>
    <cellStyle name="_대곡이설(투찰)_안산부대(투찰)⑤_합덕-신례원(2공구)투찰_봉무지방산업단지도로(투찰)②+0.250%_마현생창(동양고속)" xfId="10663"/>
    <cellStyle name="_대곡이설(투찰)_안산부대(투찰)⑤_합덕-신례원(2공구)투찰_봉무지방산업단지도로(투찰)②+0.250%_마현생창(동양고속) 2" xfId="10664"/>
    <cellStyle name="_대곡이설(투찰)_안산부대(투찰)⑤_합덕-신례원(2공구)투찰_봉무지방산업단지도로(투찰)②+0.250%_마현생창(동양고속)_왜관-태평건설" xfId="10665"/>
    <cellStyle name="_대곡이설(투찰)_안산부대(투찰)⑤_합덕-신례원(2공구)투찰_봉무지방산업단지도로(투찰)②+0.250%_마현생창(동양고속)_왜관-태평건설 2" xfId="10666"/>
    <cellStyle name="_대곡이설(투찰)_안산부대(투찰)⑤_합덕-신례원(2공구)투찰_봉무지방산업단지도로(투찰)②+0.250%_왜관-태평건설" xfId="10667"/>
    <cellStyle name="_대곡이설(투찰)_안산부대(투찰)⑤_합덕-신례원(2공구)투찰_봉무지방산업단지도로(투찰)②+0.250%_왜관-태평건설 2" xfId="10668"/>
    <cellStyle name="_대곡이설(투찰)_안산부대(투찰)⑤_합덕-신례원(2공구)투찰_왜관-태평건설" xfId="10675"/>
    <cellStyle name="_대곡이설(투찰)_안산부대(투찰)⑤_합덕-신례원(2공구)투찰_왜관-태평건설 2" xfId="10676"/>
    <cellStyle name="_대곡이설(투찰)_안산부대(투찰)⑤_합덕-신례원(2공구)투찰_합덕-신례원(2공구)투찰" xfId="10677"/>
    <cellStyle name="_대곡이설(투찰)_안산부대(투찰)⑤_합덕-신례원(2공구)투찰_합덕-신례원(2공구)투찰 2" xfId="10678"/>
    <cellStyle name="_대곡이설(투찰)_안산부대(투찰)⑤_합덕-신례원(2공구)투찰_합덕-신례원(2공구)투찰_경찰서-터미널간도로(투찰)②" xfId="10679"/>
    <cellStyle name="_대곡이설(투찰)_안산부대(투찰)⑤_합덕-신례원(2공구)투찰_합덕-신례원(2공구)투찰_경찰서-터미널간도로(투찰)② 2" xfId="10680"/>
    <cellStyle name="_대곡이설(투찰)_안산부대(투찰)⑤_합덕-신례원(2공구)투찰_합덕-신례원(2공구)투찰_경찰서-터미널간도로(투찰)②_마현생창(동양고속)" xfId="10681"/>
    <cellStyle name="_대곡이설(투찰)_안산부대(투찰)⑤_합덕-신례원(2공구)투찰_합덕-신례원(2공구)투찰_경찰서-터미널간도로(투찰)②_마현생창(동양고속) 2" xfId="10682"/>
    <cellStyle name="_대곡이설(투찰)_안산부대(투찰)⑤_합덕-신례원(2공구)투찰_합덕-신례원(2공구)투찰_경찰서-터미널간도로(투찰)②_마현생창(동양고속)_왜관-태평건설" xfId="10683"/>
    <cellStyle name="_대곡이설(투찰)_안산부대(투찰)⑤_합덕-신례원(2공구)투찰_합덕-신례원(2공구)투찰_경찰서-터미널간도로(투찰)②_마현생창(동양고속)_왜관-태평건설 2" xfId="10684"/>
    <cellStyle name="_대곡이설(투찰)_안산부대(투찰)⑤_합덕-신례원(2공구)투찰_합덕-신례원(2공구)투찰_경찰서-터미널간도로(투찰)②_왜관-태평건설" xfId="10685"/>
    <cellStyle name="_대곡이설(투찰)_안산부대(투찰)⑤_합덕-신례원(2공구)투찰_합덕-신례원(2공구)투찰_경찰서-터미널간도로(투찰)②_왜관-태평건설 2" xfId="10686"/>
    <cellStyle name="_대곡이설(투찰)_안산부대(투찰)⑤_합덕-신례원(2공구)투찰_합덕-신례원(2공구)투찰_마현생창(동양고속)" xfId="10687"/>
    <cellStyle name="_대곡이설(투찰)_안산부대(투찰)⑤_합덕-신례원(2공구)투찰_합덕-신례원(2공구)투찰_마현생창(동양고속) 2" xfId="10688"/>
    <cellStyle name="_대곡이설(투찰)_안산부대(투찰)⑤_합덕-신례원(2공구)투찰_합덕-신례원(2공구)투찰_마현생창(동양고속)_왜관-태평건설" xfId="10689"/>
    <cellStyle name="_대곡이설(투찰)_안산부대(투찰)⑤_합덕-신례원(2공구)투찰_합덕-신례원(2공구)투찰_마현생창(동양고속)_왜관-태평건설 2" xfId="10690"/>
    <cellStyle name="_대곡이설(투찰)_안산부대(투찰)⑤_합덕-신례원(2공구)투찰_합덕-신례원(2공구)투찰_봉무지방산업단지도로(투찰)②" xfId="10691"/>
    <cellStyle name="_대곡이설(투찰)_안산부대(투찰)⑤_합덕-신례원(2공구)투찰_합덕-신례원(2공구)투찰_봉무지방산업단지도로(투찰)② 2" xfId="10692"/>
    <cellStyle name="_대곡이설(투찰)_안산부대(투찰)⑤_합덕-신례원(2공구)투찰_합덕-신례원(2공구)투찰_봉무지방산업단지도로(투찰)②_마현생창(동양고속)" xfId="10701"/>
    <cellStyle name="_대곡이설(투찰)_안산부대(투찰)⑤_합덕-신례원(2공구)투찰_합덕-신례원(2공구)투찰_봉무지방산업단지도로(투찰)②_마현생창(동양고속) 2" xfId="10702"/>
    <cellStyle name="_대곡이설(투찰)_안산부대(투찰)⑤_합덕-신례원(2공구)투찰_합덕-신례원(2공구)투찰_봉무지방산업단지도로(투찰)②_마현생창(동양고속)_왜관-태평건설" xfId="10703"/>
    <cellStyle name="_대곡이설(투찰)_안산부대(투찰)⑤_합덕-신례원(2공구)투찰_합덕-신례원(2공구)투찰_봉무지방산업단지도로(투찰)②_마현생창(동양고속)_왜관-태평건설 2" xfId="10704"/>
    <cellStyle name="_대곡이설(투찰)_안산부대(투찰)⑤_합덕-신례원(2공구)투찰_합덕-신례원(2공구)투찰_봉무지방산업단지도로(투찰)②_왜관-태평건설" xfId="10705"/>
    <cellStyle name="_대곡이설(투찰)_안산부대(투찰)⑤_합덕-신례원(2공구)투찰_합덕-신례원(2공구)투찰_봉무지방산업단지도로(투찰)②_왜관-태평건설 2" xfId="10706"/>
    <cellStyle name="_대곡이설(투찰)_안산부대(투찰)⑤_합덕-신례원(2공구)투찰_합덕-신례원(2공구)투찰_봉무지방산업단지도로(투찰)②+0.250%" xfId="10693"/>
    <cellStyle name="_대곡이설(투찰)_안산부대(투찰)⑤_합덕-신례원(2공구)투찰_합덕-신례원(2공구)투찰_봉무지방산업단지도로(투찰)②+0.250% 2" xfId="10694"/>
    <cellStyle name="_대곡이설(투찰)_안산부대(투찰)⑤_합덕-신례원(2공구)투찰_합덕-신례원(2공구)투찰_봉무지방산업단지도로(투찰)②+0.250%_마현생창(동양고속)" xfId="10695"/>
    <cellStyle name="_대곡이설(투찰)_안산부대(투찰)⑤_합덕-신례원(2공구)투찰_합덕-신례원(2공구)투찰_봉무지방산업단지도로(투찰)②+0.250%_마현생창(동양고속) 2" xfId="10696"/>
    <cellStyle name="_대곡이설(투찰)_안산부대(투찰)⑤_합덕-신례원(2공구)투찰_합덕-신례원(2공구)투찰_봉무지방산업단지도로(투찰)②+0.250%_마현생창(동양고속)_왜관-태평건설" xfId="10697"/>
    <cellStyle name="_대곡이설(투찰)_안산부대(투찰)⑤_합덕-신례원(2공구)투찰_합덕-신례원(2공구)투찰_봉무지방산업단지도로(투찰)②+0.250%_마현생창(동양고속)_왜관-태평건설 2" xfId="10698"/>
    <cellStyle name="_대곡이설(투찰)_안산부대(투찰)⑤_합덕-신례원(2공구)투찰_합덕-신례원(2공구)투찰_봉무지방산업단지도로(투찰)②+0.250%_왜관-태평건설" xfId="10699"/>
    <cellStyle name="_대곡이설(투찰)_안산부대(투찰)⑤_합덕-신례원(2공구)투찰_합덕-신례원(2공구)투찰_봉무지방산업단지도로(투찰)②+0.250%_왜관-태평건설 2" xfId="10700"/>
    <cellStyle name="_대곡이설(투찰)_안산부대(투찰)⑤_합덕-신례원(2공구)투찰_합덕-신례원(2공구)투찰_왜관-태평건설" xfId="10707"/>
    <cellStyle name="_대곡이설(투찰)_안산부대(투찰)⑤_합덕-신례원(2공구)투찰_합덕-신례원(2공구)투찰_왜관-태평건설 2" xfId="10708"/>
    <cellStyle name="_대곡이설(투찰)_양곡부두(투찰)-0.31%" xfId="10709"/>
    <cellStyle name="_대곡이설(투찰)_양곡부두(투찰)-0.31% 2" xfId="10710"/>
    <cellStyle name="_대곡이설(투찰)_양곡부두(투찰)-0.31%_경찰서-터미널간도로(투찰)②" xfId="10711"/>
    <cellStyle name="_대곡이설(투찰)_양곡부두(투찰)-0.31%_경찰서-터미널간도로(투찰)② 2" xfId="10712"/>
    <cellStyle name="_대곡이설(투찰)_양곡부두(투찰)-0.31%_경찰서-터미널간도로(투찰)②_마현생창(동양고속)" xfId="10713"/>
    <cellStyle name="_대곡이설(투찰)_양곡부두(투찰)-0.31%_경찰서-터미널간도로(투찰)②_마현생창(동양고속) 2" xfId="10714"/>
    <cellStyle name="_대곡이설(투찰)_양곡부두(투찰)-0.31%_경찰서-터미널간도로(투찰)②_마현생창(동양고속)_왜관-태평건설" xfId="10715"/>
    <cellStyle name="_대곡이설(투찰)_양곡부두(투찰)-0.31%_경찰서-터미널간도로(투찰)②_마현생창(동양고속)_왜관-태평건설 2" xfId="10716"/>
    <cellStyle name="_대곡이설(투찰)_양곡부두(투찰)-0.31%_경찰서-터미널간도로(투찰)②_왜관-태평건설" xfId="10717"/>
    <cellStyle name="_대곡이설(투찰)_양곡부두(투찰)-0.31%_경찰서-터미널간도로(투찰)②_왜관-태평건설 2" xfId="10718"/>
    <cellStyle name="_대곡이설(투찰)_양곡부두(투찰)-0.31%_마현생창(동양고속)" xfId="10719"/>
    <cellStyle name="_대곡이설(투찰)_양곡부두(투찰)-0.31%_마현생창(동양고속) 2" xfId="10720"/>
    <cellStyle name="_대곡이설(투찰)_양곡부두(투찰)-0.31%_마현생창(동양고속)_왜관-태평건설" xfId="10721"/>
    <cellStyle name="_대곡이설(투찰)_양곡부두(투찰)-0.31%_마현생창(동양고속)_왜관-태평건설 2" xfId="10722"/>
    <cellStyle name="_대곡이설(투찰)_양곡부두(투찰)-0.31%_봉무지방산업단지도로(투찰)②" xfId="10723"/>
    <cellStyle name="_대곡이설(투찰)_양곡부두(투찰)-0.31%_봉무지방산업단지도로(투찰)② 2" xfId="10724"/>
    <cellStyle name="_대곡이설(투찰)_양곡부두(투찰)-0.31%_봉무지방산업단지도로(투찰)②_마현생창(동양고속)" xfId="10733"/>
    <cellStyle name="_대곡이설(투찰)_양곡부두(투찰)-0.31%_봉무지방산업단지도로(투찰)②_마현생창(동양고속) 2" xfId="10734"/>
    <cellStyle name="_대곡이설(투찰)_양곡부두(투찰)-0.31%_봉무지방산업단지도로(투찰)②_마현생창(동양고속)_왜관-태평건설" xfId="10735"/>
    <cellStyle name="_대곡이설(투찰)_양곡부두(투찰)-0.31%_봉무지방산업단지도로(투찰)②_마현생창(동양고속)_왜관-태평건설 2" xfId="10736"/>
    <cellStyle name="_대곡이설(투찰)_양곡부두(투찰)-0.31%_봉무지방산업단지도로(투찰)②_왜관-태평건설" xfId="10737"/>
    <cellStyle name="_대곡이설(투찰)_양곡부두(투찰)-0.31%_봉무지방산업단지도로(투찰)②_왜관-태평건설 2" xfId="10738"/>
    <cellStyle name="_대곡이설(투찰)_양곡부두(투찰)-0.31%_봉무지방산업단지도로(투찰)②+0.250%" xfId="10725"/>
    <cellStyle name="_대곡이설(투찰)_양곡부두(투찰)-0.31%_봉무지방산업단지도로(투찰)②+0.250% 2" xfId="10726"/>
    <cellStyle name="_대곡이설(투찰)_양곡부두(투찰)-0.31%_봉무지방산업단지도로(투찰)②+0.250%_마현생창(동양고속)" xfId="10727"/>
    <cellStyle name="_대곡이설(투찰)_양곡부두(투찰)-0.31%_봉무지방산업단지도로(투찰)②+0.250%_마현생창(동양고속) 2" xfId="10728"/>
    <cellStyle name="_대곡이설(투찰)_양곡부두(투찰)-0.31%_봉무지방산업단지도로(투찰)②+0.250%_마현생창(동양고속)_왜관-태평건설" xfId="10729"/>
    <cellStyle name="_대곡이설(투찰)_양곡부두(투찰)-0.31%_봉무지방산업단지도로(투찰)②+0.250%_마현생창(동양고속)_왜관-태평건설 2" xfId="10730"/>
    <cellStyle name="_대곡이설(투찰)_양곡부두(투찰)-0.31%_봉무지방산업단지도로(투찰)②+0.250%_왜관-태평건설" xfId="10731"/>
    <cellStyle name="_대곡이설(투찰)_양곡부두(투찰)-0.31%_봉무지방산업단지도로(투찰)②+0.250%_왜관-태평건설 2" xfId="10732"/>
    <cellStyle name="_대곡이설(투찰)_양곡부두(투찰)-0.31%_왜관-태평건설" xfId="10739"/>
    <cellStyle name="_대곡이설(투찰)_양곡부두(투찰)-0.31%_왜관-태평건설 2" xfId="10740"/>
    <cellStyle name="_대곡이설(투찰)_양곡부두(투찰)-0.31%_합덕-신례원(2공구)투찰" xfId="10741"/>
    <cellStyle name="_대곡이설(투찰)_양곡부두(투찰)-0.31%_합덕-신례원(2공구)투찰 2" xfId="10742"/>
    <cellStyle name="_대곡이설(투찰)_양곡부두(투찰)-0.31%_합덕-신례원(2공구)투찰_경찰서-터미널간도로(투찰)②" xfId="10743"/>
    <cellStyle name="_대곡이설(투찰)_양곡부두(투찰)-0.31%_합덕-신례원(2공구)투찰_경찰서-터미널간도로(투찰)② 2" xfId="10744"/>
    <cellStyle name="_대곡이설(투찰)_양곡부두(투찰)-0.31%_합덕-신례원(2공구)투찰_경찰서-터미널간도로(투찰)②_마현생창(동양고속)" xfId="10745"/>
    <cellStyle name="_대곡이설(투찰)_양곡부두(투찰)-0.31%_합덕-신례원(2공구)투찰_경찰서-터미널간도로(투찰)②_마현생창(동양고속) 2" xfId="10746"/>
    <cellStyle name="_대곡이설(투찰)_양곡부두(투찰)-0.31%_합덕-신례원(2공구)투찰_경찰서-터미널간도로(투찰)②_마현생창(동양고속)_왜관-태평건설" xfId="10747"/>
    <cellStyle name="_대곡이설(투찰)_양곡부두(투찰)-0.31%_합덕-신례원(2공구)투찰_경찰서-터미널간도로(투찰)②_마현생창(동양고속)_왜관-태평건설 2" xfId="10748"/>
    <cellStyle name="_대곡이설(투찰)_양곡부두(투찰)-0.31%_합덕-신례원(2공구)투찰_경찰서-터미널간도로(투찰)②_왜관-태평건설" xfId="10749"/>
    <cellStyle name="_대곡이설(투찰)_양곡부두(투찰)-0.31%_합덕-신례원(2공구)투찰_경찰서-터미널간도로(투찰)②_왜관-태평건설 2" xfId="10750"/>
    <cellStyle name="_대곡이설(투찰)_양곡부두(투찰)-0.31%_합덕-신례원(2공구)투찰_마현생창(동양고속)" xfId="10751"/>
    <cellStyle name="_대곡이설(투찰)_양곡부두(투찰)-0.31%_합덕-신례원(2공구)투찰_마현생창(동양고속) 2" xfId="10752"/>
    <cellStyle name="_대곡이설(투찰)_양곡부두(투찰)-0.31%_합덕-신례원(2공구)투찰_마현생창(동양고속)_왜관-태평건설" xfId="10753"/>
    <cellStyle name="_대곡이설(투찰)_양곡부두(투찰)-0.31%_합덕-신례원(2공구)투찰_마현생창(동양고속)_왜관-태평건설 2" xfId="10754"/>
    <cellStyle name="_대곡이설(투찰)_양곡부두(투찰)-0.31%_합덕-신례원(2공구)투찰_봉무지방산업단지도로(투찰)②" xfId="10755"/>
    <cellStyle name="_대곡이설(투찰)_양곡부두(투찰)-0.31%_합덕-신례원(2공구)투찰_봉무지방산업단지도로(투찰)② 2" xfId="10756"/>
    <cellStyle name="_대곡이설(투찰)_양곡부두(투찰)-0.31%_합덕-신례원(2공구)투찰_봉무지방산업단지도로(투찰)②_마현생창(동양고속)" xfId="10765"/>
    <cellStyle name="_대곡이설(투찰)_양곡부두(투찰)-0.31%_합덕-신례원(2공구)투찰_봉무지방산업단지도로(투찰)②_마현생창(동양고속) 2" xfId="10766"/>
    <cellStyle name="_대곡이설(투찰)_양곡부두(투찰)-0.31%_합덕-신례원(2공구)투찰_봉무지방산업단지도로(투찰)②_마현생창(동양고속)_왜관-태평건설" xfId="10767"/>
    <cellStyle name="_대곡이설(투찰)_양곡부두(투찰)-0.31%_합덕-신례원(2공구)투찰_봉무지방산업단지도로(투찰)②_마현생창(동양고속)_왜관-태평건설 2" xfId="10768"/>
    <cellStyle name="_대곡이설(투찰)_양곡부두(투찰)-0.31%_합덕-신례원(2공구)투찰_봉무지방산업단지도로(투찰)②_왜관-태평건설" xfId="10769"/>
    <cellStyle name="_대곡이설(투찰)_양곡부두(투찰)-0.31%_합덕-신례원(2공구)투찰_봉무지방산업단지도로(투찰)②_왜관-태평건설 2" xfId="10770"/>
    <cellStyle name="_대곡이설(투찰)_양곡부두(투찰)-0.31%_합덕-신례원(2공구)투찰_봉무지방산업단지도로(투찰)②+0.250%" xfId="10757"/>
    <cellStyle name="_대곡이설(투찰)_양곡부두(투찰)-0.31%_합덕-신례원(2공구)투찰_봉무지방산업단지도로(투찰)②+0.250% 2" xfId="10758"/>
    <cellStyle name="_대곡이설(투찰)_양곡부두(투찰)-0.31%_합덕-신례원(2공구)투찰_봉무지방산업단지도로(투찰)②+0.250%_마현생창(동양고속)" xfId="10759"/>
    <cellStyle name="_대곡이설(투찰)_양곡부두(투찰)-0.31%_합덕-신례원(2공구)투찰_봉무지방산업단지도로(투찰)②+0.250%_마현생창(동양고속) 2" xfId="10760"/>
    <cellStyle name="_대곡이설(투찰)_양곡부두(투찰)-0.31%_합덕-신례원(2공구)투찰_봉무지방산업단지도로(투찰)②+0.250%_마현생창(동양고속)_왜관-태평건설" xfId="10761"/>
    <cellStyle name="_대곡이설(투찰)_양곡부두(투찰)-0.31%_합덕-신례원(2공구)투찰_봉무지방산업단지도로(투찰)②+0.250%_마현생창(동양고속)_왜관-태평건설 2" xfId="10762"/>
    <cellStyle name="_대곡이설(투찰)_양곡부두(투찰)-0.31%_합덕-신례원(2공구)투찰_봉무지방산업단지도로(투찰)②+0.250%_왜관-태평건설" xfId="10763"/>
    <cellStyle name="_대곡이설(투찰)_양곡부두(투찰)-0.31%_합덕-신례원(2공구)투찰_봉무지방산업단지도로(투찰)②+0.250%_왜관-태평건설 2" xfId="10764"/>
    <cellStyle name="_대곡이설(투찰)_양곡부두(투찰)-0.31%_합덕-신례원(2공구)투찰_왜관-태평건설" xfId="10771"/>
    <cellStyle name="_대곡이설(투찰)_양곡부두(투찰)-0.31%_합덕-신례원(2공구)투찰_왜관-태평건설 2" xfId="10772"/>
    <cellStyle name="_대곡이설(투찰)_양곡부두(투찰)-0.31%_합덕-신례원(2공구)투찰_합덕-신례원(2공구)투찰" xfId="10773"/>
    <cellStyle name="_대곡이설(투찰)_양곡부두(투찰)-0.31%_합덕-신례원(2공구)투찰_합덕-신례원(2공구)투찰 2" xfId="10774"/>
    <cellStyle name="_대곡이설(투찰)_양곡부두(투찰)-0.31%_합덕-신례원(2공구)투찰_합덕-신례원(2공구)투찰_경찰서-터미널간도로(투찰)②" xfId="10775"/>
    <cellStyle name="_대곡이설(투찰)_양곡부두(투찰)-0.31%_합덕-신례원(2공구)투찰_합덕-신례원(2공구)투찰_경찰서-터미널간도로(투찰)② 2" xfId="10776"/>
    <cellStyle name="_대곡이설(투찰)_양곡부두(투찰)-0.31%_합덕-신례원(2공구)투찰_합덕-신례원(2공구)투찰_경찰서-터미널간도로(투찰)②_마현생창(동양고속)" xfId="10777"/>
    <cellStyle name="_대곡이설(투찰)_양곡부두(투찰)-0.31%_합덕-신례원(2공구)투찰_합덕-신례원(2공구)투찰_경찰서-터미널간도로(투찰)②_마현생창(동양고속) 2" xfId="10778"/>
    <cellStyle name="_대곡이설(투찰)_양곡부두(투찰)-0.31%_합덕-신례원(2공구)투찰_합덕-신례원(2공구)투찰_경찰서-터미널간도로(투찰)②_마현생창(동양고속)_왜관-태평건설" xfId="10779"/>
    <cellStyle name="_대곡이설(투찰)_양곡부두(투찰)-0.31%_합덕-신례원(2공구)투찰_합덕-신례원(2공구)투찰_경찰서-터미널간도로(투찰)②_마현생창(동양고속)_왜관-태평건설 2" xfId="10780"/>
    <cellStyle name="_대곡이설(투찰)_양곡부두(투찰)-0.31%_합덕-신례원(2공구)투찰_합덕-신례원(2공구)투찰_경찰서-터미널간도로(투찰)②_왜관-태평건설" xfId="10781"/>
    <cellStyle name="_대곡이설(투찰)_양곡부두(투찰)-0.31%_합덕-신례원(2공구)투찰_합덕-신례원(2공구)투찰_경찰서-터미널간도로(투찰)②_왜관-태평건설 2" xfId="10782"/>
    <cellStyle name="_대곡이설(투찰)_양곡부두(투찰)-0.31%_합덕-신례원(2공구)투찰_합덕-신례원(2공구)투찰_마현생창(동양고속)" xfId="10783"/>
    <cellStyle name="_대곡이설(투찰)_양곡부두(투찰)-0.31%_합덕-신례원(2공구)투찰_합덕-신례원(2공구)투찰_마현생창(동양고속) 2" xfId="10784"/>
    <cellStyle name="_대곡이설(투찰)_양곡부두(투찰)-0.31%_합덕-신례원(2공구)투찰_합덕-신례원(2공구)투찰_마현생창(동양고속)_왜관-태평건설" xfId="10785"/>
    <cellStyle name="_대곡이설(투찰)_양곡부두(투찰)-0.31%_합덕-신례원(2공구)투찰_합덕-신례원(2공구)투찰_마현생창(동양고속)_왜관-태평건설 2" xfId="10786"/>
    <cellStyle name="_대곡이설(투찰)_양곡부두(투찰)-0.31%_합덕-신례원(2공구)투찰_합덕-신례원(2공구)투찰_봉무지방산업단지도로(투찰)②" xfId="10787"/>
    <cellStyle name="_대곡이설(투찰)_양곡부두(투찰)-0.31%_합덕-신례원(2공구)투찰_합덕-신례원(2공구)투찰_봉무지방산업단지도로(투찰)② 2" xfId="10788"/>
    <cellStyle name="_대곡이설(투찰)_양곡부두(투찰)-0.31%_합덕-신례원(2공구)투찰_합덕-신례원(2공구)투찰_봉무지방산업단지도로(투찰)②_마현생창(동양고속)" xfId="10797"/>
    <cellStyle name="_대곡이설(투찰)_양곡부두(투찰)-0.31%_합덕-신례원(2공구)투찰_합덕-신례원(2공구)투찰_봉무지방산업단지도로(투찰)②_마현생창(동양고속) 2" xfId="10798"/>
    <cellStyle name="_대곡이설(투찰)_양곡부두(투찰)-0.31%_합덕-신례원(2공구)투찰_합덕-신례원(2공구)투찰_봉무지방산업단지도로(투찰)②_마현생창(동양고속)_왜관-태평건설" xfId="10799"/>
    <cellStyle name="_대곡이설(투찰)_양곡부두(투찰)-0.31%_합덕-신례원(2공구)투찰_합덕-신례원(2공구)투찰_봉무지방산업단지도로(투찰)②_마현생창(동양고속)_왜관-태평건설 2" xfId="10800"/>
    <cellStyle name="_대곡이설(투찰)_양곡부두(투찰)-0.31%_합덕-신례원(2공구)투찰_합덕-신례원(2공구)투찰_봉무지방산업단지도로(투찰)②_왜관-태평건설" xfId="10801"/>
    <cellStyle name="_대곡이설(투찰)_양곡부두(투찰)-0.31%_합덕-신례원(2공구)투찰_합덕-신례원(2공구)투찰_봉무지방산업단지도로(투찰)②_왜관-태평건설 2" xfId="10802"/>
    <cellStyle name="_대곡이설(투찰)_양곡부두(투찰)-0.31%_합덕-신례원(2공구)투찰_합덕-신례원(2공구)투찰_봉무지방산업단지도로(투찰)②+0.250%" xfId="10789"/>
    <cellStyle name="_대곡이설(투찰)_양곡부두(투찰)-0.31%_합덕-신례원(2공구)투찰_합덕-신례원(2공구)투찰_봉무지방산업단지도로(투찰)②+0.250% 2" xfId="10790"/>
    <cellStyle name="_대곡이설(투찰)_양곡부두(투찰)-0.31%_합덕-신례원(2공구)투찰_합덕-신례원(2공구)투찰_봉무지방산업단지도로(투찰)②+0.250%_마현생창(동양고속)" xfId="10791"/>
    <cellStyle name="_대곡이설(투찰)_양곡부두(투찰)-0.31%_합덕-신례원(2공구)투찰_합덕-신례원(2공구)투찰_봉무지방산업단지도로(투찰)②+0.250%_마현생창(동양고속) 2" xfId="10792"/>
    <cellStyle name="_대곡이설(투찰)_양곡부두(투찰)-0.31%_합덕-신례원(2공구)투찰_합덕-신례원(2공구)투찰_봉무지방산업단지도로(투찰)②+0.250%_마현생창(동양고속)_왜관-태평건설" xfId="10793"/>
    <cellStyle name="_대곡이설(투찰)_양곡부두(투찰)-0.31%_합덕-신례원(2공구)투찰_합덕-신례원(2공구)투찰_봉무지방산업단지도로(투찰)②+0.250%_마현생창(동양고속)_왜관-태평건설 2" xfId="10794"/>
    <cellStyle name="_대곡이설(투찰)_양곡부두(투찰)-0.31%_합덕-신례원(2공구)투찰_합덕-신례원(2공구)투찰_봉무지방산업단지도로(투찰)②+0.250%_왜관-태평건설" xfId="10795"/>
    <cellStyle name="_대곡이설(투찰)_양곡부두(투찰)-0.31%_합덕-신례원(2공구)투찰_합덕-신례원(2공구)투찰_봉무지방산업단지도로(투찰)②+0.250%_왜관-태평건설 2" xfId="10796"/>
    <cellStyle name="_대곡이설(투찰)_양곡부두(투찰)-0.31%_합덕-신례원(2공구)투찰_합덕-신례원(2공구)투찰_왜관-태평건설" xfId="10803"/>
    <cellStyle name="_대곡이설(투찰)_양곡부두(투찰)-0.31%_합덕-신례원(2공구)투찰_합덕-신례원(2공구)투찰_왜관-태평건설 2" xfId="10804"/>
    <cellStyle name="_대곡이설(투찰)_왜관-태평건설" xfId="10805"/>
    <cellStyle name="_대곡이설(투찰)_왜관-태평건설 2" xfId="10806"/>
    <cellStyle name="_대곡이설(투찰)_창원상수도(토목)투찰" xfId="10807"/>
    <cellStyle name="_대곡이설(투찰)_창원상수도(토목)투찰 2" xfId="10808"/>
    <cellStyle name="_대곡이설(투찰)_창원상수도(토목)투찰_경찰서-터미널간도로(투찰)②" xfId="10809"/>
    <cellStyle name="_대곡이설(투찰)_창원상수도(토목)투찰_경찰서-터미널간도로(투찰)② 2" xfId="10810"/>
    <cellStyle name="_대곡이설(투찰)_창원상수도(토목)투찰_경찰서-터미널간도로(투찰)②_마현생창(동양고속)" xfId="10811"/>
    <cellStyle name="_대곡이설(투찰)_창원상수도(토목)투찰_경찰서-터미널간도로(투찰)②_마현생창(동양고속) 2" xfId="10812"/>
    <cellStyle name="_대곡이설(투찰)_창원상수도(토목)투찰_경찰서-터미널간도로(투찰)②_마현생창(동양고속)_왜관-태평건설" xfId="10813"/>
    <cellStyle name="_대곡이설(투찰)_창원상수도(토목)투찰_경찰서-터미널간도로(투찰)②_마현생창(동양고속)_왜관-태평건설 2" xfId="10814"/>
    <cellStyle name="_대곡이설(투찰)_창원상수도(토목)투찰_경찰서-터미널간도로(투찰)②_왜관-태평건설" xfId="10815"/>
    <cellStyle name="_대곡이설(투찰)_창원상수도(토목)투찰_경찰서-터미널간도로(투찰)②_왜관-태평건설 2" xfId="10816"/>
    <cellStyle name="_대곡이설(투찰)_창원상수도(토목)투찰_마현생창(동양고속)" xfId="10817"/>
    <cellStyle name="_대곡이설(투찰)_창원상수도(토목)투찰_마현생창(동양고속) 2" xfId="10818"/>
    <cellStyle name="_대곡이설(투찰)_창원상수도(토목)투찰_마현생창(동양고속)_왜관-태평건설" xfId="10819"/>
    <cellStyle name="_대곡이설(투찰)_창원상수도(토목)투찰_마현생창(동양고속)_왜관-태평건설 2" xfId="10820"/>
    <cellStyle name="_대곡이설(투찰)_창원상수도(토목)투찰_봉무지방산업단지도로(투찰)②" xfId="10821"/>
    <cellStyle name="_대곡이설(투찰)_창원상수도(토목)투찰_봉무지방산업단지도로(투찰)② 2" xfId="10822"/>
    <cellStyle name="_대곡이설(투찰)_창원상수도(토목)투찰_봉무지방산업단지도로(투찰)②_마현생창(동양고속)" xfId="10831"/>
    <cellStyle name="_대곡이설(투찰)_창원상수도(토목)투찰_봉무지방산업단지도로(투찰)②_마현생창(동양고속) 2" xfId="10832"/>
    <cellStyle name="_대곡이설(투찰)_창원상수도(토목)투찰_봉무지방산업단지도로(투찰)②_마현생창(동양고속)_왜관-태평건설" xfId="10833"/>
    <cellStyle name="_대곡이설(투찰)_창원상수도(토목)투찰_봉무지방산업단지도로(투찰)②_마현생창(동양고속)_왜관-태평건설 2" xfId="10834"/>
    <cellStyle name="_대곡이설(투찰)_창원상수도(토목)투찰_봉무지방산업단지도로(투찰)②_왜관-태평건설" xfId="10835"/>
    <cellStyle name="_대곡이설(투찰)_창원상수도(토목)투찰_봉무지방산업단지도로(투찰)②_왜관-태평건설 2" xfId="10836"/>
    <cellStyle name="_대곡이설(투찰)_창원상수도(토목)투찰_봉무지방산업단지도로(투찰)②+0.250%" xfId="10823"/>
    <cellStyle name="_대곡이설(투찰)_창원상수도(토목)투찰_봉무지방산업단지도로(투찰)②+0.250% 2" xfId="10824"/>
    <cellStyle name="_대곡이설(투찰)_창원상수도(토목)투찰_봉무지방산업단지도로(투찰)②+0.250%_마현생창(동양고속)" xfId="10825"/>
    <cellStyle name="_대곡이설(투찰)_창원상수도(토목)투찰_봉무지방산업단지도로(투찰)②+0.250%_마현생창(동양고속) 2" xfId="10826"/>
    <cellStyle name="_대곡이설(투찰)_창원상수도(토목)투찰_봉무지방산업단지도로(투찰)②+0.250%_마현생창(동양고속)_왜관-태평건설" xfId="10827"/>
    <cellStyle name="_대곡이설(투찰)_창원상수도(토목)투찰_봉무지방산업단지도로(투찰)②+0.250%_마현생창(동양고속)_왜관-태평건설 2" xfId="10828"/>
    <cellStyle name="_대곡이설(투찰)_창원상수도(토목)투찰_봉무지방산업단지도로(투찰)②+0.250%_왜관-태평건설" xfId="10829"/>
    <cellStyle name="_대곡이설(투찰)_창원상수도(토목)투찰_봉무지방산업단지도로(투찰)②+0.250%_왜관-태평건설 2" xfId="10830"/>
    <cellStyle name="_대곡이설(투찰)_창원상수도(토목)투찰_왜관-태평건설" xfId="10837"/>
    <cellStyle name="_대곡이설(투찰)_창원상수도(토목)투찰_왜관-태평건설 2" xfId="10838"/>
    <cellStyle name="_대곡이설(투찰)_창원상수도(토목)투찰_합덕-신례원(2공구)투찰" xfId="10839"/>
    <cellStyle name="_대곡이설(투찰)_창원상수도(토목)투찰_합덕-신례원(2공구)투찰 2" xfId="10840"/>
    <cellStyle name="_대곡이설(투찰)_창원상수도(토목)투찰_합덕-신례원(2공구)투찰_경찰서-터미널간도로(투찰)②" xfId="10841"/>
    <cellStyle name="_대곡이설(투찰)_창원상수도(토목)투찰_합덕-신례원(2공구)투찰_경찰서-터미널간도로(투찰)② 2" xfId="10842"/>
    <cellStyle name="_대곡이설(투찰)_창원상수도(토목)투찰_합덕-신례원(2공구)투찰_경찰서-터미널간도로(투찰)②_마현생창(동양고속)" xfId="10843"/>
    <cellStyle name="_대곡이설(투찰)_창원상수도(토목)투찰_합덕-신례원(2공구)투찰_경찰서-터미널간도로(투찰)②_마현생창(동양고속) 2" xfId="10844"/>
    <cellStyle name="_대곡이설(투찰)_창원상수도(토목)투찰_합덕-신례원(2공구)투찰_경찰서-터미널간도로(투찰)②_마현생창(동양고속)_왜관-태평건설" xfId="10845"/>
    <cellStyle name="_대곡이설(투찰)_창원상수도(토목)투찰_합덕-신례원(2공구)투찰_경찰서-터미널간도로(투찰)②_마현생창(동양고속)_왜관-태평건설 2" xfId="10846"/>
    <cellStyle name="_대곡이설(투찰)_창원상수도(토목)투찰_합덕-신례원(2공구)투찰_경찰서-터미널간도로(투찰)②_왜관-태평건설" xfId="10847"/>
    <cellStyle name="_대곡이설(투찰)_창원상수도(토목)투찰_합덕-신례원(2공구)투찰_경찰서-터미널간도로(투찰)②_왜관-태평건설 2" xfId="10848"/>
    <cellStyle name="_대곡이설(투찰)_창원상수도(토목)투찰_합덕-신례원(2공구)투찰_마현생창(동양고속)" xfId="10849"/>
    <cellStyle name="_대곡이설(투찰)_창원상수도(토목)투찰_합덕-신례원(2공구)투찰_마현생창(동양고속) 2" xfId="10850"/>
    <cellStyle name="_대곡이설(투찰)_창원상수도(토목)투찰_합덕-신례원(2공구)투찰_마현생창(동양고속)_왜관-태평건설" xfId="10851"/>
    <cellStyle name="_대곡이설(투찰)_창원상수도(토목)투찰_합덕-신례원(2공구)투찰_마현생창(동양고속)_왜관-태평건설 2" xfId="10852"/>
    <cellStyle name="_대곡이설(투찰)_창원상수도(토목)투찰_합덕-신례원(2공구)투찰_봉무지방산업단지도로(투찰)②" xfId="10853"/>
    <cellStyle name="_대곡이설(투찰)_창원상수도(토목)투찰_합덕-신례원(2공구)투찰_봉무지방산업단지도로(투찰)② 2" xfId="10854"/>
    <cellStyle name="_대곡이설(투찰)_창원상수도(토목)투찰_합덕-신례원(2공구)투찰_봉무지방산업단지도로(투찰)②_마현생창(동양고속)" xfId="10863"/>
    <cellStyle name="_대곡이설(투찰)_창원상수도(토목)투찰_합덕-신례원(2공구)투찰_봉무지방산업단지도로(투찰)②_마현생창(동양고속) 2" xfId="10864"/>
    <cellStyle name="_대곡이설(투찰)_창원상수도(토목)투찰_합덕-신례원(2공구)투찰_봉무지방산업단지도로(투찰)②_마현생창(동양고속)_왜관-태평건설" xfId="10865"/>
    <cellStyle name="_대곡이설(투찰)_창원상수도(토목)투찰_합덕-신례원(2공구)투찰_봉무지방산업단지도로(투찰)②_마현생창(동양고속)_왜관-태평건설 2" xfId="10866"/>
    <cellStyle name="_대곡이설(투찰)_창원상수도(토목)투찰_합덕-신례원(2공구)투찰_봉무지방산업단지도로(투찰)②_왜관-태평건설" xfId="10867"/>
    <cellStyle name="_대곡이설(투찰)_창원상수도(토목)투찰_합덕-신례원(2공구)투찰_봉무지방산업단지도로(투찰)②_왜관-태평건설 2" xfId="10868"/>
    <cellStyle name="_대곡이설(투찰)_창원상수도(토목)투찰_합덕-신례원(2공구)투찰_봉무지방산업단지도로(투찰)②+0.250%" xfId="10855"/>
    <cellStyle name="_대곡이설(투찰)_창원상수도(토목)투찰_합덕-신례원(2공구)투찰_봉무지방산업단지도로(투찰)②+0.250% 2" xfId="10856"/>
    <cellStyle name="_대곡이설(투찰)_창원상수도(토목)투찰_합덕-신례원(2공구)투찰_봉무지방산업단지도로(투찰)②+0.250%_마현생창(동양고속)" xfId="10857"/>
    <cellStyle name="_대곡이설(투찰)_창원상수도(토목)투찰_합덕-신례원(2공구)투찰_봉무지방산업단지도로(투찰)②+0.250%_마현생창(동양고속) 2" xfId="10858"/>
    <cellStyle name="_대곡이설(투찰)_창원상수도(토목)투찰_합덕-신례원(2공구)투찰_봉무지방산업단지도로(투찰)②+0.250%_마현생창(동양고속)_왜관-태평건설" xfId="10859"/>
    <cellStyle name="_대곡이설(투찰)_창원상수도(토목)투찰_합덕-신례원(2공구)투찰_봉무지방산업단지도로(투찰)②+0.250%_마현생창(동양고속)_왜관-태평건설 2" xfId="10860"/>
    <cellStyle name="_대곡이설(투찰)_창원상수도(토목)투찰_합덕-신례원(2공구)투찰_봉무지방산업단지도로(투찰)②+0.250%_왜관-태평건설" xfId="10861"/>
    <cellStyle name="_대곡이설(투찰)_창원상수도(토목)투찰_합덕-신례원(2공구)투찰_봉무지방산업단지도로(투찰)②+0.250%_왜관-태평건설 2" xfId="10862"/>
    <cellStyle name="_대곡이설(투찰)_창원상수도(토목)투찰_합덕-신례원(2공구)투찰_왜관-태평건설" xfId="10869"/>
    <cellStyle name="_대곡이설(투찰)_창원상수도(토목)투찰_합덕-신례원(2공구)투찰_왜관-태평건설 2" xfId="10870"/>
    <cellStyle name="_대곡이설(투찰)_창원상수도(토목)투찰_합덕-신례원(2공구)투찰_합덕-신례원(2공구)투찰" xfId="10871"/>
    <cellStyle name="_대곡이설(투찰)_창원상수도(토목)투찰_합덕-신례원(2공구)투찰_합덕-신례원(2공구)투찰 2" xfId="10872"/>
    <cellStyle name="_대곡이설(투찰)_창원상수도(토목)투찰_합덕-신례원(2공구)투찰_합덕-신례원(2공구)투찰_경찰서-터미널간도로(투찰)②" xfId="10873"/>
    <cellStyle name="_대곡이설(투찰)_창원상수도(토목)투찰_합덕-신례원(2공구)투찰_합덕-신례원(2공구)투찰_경찰서-터미널간도로(투찰)② 2" xfId="10874"/>
    <cellStyle name="_대곡이설(투찰)_창원상수도(토목)투찰_합덕-신례원(2공구)투찰_합덕-신례원(2공구)투찰_경찰서-터미널간도로(투찰)②_마현생창(동양고속)" xfId="10875"/>
    <cellStyle name="_대곡이설(투찰)_창원상수도(토목)투찰_합덕-신례원(2공구)투찰_합덕-신례원(2공구)투찰_경찰서-터미널간도로(투찰)②_마현생창(동양고속) 2" xfId="10876"/>
    <cellStyle name="_대곡이설(투찰)_창원상수도(토목)투찰_합덕-신례원(2공구)투찰_합덕-신례원(2공구)투찰_경찰서-터미널간도로(투찰)②_마현생창(동양고속)_왜관-태평건설" xfId="10877"/>
    <cellStyle name="_대곡이설(투찰)_창원상수도(토목)투찰_합덕-신례원(2공구)투찰_합덕-신례원(2공구)투찰_경찰서-터미널간도로(투찰)②_마현생창(동양고속)_왜관-태평건설 2" xfId="10878"/>
    <cellStyle name="_대곡이설(투찰)_창원상수도(토목)투찰_합덕-신례원(2공구)투찰_합덕-신례원(2공구)투찰_경찰서-터미널간도로(투찰)②_왜관-태평건설" xfId="10879"/>
    <cellStyle name="_대곡이설(투찰)_창원상수도(토목)투찰_합덕-신례원(2공구)투찰_합덕-신례원(2공구)투찰_경찰서-터미널간도로(투찰)②_왜관-태평건설 2" xfId="10880"/>
    <cellStyle name="_대곡이설(투찰)_창원상수도(토목)투찰_합덕-신례원(2공구)투찰_합덕-신례원(2공구)투찰_마현생창(동양고속)" xfId="10881"/>
    <cellStyle name="_대곡이설(투찰)_창원상수도(토목)투찰_합덕-신례원(2공구)투찰_합덕-신례원(2공구)투찰_마현생창(동양고속) 2" xfId="10882"/>
    <cellStyle name="_대곡이설(투찰)_창원상수도(토목)투찰_합덕-신례원(2공구)투찰_합덕-신례원(2공구)투찰_마현생창(동양고속)_왜관-태평건설" xfId="10883"/>
    <cellStyle name="_대곡이설(투찰)_창원상수도(토목)투찰_합덕-신례원(2공구)투찰_합덕-신례원(2공구)투찰_마현생창(동양고속)_왜관-태평건설 2" xfId="10884"/>
    <cellStyle name="_대곡이설(투찰)_창원상수도(토목)투찰_합덕-신례원(2공구)투찰_합덕-신례원(2공구)투찰_봉무지방산업단지도로(투찰)②" xfId="10885"/>
    <cellStyle name="_대곡이설(투찰)_창원상수도(토목)투찰_합덕-신례원(2공구)투찰_합덕-신례원(2공구)투찰_봉무지방산업단지도로(투찰)② 2" xfId="10886"/>
    <cellStyle name="_대곡이설(투찰)_창원상수도(토목)투찰_합덕-신례원(2공구)투찰_합덕-신례원(2공구)투찰_봉무지방산업단지도로(투찰)②_마현생창(동양고속)" xfId="10895"/>
    <cellStyle name="_대곡이설(투찰)_창원상수도(토목)투찰_합덕-신례원(2공구)투찰_합덕-신례원(2공구)투찰_봉무지방산업단지도로(투찰)②_마현생창(동양고속) 2" xfId="10896"/>
    <cellStyle name="_대곡이설(투찰)_창원상수도(토목)투찰_합덕-신례원(2공구)투찰_합덕-신례원(2공구)투찰_봉무지방산업단지도로(투찰)②_마현생창(동양고속)_왜관-태평건설" xfId="10897"/>
    <cellStyle name="_대곡이설(투찰)_창원상수도(토목)투찰_합덕-신례원(2공구)투찰_합덕-신례원(2공구)투찰_봉무지방산업단지도로(투찰)②_마현생창(동양고속)_왜관-태평건설 2" xfId="10898"/>
    <cellStyle name="_대곡이설(투찰)_창원상수도(토목)투찰_합덕-신례원(2공구)투찰_합덕-신례원(2공구)투찰_봉무지방산업단지도로(투찰)②_왜관-태평건설" xfId="10899"/>
    <cellStyle name="_대곡이설(투찰)_창원상수도(토목)투찰_합덕-신례원(2공구)투찰_합덕-신례원(2공구)투찰_봉무지방산업단지도로(투찰)②_왜관-태평건설 2" xfId="10900"/>
    <cellStyle name="_대곡이설(투찰)_창원상수도(토목)투찰_합덕-신례원(2공구)투찰_합덕-신례원(2공구)투찰_봉무지방산업단지도로(투찰)②+0.250%" xfId="10887"/>
    <cellStyle name="_대곡이설(투찰)_창원상수도(토목)투찰_합덕-신례원(2공구)투찰_합덕-신례원(2공구)투찰_봉무지방산업단지도로(투찰)②+0.250% 2" xfId="10888"/>
    <cellStyle name="_대곡이설(투찰)_창원상수도(토목)투찰_합덕-신례원(2공구)투찰_합덕-신례원(2공구)투찰_봉무지방산업단지도로(투찰)②+0.250%_마현생창(동양고속)" xfId="10889"/>
    <cellStyle name="_대곡이설(투찰)_창원상수도(토목)투찰_합덕-신례원(2공구)투찰_합덕-신례원(2공구)투찰_봉무지방산업단지도로(투찰)②+0.250%_마현생창(동양고속) 2" xfId="10890"/>
    <cellStyle name="_대곡이설(투찰)_창원상수도(토목)투찰_합덕-신례원(2공구)투찰_합덕-신례원(2공구)투찰_봉무지방산업단지도로(투찰)②+0.250%_마현생창(동양고속)_왜관-태평건설" xfId="10891"/>
    <cellStyle name="_대곡이설(투찰)_창원상수도(토목)투찰_합덕-신례원(2공구)투찰_합덕-신례원(2공구)투찰_봉무지방산업단지도로(투찰)②+0.250%_마현생창(동양고속)_왜관-태평건설 2" xfId="10892"/>
    <cellStyle name="_대곡이설(투찰)_창원상수도(토목)투찰_합덕-신례원(2공구)투찰_합덕-신례원(2공구)투찰_봉무지방산업단지도로(투찰)②+0.250%_왜관-태평건설" xfId="10893"/>
    <cellStyle name="_대곡이설(투찰)_창원상수도(토목)투찰_합덕-신례원(2공구)투찰_합덕-신례원(2공구)투찰_봉무지방산업단지도로(투찰)②+0.250%_왜관-태평건설 2" xfId="10894"/>
    <cellStyle name="_대곡이설(투찰)_창원상수도(토목)투찰_합덕-신례원(2공구)투찰_합덕-신례원(2공구)투찰_왜관-태평건설" xfId="10901"/>
    <cellStyle name="_대곡이설(투찰)_창원상수도(토목)투찰_합덕-신례원(2공구)투찰_합덕-신례원(2공구)투찰_왜관-태평건설 2" xfId="10902"/>
    <cellStyle name="_대곡이설(투찰)_합덕-신례원(2공구)투찰" xfId="10903"/>
    <cellStyle name="_대곡이설(투찰)_합덕-신례원(2공구)투찰 2" xfId="10904"/>
    <cellStyle name="_대곡이설(투찰)_합덕-신례원(2공구)투찰_경찰서-터미널간도로(투찰)②" xfId="10905"/>
    <cellStyle name="_대곡이설(투찰)_합덕-신례원(2공구)투찰_경찰서-터미널간도로(투찰)② 2" xfId="10906"/>
    <cellStyle name="_대곡이설(투찰)_합덕-신례원(2공구)투찰_경찰서-터미널간도로(투찰)②_마현생창(동양고속)" xfId="10907"/>
    <cellStyle name="_대곡이설(투찰)_합덕-신례원(2공구)투찰_경찰서-터미널간도로(투찰)②_마현생창(동양고속) 2" xfId="10908"/>
    <cellStyle name="_대곡이설(투찰)_합덕-신례원(2공구)투찰_경찰서-터미널간도로(투찰)②_마현생창(동양고속)_왜관-태평건설" xfId="10909"/>
    <cellStyle name="_대곡이설(투찰)_합덕-신례원(2공구)투찰_경찰서-터미널간도로(투찰)②_마현생창(동양고속)_왜관-태평건설 2" xfId="10910"/>
    <cellStyle name="_대곡이설(투찰)_합덕-신례원(2공구)투찰_경찰서-터미널간도로(투찰)②_왜관-태평건설" xfId="10911"/>
    <cellStyle name="_대곡이설(투찰)_합덕-신례원(2공구)투찰_경찰서-터미널간도로(투찰)②_왜관-태평건설 2" xfId="10912"/>
    <cellStyle name="_대곡이설(투찰)_합덕-신례원(2공구)투찰_마현생창(동양고속)" xfId="10913"/>
    <cellStyle name="_대곡이설(투찰)_합덕-신례원(2공구)투찰_마현생창(동양고속) 2" xfId="10914"/>
    <cellStyle name="_대곡이설(투찰)_합덕-신례원(2공구)투찰_마현생창(동양고속)_왜관-태평건설" xfId="10915"/>
    <cellStyle name="_대곡이설(투찰)_합덕-신례원(2공구)투찰_마현생창(동양고속)_왜관-태평건설 2" xfId="10916"/>
    <cellStyle name="_대곡이설(투찰)_합덕-신례원(2공구)투찰_봉무지방산업단지도로(투찰)②" xfId="10917"/>
    <cellStyle name="_대곡이설(투찰)_합덕-신례원(2공구)투찰_봉무지방산업단지도로(투찰)② 2" xfId="10918"/>
    <cellStyle name="_대곡이설(투찰)_합덕-신례원(2공구)투찰_봉무지방산업단지도로(투찰)②_마현생창(동양고속)" xfId="10927"/>
    <cellStyle name="_대곡이설(투찰)_합덕-신례원(2공구)투찰_봉무지방산업단지도로(투찰)②_마현생창(동양고속) 2" xfId="10928"/>
    <cellStyle name="_대곡이설(투찰)_합덕-신례원(2공구)투찰_봉무지방산업단지도로(투찰)②_마현생창(동양고속)_왜관-태평건설" xfId="10929"/>
    <cellStyle name="_대곡이설(투찰)_합덕-신례원(2공구)투찰_봉무지방산업단지도로(투찰)②_마현생창(동양고속)_왜관-태평건설 2" xfId="10930"/>
    <cellStyle name="_대곡이설(투찰)_합덕-신례원(2공구)투찰_봉무지방산업단지도로(투찰)②_왜관-태평건설" xfId="10931"/>
    <cellStyle name="_대곡이설(투찰)_합덕-신례원(2공구)투찰_봉무지방산업단지도로(투찰)②_왜관-태평건설 2" xfId="10932"/>
    <cellStyle name="_대곡이설(투찰)_합덕-신례원(2공구)투찰_봉무지방산업단지도로(투찰)②+0.250%" xfId="10919"/>
    <cellStyle name="_대곡이설(투찰)_합덕-신례원(2공구)투찰_봉무지방산업단지도로(투찰)②+0.250% 2" xfId="10920"/>
    <cellStyle name="_대곡이설(투찰)_합덕-신례원(2공구)투찰_봉무지방산업단지도로(투찰)②+0.250%_마현생창(동양고속)" xfId="10921"/>
    <cellStyle name="_대곡이설(투찰)_합덕-신례원(2공구)투찰_봉무지방산업단지도로(투찰)②+0.250%_마현생창(동양고속) 2" xfId="10922"/>
    <cellStyle name="_대곡이설(투찰)_합덕-신례원(2공구)투찰_봉무지방산업단지도로(투찰)②+0.250%_마현생창(동양고속)_왜관-태평건설" xfId="10923"/>
    <cellStyle name="_대곡이설(투찰)_합덕-신례원(2공구)투찰_봉무지방산업단지도로(투찰)②+0.250%_마현생창(동양고속)_왜관-태평건설 2" xfId="10924"/>
    <cellStyle name="_대곡이설(투찰)_합덕-신례원(2공구)투찰_봉무지방산업단지도로(투찰)②+0.250%_왜관-태평건설" xfId="10925"/>
    <cellStyle name="_대곡이설(투찰)_합덕-신례원(2공구)투찰_봉무지방산업단지도로(투찰)②+0.250%_왜관-태평건설 2" xfId="10926"/>
    <cellStyle name="_대곡이설(투찰)_합덕-신례원(2공구)투찰_왜관-태평건설" xfId="10933"/>
    <cellStyle name="_대곡이설(투찰)_합덕-신례원(2공구)투찰_왜관-태평건설 2" xfId="10934"/>
    <cellStyle name="_대곡이설(투찰)_합덕-신례원(2공구)투찰_합덕-신례원(2공구)투찰" xfId="10935"/>
    <cellStyle name="_대곡이설(투찰)_합덕-신례원(2공구)투찰_합덕-신례원(2공구)투찰 2" xfId="10936"/>
    <cellStyle name="_대곡이설(투찰)_합덕-신례원(2공구)투찰_합덕-신례원(2공구)투찰_경찰서-터미널간도로(투찰)②" xfId="10937"/>
    <cellStyle name="_대곡이설(투찰)_합덕-신례원(2공구)투찰_합덕-신례원(2공구)투찰_경찰서-터미널간도로(투찰)② 2" xfId="10938"/>
    <cellStyle name="_대곡이설(투찰)_합덕-신례원(2공구)투찰_합덕-신례원(2공구)투찰_경찰서-터미널간도로(투찰)②_마현생창(동양고속)" xfId="10939"/>
    <cellStyle name="_대곡이설(투찰)_합덕-신례원(2공구)투찰_합덕-신례원(2공구)투찰_경찰서-터미널간도로(투찰)②_마현생창(동양고속) 2" xfId="10940"/>
    <cellStyle name="_대곡이설(투찰)_합덕-신례원(2공구)투찰_합덕-신례원(2공구)투찰_경찰서-터미널간도로(투찰)②_마현생창(동양고속)_왜관-태평건설" xfId="10941"/>
    <cellStyle name="_대곡이설(투찰)_합덕-신례원(2공구)투찰_합덕-신례원(2공구)투찰_경찰서-터미널간도로(투찰)②_마현생창(동양고속)_왜관-태평건설 2" xfId="10942"/>
    <cellStyle name="_대곡이설(투찰)_합덕-신례원(2공구)투찰_합덕-신례원(2공구)투찰_경찰서-터미널간도로(투찰)②_왜관-태평건설" xfId="10943"/>
    <cellStyle name="_대곡이설(투찰)_합덕-신례원(2공구)투찰_합덕-신례원(2공구)투찰_경찰서-터미널간도로(투찰)②_왜관-태평건설 2" xfId="10944"/>
    <cellStyle name="_대곡이설(투찰)_합덕-신례원(2공구)투찰_합덕-신례원(2공구)투찰_마현생창(동양고속)" xfId="10945"/>
    <cellStyle name="_대곡이설(투찰)_합덕-신례원(2공구)투찰_합덕-신례원(2공구)투찰_마현생창(동양고속) 2" xfId="10946"/>
    <cellStyle name="_대곡이설(투찰)_합덕-신례원(2공구)투찰_합덕-신례원(2공구)투찰_마현생창(동양고속)_왜관-태평건설" xfId="10947"/>
    <cellStyle name="_대곡이설(투찰)_합덕-신례원(2공구)투찰_합덕-신례원(2공구)투찰_마현생창(동양고속)_왜관-태평건설 2" xfId="10948"/>
    <cellStyle name="_대곡이설(투찰)_합덕-신례원(2공구)투찰_합덕-신례원(2공구)투찰_봉무지방산업단지도로(투찰)②" xfId="10949"/>
    <cellStyle name="_대곡이설(투찰)_합덕-신례원(2공구)투찰_합덕-신례원(2공구)투찰_봉무지방산업단지도로(투찰)② 2" xfId="10950"/>
    <cellStyle name="_대곡이설(투찰)_합덕-신례원(2공구)투찰_합덕-신례원(2공구)투찰_봉무지방산업단지도로(투찰)②_마현생창(동양고속)" xfId="10959"/>
    <cellStyle name="_대곡이설(투찰)_합덕-신례원(2공구)투찰_합덕-신례원(2공구)투찰_봉무지방산업단지도로(투찰)②_마현생창(동양고속) 2" xfId="10960"/>
    <cellStyle name="_대곡이설(투찰)_합덕-신례원(2공구)투찰_합덕-신례원(2공구)투찰_봉무지방산업단지도로(투찰)②_마현생창(동양고속)_왜관-태평건설" xfId="10961"/>
    <cellStyle name="_대곡이설(투찰)_합덕-신례원(2공구)투찰_합덕-신례원(2공구)투찰_봉무지방산업단지도로(투찰)②_마현생창(동양고속)_왜관-태평건설 2" xfId="10962"/>
    <cellStyle name="_대곡이설(투찰)_합덕-신례원(2공구)투찰_합덕-신례원(2공구)투찰_봉무지방산업단지도로(투찰)②_왜관-태평건설" xfId="10963"/>
    <cellStyle name="_대곡이설(투찰)_합덕-신례원(2공구)투찰_합덕-신례원(2공구)투찰_봉무지방산업단지도로(투찰)②_왜관-태평건설 2" xfId="10964"/>
    <cellStyle name="_대곡이설(투찰)_합덕-신례원(2공구)투찰_합덕-신례원(2공구)투찰_봉무지방산업단지도로(투찰)②+0.250%" xfId="10951"/>
    <cellStyle name="_대곡이설(투찰)_합덕-신례원(2공구)투찰_합덕-신례원(2공구)투찰_봉무지방산업단지도로(투찰)②+0.250% 2" xfId="10952"/>
    <cellStyle name="_대곡이설(투찰)_합덕-신례원(2공구)투찰_합덕-신례원(2공구)투찰_봉무지방산업단지도로(투찰)②+0.250%_마현생창(동양고속)" xfId="10953"/>
    <cellStyle name="_대곡이설(투찰)_합덕-신례원(2공구)투찰_합덕-신례원(2공구)투찰_봉무지방산업단지도로(투찰)②+0.250%_마현생창(동양고속) 2" xfId="10954"/>
    <cellStyle name="_대곡이설(투찰)_합덕-신례원(2공구)투찰_합덕-신례원(2공구)투찰_봉무지방산업단지도로(투찰)②+0.250%_마현생창(동양고속)_왜관-태평건설" xfId="10955"/>
    <cellStyle name="_대곡이설(투찰)_합덕-신례원(2공구)투찰_합덕-신례원(2공구)투찰_봉무지방산업단지도로(투찰)②+0.250%_마현생창(동양고속)_왜관-태평건설 2" xfId="10956"/>
    <cellStyle name="_대곡이설(투찰)_합덕-신례원(2공구)투찰_합덕-신례원(2공구)투찰_봉무지방산업단지도로(투찰)②+0.250%_왜관-태평건설" xfId="10957"/>
    <cellStyle name="_대곡이설(투찰)_합덕-신례원(2공구)투찰_합덕-신례원(2공구)투찰_봉무지방산업단지도로(투찰)②+0.250%_왜관-태평건설 2" xfId="10958"/>
    <cellStyle name="_대곡이설(투찰)_합덕-신례원(2공구)투찰_합덕-신례원(2공구)투찰_왜관-태평건설" xfId="10965"/>
    <cellStyle name="_대곡이설(투찰)_합덕-신례원(2공구)투찰_합덕-신례원(2공구)투찰_왜관-태평건설 2" xfId="10966"/>
    <cellStyle name="_대관업무비" xfId="10967"/>
    <cellStyle name="_대관업무비 2" xfId="10968"/>
    <cellStyle name="_대관업무비_서울숲교회 02-15" xfId="10969"/>
    <cellStyle name="_대관업무비_서울숲교회 02-15 2" xfId="10970"/>
    <cellStyle name="_대관업무비_서울숲교회01-19" xfId="10971"/>
    <cellStyle name="_대관업무비_서울숲교회01-19 2" xfId="10972"/>
    <cellStyle name="_대관업무비_서울숲교회02-07" xfId="10973"/>
    <cellStyle name="_대관업무비_서울숲교회02-07 2" xfId="10974"/>
    <cellStyle name="_대관업무비_서울숲교회부속실02-07" xfId="10975"/>
    <cellStyle name="_대관업무비_서울숲교회부속실02-07 2" xfId="10976"/>
    <cellStyle name="_대관업무비_서울숲교회부속실영상2-7" xfId="10977"/>
    <cellStyle name="_대관업무비_서울숲교회부속실영상2-7 2" xfId="10978"/>
    <cellStyle name="_대관업무비_효성교회견적계약" xfId="10979"/>
    <cellStyle name="_대관업무비_효성교회견적계약 2" xfId="10980"/>
    <cellStyle name="_대구논공초" xfId="10981"/>
    <cellStyle name="_대구논공초 2" xfId="10982"/>
    <cellStyle name="_대구메카트로닉스 부품산업화센터-전기(0816)" xfId="10983"/>
    <cellStyle name="_대구메카트로닉스 부품산업화센터-전기(0816) 2" xfId="10984"/>
    <cellStyle name="_대구메카트로닉스 부품산업화센터-전기(0816)_서울숲교회 02-15" xfId="10985"/>
    <cellStyle name="_대구메카트로닉스 부품산업화센터-전기(0816)_서울숲교회 02-15 2" xfId="10986"/>
    <cellStyle name="_대구메카트로닉스 부품산업화센터-전기(0816)_서울숲교회01-19" xfId="10987"/>
    <cellStyle name="_대구메카트로닉스 부품산업화센터-전기(0816)_서울숲교회01-19 2" xfId="10988"/>
    <cellStyle name="_대구메카트로닉스 부품산업화센터-전기(0816)_서울숲교회02-07" xfId="10989"/>
    <cellStyle name="_대구메카트로닉스 부품산업화센터-전기(0816)_서울숲교회02-07 2" xfId="10990"/>
    <cellStyle name="_대구메카트로닉스 부품산업화센터-전기(0816)_서울숲교회부속실02-07" xfId="10991"/>
    <cellStyle name="_대구메카트로닉스 부품산업화센터-전기(0816)_서울숲교회부속실02-07 2" xfId="10992"/>
    <cellStyle name="_대구메카트로닉스 부품산업화센터-전기(0816)_서울숲교회부속실영상2-7" xfId="10993"/>
    <cellStyle name="_대구메카트로닉스 부품산업화센터-전기(0816)_서울숲교회부속실영상2-7 2" xfId="10994"/>
    <cellStyle name="_대구메카트로닉스 부품산업화센터-전기(0816)_효성교회견적계약" xfId="10995"/>
    <cellStyle name="_대구메카트로닉스 부품산업화센터-전기(0816)_효성교회견적계약 2" xfId="10996"/>
    <cellStyle name="_대구백화점제출견적(2001년5월22일)" xfId="10997"/>
    <cellStyle name="_대구백화점제출견적(2001년5월22일) 2" xfId="10998"/>
    <cellStyle name="_대구수성리더스뷰 견적(061031)" xfId="10999"/>
    <cellStyle name="_대구수성리더스뷰 견적(061031) 2" xfId="11000"/>
    <cellStyle name="_대구역사약전내역(자재부제출)" xfId="11001"/>
    <cellStyle name="_대구용산APT(견적)" xfId="11002"/>
    <cellStyle name="_대구용산APT(견적) 2" xfId="11003"/>
    <cellStyle name="_대구점" xfId="11004"/>
    <cellStyle name="_대구점 역사" xfId="11005"/>
    <cellStyle name="_대국교일반수량" xfId="11006"/>
    <cellStyle name="_대국교일반수량 2" xfId="11007"/>
    <cellStyle name="_대덕연구실부대토목내역수량" xfId="11008"/>
    <cellStyle name="_대덕연구실부대토목내역수량 2" xfId="11009"/>
    <cellStyle name="_대리점현황" xfId="11010"/>
    <cellStyle name="_대리점현황 2" xfId="11011"/>
    <cellStyle name="_대리점현황_서울숲교회 02-15" xfId="11012"/>
    <cellStyle name="_대리점현황_서울숲교회 02-15 2" xfId="11013"/>
    <cellStyle name="_대리점현황_서울숲교회01-19" xfId="11014"/>
    <cellStyle name="_대리점현황_서울숲교회01-19 2" xfId="11015"/>
    <cellStyle name="_대리점현황_서울숲교회02-07" xfId="11016"/>
    <cellStyle name="_대리점현황_서울숲교회02-07 2" xfId="11017"/>
    <cellStyle name="_대리점현황_서울숲교회부속실02-07" xfId="11018"/>
    <cellStyle name="_대리점현황_서울숲교회부속실02-07 2" xfId="11019"/>
    <cellStyle name="_대리점현황_서울숲교회부속실영상2-7" xfId="11020"/>
    <cellStyle name="_대리점현황_서울숲교회부속실영상2-7 2" xfId="11021"/>
    <cellStyle name="_대리점현황_효성교회견적계약" xfId="11022"/>
    <cellStyle name="_대리점현황_효성교회견적계약 2" xfId="11023"/>
    <cellStyle name="_대비표양식" xfId="11024"/>
    <cellStyle name="_대비표양식 2" xfId="11025"/>
    <cellStyle name="_대신환경기술" xfId="11026"/>
    <cellStyle name="_대신환경기술 2" xfId="11027"/>
    <cellStyle name="_대안투찰내역(0221)" xfId="11028"/>
    <cellStyle name="_대안투찰내역(0221)_3-1(금강)-여의도 세우회관 철거공사" xfId="11029"/>
    <cellStyle name="_대안투찰내역(0221)_3-1(금강)-여의도 세우회관 철거공사_24-1(동부)-두능-연곡 도로건설공사 중 기존교량철거" xfId="11030"/>
    <cellStyle name="_대안투찰내역(0221)_3-1(금강)-여의도 세우회관 철거공사_견적1" xfId="11031"/>
    <cellStyle name="_대안투찰내역(0221)_3-1(금강)-여의도 세우회관 철거공사_견적1_28-3-2 삼환-대한생명 63빌딩 현장 철거공사 (재노경)" xfId="11032"/>
    <cellStyle name="_대안투찰내역(0221)_8-2(삼성)-김해공항 국제청 화물청사 세관창고철거" xfId="11033"/>
    <cellStyle name="_대안투찰내역(0221)_8-2(삼성)-김해공항 국제청 화물청사 세관창고철거_24-1(동부)-두능-연곡 도로건설공사 중 기존교량철거" xfId="11034"/>
    <cellStyle name="_대안투찰내역(0221)_8-2(삼성)-김해공항 국제청 화물청사 세관창고철거_견적1" xfId="11035"/>
    <cellStyle name="_대안투찰내역(0221)_8-2(삼성)-김해공항 국제청 화물청사 세관창고철거_견적1_28-3-2 삼환-대한생명 63빌딩 현장 철거공사 (재노경)" xfId="11036"/>
    <cellStyle name="_대안투찰내역(0221)_견적1" xfId="11037"/>
    <cellStyle name="_대안투찰내역(0221)_견적1_28-3-2 삼환-대한생명 63빌딩 현장 철거공사 (재노경)" xfId="11038"/>
    <cellStyle name="_대안투찰내역(0221)_견적서" xfId="11039"/>
    <cellStyle name="_대안투찰내역(0221)_견적서_24-1(동부)-두능-연곡 도로건설공사 중 기존교량철거" xfId="11040"/>
    <cellStyle name="_대안투찰내역(0221)_견적서_견적1" xfId="11041"/>
    <cellStyle name="_대안투찰내역(0221)_견적서_견적1_28-3-2 삼환-대한생명 63빌딩 현장 철거공사 (재노경)" xfId="11042"/>
    <cellStyle name="_대안투찰내역(0223)" xfId="11043"/>
    <cellStyle name="_대안투찰내역(0223)_3-1(금강)-여의도 세우회관 철거공사" xfId="11044"/>
    <cellStyle name="_대안투찰내역(0223)_3-1(금강)-여의도 세우회관 철거공사_24-1(동부)-두능-연곡 도로건설공사 중 기존교량철거" xfId="11045"/>
    <cellStyle name="_대안투찰내역(0223)_3-1(금강)-여의도 세우회관 철거공사_견적1" xfId="11046"/>
    <cellStyle name="_대안투찰내역(0223)_3-1(금강)-여의도 세우회관 철거공사_견적1_28-3-2 삼환-대한생명 63빌딩 현장 철거공사 (재노경)" xfId="11047"/>
    <cellStyle name="_대안투찰내역(0223)_8-2(삼성)-김해공항 국제청 화물청사 세관창고철거" xfId="11048"/>
    <cellStyle name="_대안투찰내역(0223)_8-2(삼성)-김해공항 국제청 화물청사 세관창고철거_24-1(동부)-두능-연곡 도로건설공사 중 기존교량철거" xfId="11049"/>
    <cellStyle name="_대안투찰내역(0223)_8-2(삼성)-김해공항 국제청 화물청사 세관창고철거_견적1" xfId="11050"/>
    <cellStyle name="_대안투찰내역(0223)_8-2(삼성)-김해공항 국제청 화물청사 세관창고철거_견적1_28-3-2 삼환-대한생명 63빌딩 현장 철거공사 (재노경)" xfId="11051"/>
    <cellStyle name="_대안투찰내역(0223)_견적1" xfId="11052"/>
    <cellStyle name="_대안투찰내역(0223)_견적1_28-3-2 삼환-대한생명 63빌딩 현장 철거공사 (재노경)" xfId="11053"/>
    <cellStyle name="_대안투찰내역(0223)_견적서" xfId="11054"/>
    <cellStyle name="_대안투찰내역(0223)_견적서_24-1(동부)-두능-연곡 도로건설공사 중 기존교량철거" xfId="11055"/>
    <cellStyle name="_대안투찰내역(0223)_견적서_견적1" xfId="11056"/>
    <cellStyle name="_대안투찰내역(0223)_견적서_견적1_28-3-2 삼환-대한생명 63빌딩 현장 철거공사 (재노경)" xfId="11057"/>
    <cellStyle name="_대안투찰내역(확정본0226)" xfId="11058"/>
    <cellStyle name="_대안투찰내역(확정본0226)_3-1(금강)-여의도 세우회관 철거공사" xfId="11059"/>
    <cellStyle name="_대안투찰내역(확정본0226)_3-1(금강)-여의도 세우회관 철거공사_24-1(동부)-두능-연곡 도로건설공사 중 기존교량철거" xfId="11060"/>
    <cellStyle name="_대안투찰내역(확정본0226)_3-1(금강)-여의도 세우회관 철거공사_견적1" xfId="11061"/>
    <cellStyle name="_대안투찰내역(확정본0226)_3-1(금강)-여의도 세우회관 철거공사_견적1_28-3-2 삼환-대한생명 63빌딩 현장 철거공사 (재노경)" xfId="11062"/>
    <cellStyle name="_대안투찰내역(확정본0226)_8-2(삼성)-김해공항 국제청 화물청사 세관창고철거" xfId="11063"/>
    <cellStyle name="_대안투찰내역(확정본0226)_8-2(삼성)-김해공항 국제청 화물청사 세관창고철거_24-1(동부)-두능-연곡 도로건설공사 중 기존교량철거" xfId="11064"/>
    <cellStyle name="_대안투찰내역(확정본0226)_8-2(삼성)-김해공항 국제청 화물청사 세관창고철거_견적1" xfId="11065"/>
    <cellStyle name="_대안투찰내역(확정본0226)_8-2(삼성)-김해공항 국제청 화물청사 세관창고철거_견적1_28-3-2 삼환-대한생명 63빌딩 현장 철거공사 (재노경)" xfId="11066"/>
    <cellStyle name="_대안투찰내역(확정본0226)_견적1" xfId="11067"/>
    <cellStyle name="_대안투찰내역(확정본0226)_견적1_28-3-2 삼환-대한생명 63빌딩 현장 철거공사 (재노경)" xfId="11068"/>
    <cellStyle name="_대안투찰내역(확정본0226)_견적서" xfId="11069"/>
    <cellStyle name="_대안투찰내역(확정본0226)_견적서_24-1(동부)-두능-연곡 도로건설공사 중 기존교량철거" xfId="11070"/>
    <cellStyle name="_대안투찰내역(확정본0226)_견적서_견적1" xfId="11071"/>
    <cellStyle name="_대안투찰내역(확정본0226)_견적서_견적1_28-3-2 삼환-대한생명 63빌딩 현장 철거공사 (재노경)" xfId="11072"/>
    <cellStyle name="_대왕콘크리트" xfId="11073"/>
    <cellStyle name="_대왕콘크리트 2" xfId="11074"/>
    <cellStyle name="_대우- 경주엑스포" xfId="11081"/>
    <cellStyle name="_대우 대구침산" xfId="11075"/>
    <cellStyle name="_대우 대구침산 2" xfId="11076"/>
    <cellStyle name="_대우 대구침산_2007현황보고양식" xfId="11077"/>
    <cellStyle name="_대우 대구침산_2007현황보고양식 2" xfId="11078"/>
    <cellStyle name="_대우 대구침산_현대건설 대구대천" xfId="11079"/>
    <cellStyle name="_대우 대구침산_현대건설 대구대천 2" xfId="11080"/>
    <cellStyle name="_대우건설 해운대우동(11. 3)" xfId="11082"/>
    <cellStyle name="_대우건설 해운대우동(11. 3) 2" xfId="11083"/>
    <cellStyle name="_대우건설 해운대우동(11. 3)_2007현황보고양식" xfId="11084"/>
    <cellStyle name="_대우건설 해운대우동(11. 3)_2007현황보고양식 2" xfId="11085"/>
    <cellStyle name="_대전노은2-1전기내역서(2차수정107)" xfId="11086"/>
    <cellStyle name="_대전노은2-1전기내역서(2차수정107) 2" xfId="11087"/>
    <cellStyle name="_대전노은2-1전기내역서(2차수정107)_내역서(건설사)" xfId="11088"/>
    <cellStyle name="_대전노은2-1전기내역서(2차수정107)_내역서(건설사) 2" xfId="11089"/>
    <cellStyle name="_대전노은2-1전기내역서(2차수정107)_내역서(작업)" xfId="11090"/>
    <cellStyle name="_대전노은2-1전기내역서(2차수정107)_내역서(작업) 2" xfId="11091"/>
    <cellStyle name="_대전노은2-1전기내역서(2차수정107)_하도급분류- 대전노은2-1" xfId="11092"/>
    <cellStyle name="_대전노은2-1전기내역서(2차수정107)_하도급분류- 대전노은2-1 2" xfId="11093"/>
    <cellStyle name="_대전노은2-1전기내역서(2차수정107)_하도급분류- 대전노은2-1_내역서(건설사)" xfId="11094"/>
    <cellStyle name="_대전노은2-1전기내역서(2차수정107)_하도급분류- 대전노은2-1_내역서(건설사) 2" xfId="11095"/>
    <cellStyle name="_대전노은2-1전기내역서(2차수정107)_하도급분류- 대전노은2-1_내역서(작업)" xfId="11096"/>
    <cellStyle name="_대전노은2-1전기내역서(2차수정107)_하도급분류- 대전노은2-1_내역서(작업) 2" xfId="11097"/>
    <cellStyle name="_대전노은2-1전기내역서(2차수정107)_하도급분류- 대전노은2-1_용인동백공사비분석" xfId="11098"/>
    <cellStyle name="_대전노은2-1전기내역서(2차수정107)_하도급분류- 대전노은2-1_용인동백공사비분석 2" xfId="11099"/>
    <cellStyle name="_대전노은2-1전기내역서(2차수정107)_하도급분류- 대전노은2-1_용인동백공사비분석_내역서(건설사)" xfId="11100"/>
    <cellStyle name="_대전노은2-1전기내역서(2차수정107)_하도급분류- 대전노은2-1_용인동백공사비분석_내역서(건설사) 2" xfId="11101"/>
    <cellStyle name="_대전노은2-1전기내역서(2차수정107)_하도급분류- 대전노은2-1_용인동백공사비분석_내역서(작업)" xfId="11102"/>
    <cellStyle name="_대전노은2-1전기내역서(2차수정107)_하도급분류- 대전노은2-1_용인동백공사비분석_내역서(작업) 2" xfId="11103"/>
    <cellStyle name="_대전노은2-1전기내역서(도급50)" xfId="11104"/>
    <cellStyle name="_대전노은2-1전기내역서(도급50) 2" xfId="11105"/>
    <cellStyle name="_대전노은2-1전기내역서(도급50)_내역서(건설사)" xfId="11106"/>
    <cellStyle name="_대전노은2-1전기내역서(도급50)_내역서(건설사) 2" xfId="11107"/>
    <cellStyle name="_대전노은2-1전기내역서(도급50)_내역서(작업)" xfId="11108"/>
    <cellStyle name="_대전노은2-1전기내역서(도급50)_내역서(작업) 2" xfId="11109"/>
    <cellStyle name="_대전노은2-1전기내역서(도급50)_하도급분류- 대전노은2-1" xfId="11110"/>
    <cellStyle name="_대전노은2-1전기내역서(도급50)_하도급분류- 대전노은2-1 2" xfId="11111"/>
    <cellStyle name="_대전노은2-1전기내역서(도급50)_하도급분류- 대전노은2-1_내역서(건설사)" xfId="11112"/>
    <cellStyle name="_대전노은2-1전기내역서(도급50)_하도급분류- 대전노은2-1_내역서(건설사) 2" xfId="11113"/>
    <cellStyle name="_대전노은2-1전기내역서(도급50)_하도급분류- 대전노은2-1_내역서(작업)" xfId="11114"/>
    <cellStyle name="_대전노은2-1전기내역서(도급50)_하도급분류- 대전노은2-1_내역서(작업) 2" xfId="11115"/>
    <cellStyle name="_대전노은2-1전기내역서(도급50)_하도급분류- 대전노은2-1_용인동백공사비분석" xfId="11116"/>
    <cellStyle name="_대전노은2-1전기내역서(도급50)_하도급분류- 대전노은2-1_용인동백공사비분석 2" xfId="11117"/>
    <cellStyle name="_대전노은2-1전기내역서(도급50)_하도급분류- 대전노은2-1_용인동백공사비분석_내역서(건설사)" xfId="11118"/>
    <cellStyle name="_대전노은2-1전기내역서(도급50)_하도급분류- 대전노은2-1_용인동백공사비분석_내역서(건설사) 2" xfId="11119"/>
    <cellStyle name="_대전노은2-1전기내역서(도급50)_하도급분류- 대전노은2-1_용인동백공사비분석_내역서(작업)" xfId="11120"/>
    <cellStyle name="_대전노은2-1전기내역서(도급50)_하도급분류- 대전노은2-1_용인동백공사비분석_내역서(작업) 2" xfId="11121"/>
    <cellStyle name="_대전노은지구2-1-총괄 전기내역서(강영연)" xfId="11122"/>
    <cellStyle name="_대전노은지구2-1-총괄 전기내역서(강영연) 2" xfId="11123"/>
    <cellStyle name="_대전노은지구2-1-총괄 전기내역서(강영연)_내역서(건설사)" xfId="11124"/>
    <cellStyle name="_대전노은지구2-1-총괄 전기내역서(강영연)_내역서(건설사) 2" xfId="11125"/>
    <cellStyle name="_대전노은지구2-1-총괄 전기내역서(강영연)_내역서(작업)" xfId="11126"/>
    <cellStyle name="_대전노은지구2-1-총괄 전기내역서(강영연)_내역서(작업) 2" xfId="11127"/>
    <cellStyle name="_대전노은지구2-1-총괄 전기내역서(강영연)_하도급분류- 대전노은2-1" xfId="11128"/>
    <cellStyle name="_대전노은지구2-1-총괄 전기내역서(강영연)_하도급분류- 대전노은2-1 2" xfId="11129"/>
    <cellStyle name="_대전노은지구2-1-총괄 전기내역서(강영연)_하도급분류- 대전노은2-1_내역서(건설사)" xfId="11130"/>
    <cellStyle name="_대전노은지구2-1-총괄 전기내역서(강영연)_하도급분류- 대전노은2-1_내역서(건설사) 2" xfId="11131"/>
    <cellStyle name="_대전노은지구2-1-총괄 전기내역서(강영연)_하도급분류- 대전노은2-1_내역서(작업)" xfId="11132"/>
    <cellStyle name="_대전노은지구2-1-총괄 전기내역서(강영연)_하도급분류- 대전노은2-1_내역서(작업) 2" xfId="11133"/>
    <cellStyle name="_대전노은지구2-1-총괄 전기내역서(강영연)_하도급분류- 대전노은2-1_용인동백공사비분석" xfId="11134"/>
    <cellStyle name="_대전노은지구2-1-총괄 전기내역서(강영연)_하도급분류- 대전노은2-1_용인동백공사비분석 2" xfId="11135"/>
    <cellStyle name="_대전노은지구2-1-총괄 전기내역서(강영연)_하도급분류- 대전노은2-1_용인동백공사비분석_내역서(건설사)" xfId="11136"/>
    <cellStyle name="_대전노은지구2-1-총괄 전기내역서(강영연)_하도급분류- 대전노은2-1_용인동백공사비분석_내역서(건설사) 2" xfId="11137"/>
    <cellStyle name="_대전노은지구2-1-총괄 전기내역서(강영연)_하도급분류- 대전노은2-1_용인동백공사비분석_내역서(작업)" xfId="11138"/>
    <cellStyle name="_대전노은지구2-1-총괄 전기내역서(강영연)_하도급분류- 대전노은2-1_용인동백공사비분석_내역서(작업) 2" xfId="11139"/>
    <cellStyle name="_대전망운용국 대수선 전기공사+개요" xfId="11140"/>
    <cellStyle name="_대전망운용국 대수선 전기공사+개요 2" xfId="11141"/>
    <cellStyle name="_대전서붕고하도급" xfId="11142"/>
    <cellStyle name="_대전서붕고하도급 2" xfId="11143"/>
    <cellStyle name="_대호전기" xfId="11144"/>
    <cellStyle name="_대호전기 2" xfId="11145"/>
    <cellStyle name="_대호지~석문간지방도확포장공사(신일)" xfId="11146"/>
    <cellStyle name="_대호지~석문간지방도확포장공사(신일) 2" xfId="11147"/>
    <cellStyle name="_덕원(통신)" xfId="11148"/>
    <cellStyle name="_덕원(통신) 2" xfId="11149"/>
    <cellStyle name="_덕원(통신)_서울숲교회 02-15" xfId="11150"/>
    <cellStyle name="_덕원(통신)_서울숲교회 02-15 2" xfId="11151"/>
    <cellStyle name="_덕원(통신)_서울숲교회01-19" xfId="11152"/>
    <cellStyle name="_덕원(통신)_서울숲교회01-19 2" xfId="11153"/>
    <cellStyle name="_덕원(통신)_서울숲교회02-07" xfId="11154"/>
    <cellStyle name="_덕원(통신)_서울숲교회02-07 2" xfId="11155"/>
    <cellStyle name="_덕원(통신)_서울숲교회부속실02-07" xfId="11156"/>
    <cellStyle name="_덕원(통신)_서울숲교회부속실02-07 2" xfId="11157"/>
    <cellStyle name="_덕원(통신)_서울숲교회부속실영상2-7" xfId="11158"/>
    <cellStyle name="_덕원(통신)_서울숲교회부속실영상2-7 2" xfId="11159"/>
    <cellStyle name="_덕원(통신)_효성교회견적계약" xfId="11160"/>
    <cellStyle name="_덕원(통신)_효성교회견적계약 2" xfId="11161"/>
    <cellStyle name="_도급내역서(01년1월)" xfId="11162"/>
    <cellStyle name="_도급내역서(01년1월) 2" xfId="11163"/>
    <cellStyle name="_도급내역서(입성설비)" xfId="11164"/>
    <cellStyle name="_도급내역서(입성설비) 2" xfId="11165"/>
    <cellStyle name="_도급내역서(최종)" xfId="11166"/>
    <cellStyle name="_도급내역서(최종) 2" xfId="11167"/>
    <cellStyle name="_도급실행0211" xfId="11168"/>
    <cellStyle name="_도급실행0211_3-1(금강)-여의도 세우회관 철거공사" xfId="11169"/>
    <cellStyle name="_도급실행0211_3-1(금강)-여의도 세우회관 철거공사_24-1(동부)-두능-연곡 도로건설공사 중 기존교량철거" xfId="11170"/>
    <cellStyle name="_도급실행0211_3-1(금강)-여의도 세우회관 철거공사_견적1" xfId="11171"/>
    <cellStyle name="_도급실행0211_3-1(금강)-여의도 세우회관 철거공사_견적1_28-3-2 삼환-대한생명 63빌딩 현장 철거공사 (재노경)" xfId="11172"/>
    <cellStyle name="_도급실행0211_8-2(삼성)-김해공항 국제청 화물청사 세관창고철거" xfId="11173"/>
    <cellStyle name="_도급실행0211_8-2(삼성)-김해공항 국제청 화물청사 세관창고철거_24-1(동부)-두능-연곡 도로건설공사 중 기존교량철거" xfId="11174"/>
    <cellStyle name="_도급실행0211_8-2(삼성)-김해공항 국제청 화물청사 세관창고철거_견적1" xfId="11175"/>
    <cellStyle name="_도급실행0211_8-2(삼성)-김해공항 국제청 화물청사 세관창고철거_견적1_28-3-2 삼환-대한생명 63빌딩 현장 철거공사 (재노경)" xfId="11176"/>
    <cellStyle name="_도급실행0211_견적1" xfId="11177"/>
    <cellStyle name="_도급실행0211_견적1_28-3-2 삼환-대한생명 63빌딩 현장 철거공사 (재노경)" xfId="11178"/>
    <cellStyle name="_도급실행0211_견적서" xfId="11179"/>
    <cellStyle name="_도급실행0211_견적서_24-1(동부)-두능-연곡 도로건설공사 중 기존교량철거" xfId="11180"/>
    <cellStyle name="_도급실행0211_견적서_견적1" xfId="11181"/>
    <cellStyle name="_도급실행0211_견적서_견적1_28-3-2 삼환-대한생명 63빌딩 현장 철거공사 (재노경)" xfId="11182"/>
    <cellStyle name="_도덕-고흥도로(투찰)" xfId="11183"/>
    <cellStyle name="_도덕-고흥도로(투찰) 2" xfId="11184"/>
    <cellStyle name="_도로" xfId="11185"/>
    <cellStyle name="_도로공사대전지사" xfId="11186"/>
    <cellStyle name="_도로공사대전지사 2" xfId="11187"/>
    <cellStyle name="_도암~강진도로확장공사(대국2)" xfId="11188"/>
    <cellStyle name="_도암~강진도로확장공사(대국2) 2" xfId="11189"/>
    <cellStyle name="_돈암중조경공내역" xfId="11190"/>
    <cellStyle name="_돈암중조경공내역 2" xfId="11191"/>
    <cellStyle name="_동대문실내체육관(천마낙찰)" xfId="11192"/>
    <cellStyle name="_동대문실내체육관(천마낙찰) 2" xfId="11193"/>
    <cellStyle name="_동락천계약서" xfId="11194"/>
    <cellStyle name="_동락천계약서 2" xfId="11195"/>
    <cellStyle name="_동래점" xfId="11196"/>
    <cellStyle name="_동래점 2" xfId="11197"/>
    <cellStyle name="_동목포전화국제4회기성청구서" xfId="11198"/>
    <cellStyle name="_동목포전화국제4회기성청구서 2" xfId="11199"/>
    <cellStyle name="_동백타운하우스내역서부대토목(견적최종)-실행(이능수과장.2008.2.29)" xfId="11202"/>
    <cellStyle name="_동백타운하우스내역서부대토목(견적최종)-실행(이능수과장.2008.2.29) 2" xfId="11203"/>
    <cellStyle name="_동백타운하우스-부대토목실행예산(최종)-이능수과장님2008.2.29" xfId="11200"/>
    <cellStyle name="_동백타운하우스-부대토목실행예산(최종)-이능수과장님2008.2.29 2" xfId="11201"/>
    <cellStyle name="_동산병원 장례식장 리모델링(계약검토-실행)" xfId="11204"/>
    <cellStyle name="_동산병원 장례식장 리모델링(계약검토-실행) 2" xfId="11205"/>
    <cellStyle name="_동성아파트견적서" xfId="11206"/>
    <cellStyle name="_동성아파트견적서 2" xfId="11207"/>
    <cellStyle name="_동원꽃농원" xfId="11208"/>
    <cellStyle name="_동원꽃농원 2" xfId="11209"/>
    <cellStyle name="_동천동근린생활시설(계약검토-실행)" xfId="11210"/>
    <cellStyle name="_동천동근린생활시설(계약검토-실행) 2" xfId="11211"/>
    <cellStyle name="_동학농민(전기)(02.09.05)" xfId="11212"/>
    <cellStyle name="_동학농민(전기)(02.09.05) 2" xfId="11213"/>
    <cellStyle name="_두계변전소하도급" xfId="11214"/>
    <cellStyle name="_두계변전소하도급 2" xfId="11215"/>
    <cellStyle name="_두산산업개발 입찰견적" xfId="11216"/>
    <cellStyle name="_두산산업개발 입찰견적 2" xfId="11217"/>
    <cellStyle name="_두산중공업 입찰견적" xfId="11218"/>
    <cellStyle name="_두산중공업 입찰견적 2" xfId="11219"/>
    <cellStyle name="_두원전설" xfId="11220"/>
    <cellStyle name="_등촌고등총괄(동현하도급)" xfId="11221"/>
    <cellStyle name="_등촌고등총괄(동현하도급) 2" xfId="11222"/>
    <cellStyle name="_등촌동()-결재" xfId="11223"/>
    <cellStyle name="_등촌동()-결재 2" xfId="11224"/>
    <cellStyle name="_등촌동()-결재_내역서(건설사)" xfId="11225"/>
    <cellStyle name="_등촌동()-결재_내역서(건설사) 2" xfId="11226"/>
    <cellStyle name="_등촌동()-결재_내역서(작업)" xfId="11227"/>
    <cellStyle name="_등촌동()-결재_내역서(작업) 2" xfId="11228"/>
    <cellStyle name="_등촌동()-결재_휴게소-결재" xfId="11229"/>
    <cellStyle name="_등촌동()-결재_휴게소-결재 2" xfId="11230"/>
    <cellStyle name="_등촌동()-결재_휴게소-결재_내역서(건설사)" xfId="11231"/>
    <cellStyle name="_등촌동()-결재_휴게소-결재_내역서(건설사) 2" xfId="11232"/>
    <cellStyle name="_등촌동()-결재_휴게소-결재_내역서(작업)" xfId="11233"/>
    <cellStyle name="_등촌동()-결재_휴게소-결재_내역서(작업) 2" xfId="11234"/>
    <cellStyle name="_등촌동-결재" xfId="11235"/>
    <cellStyle name="_등촌동-결재 2" xfId="11236"/>
    <cellStyle name="_등촌동-결재(통합비교)" xfId="11237"/>
    <cellStyle name="_등촌동-결재(통합비교) 2" xfId="11238"/>
    <cellStyle name="_등촌동-결재(통합비교)_내역서(건설사)" xfId="11239"/>
    <cellStyle name="_등촌동-결재(통합비교)_내역서(건설사) 2" xfId="11240"/>
    <cellStyle name="_등촌동-결재(통합비교)_내역서(작업)" xfId="11241"/>
    <cellStyle name="_등촌동-결재(통합비교)_내역서(작업) 2" xfId="11242"/>
    <cellStyle name="_등촌동-결재(통합비교)_휴게소-결재" xfId="11243"/>
    <cellStyle name="_등촌동-결재(통합비교)_휴게소-결재 2" xfId="11244"/>
    <cellStyle name="_등촌동-결재(통합비교)_휴게소-결재_내역서(건설사)" xfId="11245"/>
    <cellStyle name="_등촌동-결재(통합비교)_휴게소-결재_내역서(건설사) 2" xfId="11246"/>
    <cellStyle name="_등촌동-결재(통합비교)_휴게소-결재_내역서(작업)" xfId="11247"/>
    <cellStyle name="_등촌동-결재(통합비교)_휴게소-결재_내역서(작업) 2" xfId="11248"/>
    <cellStyle name="_등촌동-결재_내역서(건설사)" xfId="11249"/>
    <cellStyle name="_등촌동-결재_내역서(건설사) 2" xfId="11250"/>
    <cellStyle name="_등촌동-결재_내역서(작업)" xfId="11251"/>
    <cellStyle name="_등촌동-결재_내역서(작업) 2" xfId="11252"/>
    <cellStyle name="_등촌동-결재_휴게소-결재" xfId="11253"/>
    <cellStyle name="_등촌동-결재_휴게소-결재 2" xfId="11254"/>
    <cellStyle name="_등촌동-결재_휴게소-결재_내역서(건설사)" xfId="11255"/>
    <cellStyle name="_등촌동-결재_휴게소-결재_내역서(건설사) 2" xfId="11256"/>
    <cellStyle name="_등촌동-결재_휴게소-결재_내역서(작업)" xfId="11257"/>
    <cellStyle name="_등촌동-결재_휴게소-결재_내역서(작업) 2" xfId="11258"/>
    <cellStyle name="_디자인체험관 교육프로그램개발(투여인원10명)" xfId="11259"/>
    <cellStyle name="_디자인체험관 교육프로그램개발(투여인원10명) 2" xfId="11260"/>
    <cellStyle name="_롯데 마그넷 목포점 전기공사" xfId="11261"/>
    <cellStyle name="_롯데 마그넷 목포점 전기공사 2" xfId="11262"/>
    <cellStyle name="_롯데2층일위대가-1" xfId="11263"/>
    <cellStyle name="_롯데2층일위대가-1 2" xfId="11264"/>
    <cellStyle name="_롯데2층일위대가-1_1" xfId="11265"/>
    <cellStyle name="_롯데2층일위대가-1_1 2" xfId="11266"/>
    <cellStyle name="_롯데본점 신관지하1층" xfId="11267"/>
    <cellStyle name="_롯데쇼핑(주) 롯데 마그넷 영등포점 신축공사" xfId="11268"/>
    <cellStyle name="_롯데쇼핑(주) 롯데 마그넷 영등포점 신축공사 2" xfId="11269"/>
    <cellStyle name="_롯데쇼핑(주)소공동호텔분전반제작납품공사" xfId="11270"/>
    <cellStyle name="_롯데쇼핑(주)소공동호텔분전반제작납품공사 2" xfId="11271"/>
    <cellStyle name="_리뉴얼일반전기(이전)" xfId="11272"/>
    <cellStyle name="_리빙_main2_5" xfId="11273"/>
    <cellStyle name="_리빙_main2_5 2" xfId="11274"/>
    <cellStyle name="_마가레트 호텔" xfId="11275"/>
    <cellStyle name="_마가레트 호텔 2" xfId="11276"/>
    <cellStyle name="_마그넷 도봉점" xfId="11277"/>
    <cellStyle name="_마그넷 도봉점(전력)" xfId="11278"/>
    <cellStyle name="_마그넷 도봉점_1" xfId="11279"/>
    <cellStyle name="_마그넷 도봉점_광주점 리뉴얼 약전설비계약내역서(갱신본)" xfId="11280"/>
    <cellStyle name="_마그넷 도봉점_마그넷 도봉점" xfId="11281"/>
    <cellStyle name="_마그넷 도봉점_마그넷 첨단점" xfId="11282"/>
    <cellStyle name="_마그넷 도봉점_마그넷 포항점" xfId="11283"/>
    <cellStyle name="_마그넷 마산점" xfId="11286"/>
    <cellStyle name="_마그넷 마산점 2" xfId="11287"/>
    <cellStyle name="_마그넷 마산-총괄" xfId="11284"/>
    <cellStyle name="_마그넷 마산-총괄 2" xfId="11285"/>
    <cellStyle name="_마그넷 영등포점" xfId="11288"/>
    <cellStyle name="_마그넷 영등포점 2" xfId="11289"/>
    <cellStyle name="_마그넷 오산점" xfId="11290"/>
    <cellStyle name="_마그넷 오산점_1" xfId="11291"/>
    <cellStyle name="_마그넷 의왕점(최종)" xfId="11292"/>
    <cellStyle name="_마그넷 중계점" xfId="11293"/>
    <cellStyle name="_마그넷 첨단점" xfId="11294"/>
    <cellStyle name="_마그넷 포항점" xfId="11295"/>
    <cellStyle name="_마그넷마산점" xfId="11296"/>
    <cellStyle name="_마그넷의왕점(소방)" xfId="11297"/>
    <cellStyle name="_마그넷전력간선연간단가(2001년 BM)" xfId="11298"/>
    <cellStyle name="_마장초입찰내역(용동)" xfId="11299"/>
    <cellStyle name="_마장초입찰내역(용동) 2" xfId="11300"/>
    <cellStyle name="_마현~생창국도건설공사" xfId="11301"/>
    <cellStyle name="_마현~생창국도건설공사 2" xfId="11302"/>
    <cellStyle name="_매립방호책설치" xfId="11303"/>
    <cellStyle name="_매립방호책설치 2" xfId="11304"/>
    <cellStyle name="_메카트로닉스CCTV 내역서" xfId="11305"/>
    <cellStyle name="_메카트로닉스CCTV 내역서 2" xfId="11306"/>
    <cellStyle name="_메카트로닉스CCTV 내역서_서울숲교회 02-15" xfId="11307"/>
    <cellStyle name="_메카트로닉스CCTV 내역서_서울숲교회 02-15 2" xfId="11308"/>
    <cellStyle name="_메카트로닉스CCTV 내역서_서울숲교회01-19" xfId="11309"/>
    <cellStyle name="_메카트로닉스CCTV 내역서_서울숲교회01-19 2" xfId="11310"/>
    <cellStyle name="_메카트로닉스CCTV 내역서_서울숲교회02-07" xfId="11311"/>
    <cellStyle name="_메카트로닉스CCTV 내역서_서울숲교회02-07 2" xfId="11312"/>
    <cellStyle name="_메카트로닉스CCTV 내역서_서울숲교회부속실02-07" xfId="11313"/>
    <cellStyle name="_메카트로닉스CCTV 내역서_서울숲교회부속실02-07 2" xfId="11314"/>
    <cellStyle name="_메카트로닉스CCTV 내역서_서울숲교회부속실영상2-7" xfId="11315"/>
    <cellStyle name="_메카트로닉스CCTV 내역서_서울숲교회부속실영상2-7 2" xfId="11316"/>
    <cellStyle name="_메카트로닉스CCTV 내역서_효성교회견적계약" xfId="11317"/>
    <cellStyle name="_메카트로닉스CCTV 내역서_효성교회견적계약 2" xfId="11318"/>
    <cellStyle name="_명암지-산성간" xfId="11319"/>
    <cellStyle name="_명암지-산성간 2" xfId="11320"/>
    <cellStyle name="_명품가조명제어" xfId="11321"/>
    <cellStyle name="_목제공틀(2006.01.01)_tool" xfId="11322"/>
    <cellStyle name="_목제공틀(2006.01.01)_tool 2" xfId="11323"/>
    <cellStyle name="_목포약전계약내역" xfId="11324"/>
    <cellStyle name="_무창(전자입찰용)" xfId="11325"/>
    <cellStyle name="_무창(전자입찰용) 2" xfId="11326"/>
    <cellStyle name="_무창(전자입찰용)_왜관-태평건설" xfId="11327"/>
    <cellStyle name="_무창(전자입찰용)_왜관-태평건설 2" xfId="11328"/>
    <cellStyle name="_물가자료(2006년3월)-1" xfId="11329"/>
    <cellStyle name="_물가자료(2006년3월)-1 2" xfId="11330"/>
    <cellStyle name="_물가자료(2006년6월)" xfId="11331"/>
    <cellStyle name="_물가자료(2006년6월) 2" xfId="11332"/>
    <cellStyle name="_미아아파트기계집행내역(분양분수정)" xfId="11333"/>
    <cellStyle name="_미아아파트기계집행내역(분양분수정) 2" xfId="11334"/>
    <cellStyle name="_미장동_이준석" xfId="11335"/>
    <cellStyle name="_미장동_이준석 2" xfId="11336"/>
    <cellStyle name="_미주향 인버터 PBA PV단계 DB93-02515K DB93-04597D결점율" xfId="11337"/>
    <cellStyle name="_미주향 인버터 PBA PV단계 DB93-02515K DB93-04597D결점율 2" xfId="11338"/>
    <cellStyle name="_반도체연계매출손익08속" xfId="11339"/>
    <cellStyle name="_반도체연계매출손익08속 2" xfId="11340"/>
    <cellStyle name="_반도체연계월별01속~반도체" xfId="11341"/>
    <cellStyle name="_반도체연계월별01속~반도체 2" xfId="11342"/>
    <cellStyle name="_방음벽" xfId="11343"/>
    <cellStyle name="_방음벽(대호)" xfId="11344"/>
    <cellStyle name="_방음벽_031)길내기" xfId="11345"/>
    <cellStyle name="_방음벽_1-1도로" xfId="11346"/>
    <cellStyle name="_방음벽_31길내기" xfId="11347"/>
    <cellStyle name="_방음벽_Book1" xfId="11348"/>
    <cellStyle name="_방음벽_Book2" xfId="11349"/>
    <cellStyle name="_방음벽_Book3" xfId="11350"/>
    <cellStyle name="_방음벽_경서정거장도로" xfId="11351"/>
    <cellStyle name="_방음벽_길내기33702.88" xfId="11352"/>
    <cellStyle name="_방음벽_도로" xfId="11353"/>
    <cellStyle name="_방음벽_사본 - 031)길내기" xfId="11354"/>
    <cellStyle name="_방음벽_차도부현황" xfId="11355"/>
    <cellStyle name="_방음벽_토공자재집계" xfId="11356"/>
    <cellStyle name="_백석지구농촌용수개발사업(대원)" xfId="11357"/>
    <cellStyle name="_백석지구농촌용수개발사업(대원) 2" xfId="11358"/>
    <cellStyle name="_범박5단지 506동 202호 아트월 070212" xfId="11359"/>
    <cellStyle name="_범박5단지 506동 202호 아트월 070212 2" xfId="11360"/>
    <cellStyle name="_벽산건설 신림 삼두" xfId="11361"/>
    <cellStyle name="_벽산건설 신림 삼두 2" xfId="11362"/>
    <cellStyle name="_벽산건설 신림 삼두_두산산업개발 입찰견적" xfId="11363"/>
    <cellStyle name="_벽산건설 신림 삼두_두산산업개발 입찰견적 2" xfId="11364"/>
    <cellStyle name="_벽산건설 신림 삼두_두산중공업 입찰견적" xfId="11365"/>
    <cellStyle name="_벽산건설 신림 삼두_두산중공업 입찰견적 2" xfId="11366"/>
    <cellStyle name="_변경건수량산출서" xfId="11367"/>
    <cellStyle name="_변경건수량산출서 2" xfId="11368"/>
    <cellStyle name="_별첨(계획서및실적서양식)" xfId="11369"/>
    <cellStyle name="_별첨(계획서및실적서양식) 2" xfId="11370"/>
    <cellStyle name="_별첨(계획서및실적서양식)_1" xfId="11371"/>
    <cellStyle name="_별첨(계획서및실적서양식)_1 2" xfId="11372"/>
    <cellStyle name="_병원전문-차시영" xfId="11373"/>
    <cellStyle name="_보강사전(검토)" xfId="11374"/>
    <cellStyle name="_보강사전(검토) 2" xfId="11375"/>
    <cellStyle name="_보강토토공" xfId="11376"/>
    <cellStyle name="_보강토토공 2" xfId="11377"/>
    <cellStyle name="_보고01_3" xfId="11378"/>
    <cellStyle name="_보고01_3 2" xfId="11379"/>
    <cellStyle name="_보고서(진해)" xfId="11380"/>
    <cellStyle name="_보고서(진해) 2" xfId="11381"/>
    <cellStyle name="_보안등계약8.09" xfId="11382"/>
    <cellStyle name="_보안등계약8.09 2" xfId="11383"/>
    <cellStyle name="_보안등계약8.4" xfId="11384"/>
    <cellStyle name="_보안등계약8.4 2" xfId="11385"/>
    <cellStyle name="_보안등최종설계5.14" xfId="11386"/>
    <cellStyle name="_보안등최종설계5.14 2" xfId="11387"/>
    <cellStyle name="_보안등최종설계5.14_가로등계약6.14" xfId="11388"/>
    <cellStyle name="_보안등최종설계5.14_가로등계약6.14 2" xfId="11389"/>
    <cellStyle name="_보안등최종설계5.14_보안등계약8.09" xfId="11390"/>
    <cellStyle name="_보안등최종설계5.14_보안등계약8.09 2" xfId="11391"/>
    <cellStyle name="_보안등최종설계5.14_양지면관내가로등설계" xfId="11392"/>
    <cellStyle name="_보안등최종설계5.14_양지면관내가로등설계 2" xfId="11393"/>
    <cellStyle name="_보안등최종설계5.14_양지면관내보안등설계" xfId="11394"/>
    <cellStyle name="_보안등최종설계5.14_양지면관내보안등설계 2" xfId="11395"/>
    <cellStyle name="_보정리부대공(설계변경1차)" xfId="11396"/>
    <cellStyle name="_보정리부대공(설계변경1차) 2" xfId="11397"/>
    <cellStyle name="_보정리수량산출서" xfId="11398"/>
    <cellStyle name="_보정리수량산출서 2" xfId="11399"/>
    <cellStyle name="_보정리현장(실정보고)-6월8일" xfId="11400"/>
    <cellStyle name="_보정리현장(실정보고)-6월8일 2" xfId="11401"/>
    <cellStyle name="_복사본 견적서(골재포설)" xfId="11402"/>
    <cellStyle name="_복사본 견적서(골재포설) 2" xfId="11403"/>
    <cellStyle name="_복사본 셈풀" xfId="11404"/>
    <cellStyle name="_복사본 셈풀 2" xfId="11405"/>
    <cellStyle name="_본선부속자재집계표" xfId="11406"/>
    <cellStyle name="_본선수로콘크리트" xfId="11407"/>
    <cellStyle name="_본선수로콘크리트_031)길내기" xfId="11408"/>
    <cellStyle name="_본선수로콘크리트_1-1도로" xfId="11409"/>
    <cellStyle name="_본선수로콘크리트_31길내기" xfId="11410"/>
    <cellStyle name="_본선수로콘크리트_Book1" xfId="11411"/>
    <cellStyle name="_본선수로콘크리트_Book2" xfId="11412"/>
    <cellStyle name="_본선수로콘크리트_Book3" xfId="11413"/>
    <cellStyle name="_본선수로콘크리트_경서정거장도로" xfId="11414"/>
    <cellStyle name="_본선수로콘크리트_길내기33702.88" xfId="11415"/>
    <cellStyle name="_본선수로콘크리트_길내기6.0" xfId="11416"/>
    <cellStyle name="_본선수로콘크리트_도로" xfId="11417"/>
    <cellStyle name="_본선수로콘크리트_방음벽" xfId="11418"/>
    <cellStyle name="_본선수로콘크리트_방음벽(대호)" xfId="11419"/>
    <cellStyle name="_본선수로콘크리트_방음벽_031)길내기" xfId="11420"/>
    <cellStyle name="_본선수로콘크리트_방음벽_1-1도로" xfId="11421"/>
    <cellStyle name="_본선수로콘크리트_방음벽_31길내기" xfId="11422"/>
    <cellStyle name="_본선수로콘크리트_방음벽_Book1" xfId="11423"/>
    <cellStyle name="_본선수로콘크리트_방음벽_Book2" xfId="11424"/>
    <cellStyle name="_본선수로콘크리트_방음벽_Book3" xfId="11425"/>
    <cellStyle name="_본선수로콘크리트_방음벽_경서정거장도로" xfId="11426"/>
    <cellStyle name="_본선수로콘크리트_방음벽_길내기33702.88" xfId="11427"/>
    <cellStyle name="_본선수로콘크리트_방음벽_도로" xfId="11428"/>
    <cellStyle name="_본선수로콘크리트_방음벽_사본 - 031)길내기" xfId="11429"/>
    <cellStyle name="_본선수로콘크리트_방음벽_차도부현황" xfId="11430"/>
    <cellStyle name="_본선수로콘크리트_방음벽_토공자재집계" xfId="11431"/>
    <cellStyle name="_본선수로콘크리트_사본 - 031)길내기" xfId="11432"/>
    <cellStyle name="_본선수로콘크리트_운북교(수정4월24일)" xfId="11433"/>
    <cellStyle name="_본선수로콘크리트_운북교(수정4월24일)_운북교(수정4월24일)" xfId="11434"/>
    <cellStyle name="_본선수로콘크리트_운북교(수정4월24일)_운북교(수정4월24일)_횡천교 교각수량" xfId="11435"/>
    <cellStyle name="_본선수로콘크리트_운북교(수정4월24일)_운북교(수정4월24일)_횡천교 교각수량 산출 및 집계" xfId="11436"/>
    <cellStyle name="_본선수로콘크리트_운북교(수정4월24일)_운북교(수정4월24일)_횡천교 교대 수량산출" xfId="11437"/>
    <cellStyle name="_본선수로콘크리트_운북교(수정4월24일)_횡천교 교각수량" xfId="11438"/>
    <cellStyle name="_본선수로콘크리트_운북교(수정4월24일)_횡천교 교각수량 산출 및 집계" xfId="11439"/>
    <cellStyle name="_본선수로콘크리트_운북교(수정4월24일)_횡천교 교대 수량산출" xfId="11440"/>
    <cellStyle name="_본선수로콘크리트_울타리및차량방호책" xfId="11441"/>
    <cellStyle name="_본선수로콘크리트_울타리및차량방호책_031)길내기" xfId="11442"/>
    <cellStyle name="_본선수로콘크리트_울타리및차량방호책_1-1도로" xfId="11443"/>
    <cellStyle name="_본선수로콘크리트_울타리및차량방호책_31길내기" xfId="11444"/>
    <cellStyle name="_본선수로콘크리트_울타리및차량방호책_Book1" xfId="11445"/>
    <cellStyle name="_본선수로콘크리트_울타리및차량방호책_Book2" xfId="11446"/>
    <cellStyle name="_본선수로콘크리트_울타리및차량방호책_Book3" xfId="11447"/>
    <cellStyle name="_본선수로콘크리트_울타리및차량방호책_경서정거장도로" xfId="11448"/>
    <cellStyle name="_본선수로콘크리트_울타리및차량방호책_길내기33702.88" xfId="11449"/>
    <cellStyle name="_본선수로콘크리트_울타리및차량방호책_도로" xfId="11450"/>
    <cellStyle name="_본선수로콘크리트_울타리및차량방호책_사본 - 031)길내기" xfId="11451"/>
    <cellStyle name="_본선수로콘크리트_울타리및차량방호책_차도부현황" xfId="11452"/>
    <cellStyle name="_본선수로콘크리트_울타리및차량방호책_토공자재집계" xfId="11453"/>
    <cellStyle name="_본선수로콘크리트_차도부현황" xfId="11454"/>
    <cellStyle name="_본선수로콘크리트_토공자재집계" xfId="11455"/>
    <cellStyle name="_본선수로콘크리트_횡천교 교각수량" xfId="11456"/>
    <cellStyle name="_본선수로콘크리트_횡천교 교각수량 산출 및 집계" xfId="11457"/>
    <cellStyle name="_본선수로콘크리트_횡천교 교대 수량산출" xfId="11458"/>
    <cellStyle name="_본선수로콘크리트수량총괄집계표" xfId="11459"/>
    <cellStyle name="_본점(최종)" xfId="11460"/>
    <cellStyle name="_본점(최종) 2" xfId="11461"/>
    <cellStyle name="_본점)6,7층 리뉴얼공사 현장설명" xfId="11462"/>
    <cellStyle name="_본점)6,7층 리뉴얼공사 현장설명 2" xfId="11463"/>
    <cellStyle name="_본점본관" xfId="11464"/>
    <cellStyle name="_봉곡중내역서(대지건설)" xfId="11465"/>
    <cellStyle name="_봉곡중내역서(대지건설) 2" xfId="11466"/>
    <cellStyle name="_봉곡중총괄(대지완결)" xfId="11467"/>
    <cellStyle name="_봉곡중총괄(대지완결) 2" xfId="11468"/>
    <cellStyle name="_봉림고교 교사신축(최종)" xfId="11469"/>
    <cellStyle name="_봉림고교 교사신축(최종) 2" xfId="11470"/>
    <cellStyle name="_봉림고교 교사신축(최종)-참고용" xfId="11471"/>
    <cellStyle name="_봉림고교 교사신축(최종)-참고용 2" xfId="11472"/>
    <cellStyle name="_봉현내역서최종11-05" xfId="11473"/>
    <cellStyle name="_봉현내역서최종11-05 2" xfId="11474"/>
    <cellStyle name="_부대결과" xfId="11475"/>
    <cellStyle name="_부대결과 2" xfId="11476"/>
    <cellStyle name="_부대결과_Book1" xfId="11477"/>
    <cellStyle name="_부대결과_Book1 2" xfId="11478"/>
    <cellStyle name="_부대결과_Book1_내역서(최초)" xfId="11479"/>
    <cellStyle name="_부대결과_Book1_내역서(최초) 2" xfId="11480"/>
    <cellStyle name="_부대결과_Book1_설계내역서" xfId="11481"/>
    <cellStyle name="_부대결과_Book1_설계내역서 2" xfId="11482"/>
    <cellStyle name="_부대결과_Book1_설계내역서(2차)" xfId="11483"/>
    <cellStyle name="_부대결과_Book1_설계내역서(2차) 2" xfId="11484"/>
    <cellStyle name="_부대결과_P-(현리-신팔)" xfId="11485"/>
    <cellStyle name="_부대결과_P-(현리-신팔) 2" xfId="11486"/>
    <cellStyle name="_부대결과_P-(현리-신팔)_내역서(최초)" xfId="11487"/>
    <cellStyle name="_부대결과_P-(현리-신팔)_내역서(최초) 2" xfId="11488"/>
    <cellStyle name="_부대결과_P-(현리-신팔)_설계내역서" xfId="11489"/>
    <cellStyle name="_부대결과_P-(현리-신팔)_설계내역서 2" xfId="11490"/>
    <cellStyle name="_부대결과_P-(현리-신팔)_설계내역서(2차)" xfId="11491"/>
    <cellStyle name="_부대결과_P-(현리-신팔)_설계내역서(2차) 2" xfId="11492"/>
    <cellStyle name="_부대결과_내역서(최초)" xfId="11493"/>
    <cellStyle name="_부대결과_내역서(최초) 2" xfId="11494"/>
    <cellStyle name="_부대결과_설계내역서" xfId="11495"/>
    <cellStyle name="_부대결과_설계내역서 2" xfId="11496"/>
    <cellStyle name="_부대결과_설계내역서(2차)" xfId="11497"/>
    <cellStyle name="_부대결과_설계내역서(2차) 2" xfId="11498"/>
    <cellStyle name="_부대결과_현리-신팔도로설계" xfId="11499"/>
    <cellStyle name="_부대결과_현리-신팔도로설계 2" xfId="11500"/>
    <cellStyle name="_부대결과_현리-신팔도로설계_내역서(최초)" xfId="11501"/>
    <cellStyle name="_부대결과_현리-신팔도로설계_내역서(최초) 2" xfId="11502"/>
    <cellStyle name="_부대결과_현리-신팔도로설계_설계내역서" xfId="11503"/>
    <cellStyle name="_부대결과_현리-신팔도로설계_설계내역서 2" xfId="11504"/>
    <cellStyle name="_부대결과_현리-신팔도로설계_설계내역서(2차)" xfId="11505"/>
    <cellStyle name="_부대결과_현리-신팔도로설계_설계내역서(2차) 2" xfId="11506"/>
    <cellStyle name="_부대공설계변경1차(제출용)" xfId="11507"/>
    <cellStyle name="_부대공설계변경1차(제출용) 2" xfId="11508"/>
    <cellStyle name="_부대입찰양식②" xfId="11509"/>
    <cellStyle name="_부대입찰양식② 2" xfId="11510"/>
    <cellStyle name="_부대입찰양식②_경찰서-터미널간도로(투찰)②" xfId="11511"/>
    <cellStyle name="_부대입찰양식②_경찰서-터미널간도로(투찰)② 2" xfId="11512"/>
    <cellStyle name="_부대입찰양식②_경찰서-터미널간도로(투찰)②_마현생창(동양고속)" xfId="11513"/>
    <cellStyle name="_부대입찰양식②_경찰서-터미널간도로(투찰)②_마현생창(동양고속) 2" xfId="11514"/>
    <cellStyle name="_부대입찰양식②_경찰서-터미널간도로(투찰)②_마현생창(동양고속)_왜관-태평건설" xfId="11515"/>
    <cellStyle name="_부대입찰양식②_경찰서-터미널간도로(투찰)②_마현생창(동양고속)_왜관-태평건설 2" xfId="11516"/>
    <cellStyle name="_부대입찰양식②_경찰서-터미널간도로(투찰)②_왜관-태평건설" xfId="11517"/>
    <cellStyle name="_부대입찰양식②_경찰서-터미널간도로(투찰)②_왜관-태평건설 2" xfId="11518"/>
    <cellStyle name="_부대입찰양식②_마현생창(동양고속)" xfId="11519"/>
    <cellStyle name="_부대입찰양식②_마현생창(동양고속) 2" xfId="11520"/>
    <cellStyle name="_부대입찰양식②_마현생창(동양고속)_왜관-태평건설" xfId="11521"/>
    <cellStyle name="_부대입찰양식②_마현생창(동양고속)_왜관-태평건설 2" xfId="11522"/>
    <cellStyle name="_부대입찰양식②_봉무지방산업단지도로(투찰)②" xfId="11523"/>
    <cellStyle name="_부대입찰양식②_봉무지방산업단지도로(투찰)② 2" xfId="11524"/>
    <cellStyle name="_부대입찰양식②_봉무지방산업단지도로(투찰)②_마현생창(동양고속)" xfId="11533"/>
    <cellStyle name="_부대입찰양식②_봉무지방산업단지도로(투찰)②_마현생창(동양고속) 2" xfId="11534"/>
    <cellStyle name="_부대입찰양식②_봉무지방산업단지도로(투찰)②_마현생창(동양고속)_왜관-태평건설" xfId="11535"/>
    <cellStyle name="_부대입찰양식②_봉무지방산업단지도로(투찰)②_마현생창(동양고속)_왜관-태평건설 2" xfId="11536"/>
    <cellStyle name="_부대입찰양식②_봉무지방산업단지도로(투찰)②_왜관-태평건설" xfId="11537"/>
    <cellStyle name="_부대입찰양식②_봉무지방산업단지도로(투찰)②_왜관-태평건설 2" xfId="11538"/>
    <cellStyle name="_부대입찰양식②_봉무지방산업단지도로(투찰)②+0.250%" xfId="11525"/>
    <cellStyle name="_부대입찰양식②_봉무지방산업단지도로(투찰)②+0.250% 2" xfId="11526"/>
    <cellStyle name="_부대입찰양식②_봉무지방산업단지도로(투찰)②+0.250%_마현생창(동양고속)" xfId="11527"/>
    <cellStyle name="_부대입찰양식②_봉무지방산업단지도로(투찰)②+0.250%_마현생창(동양고속) 2" xfId="11528"/>
    <cellStyle name="_부대입찰양식②_봉무지방산업단지도로(투찰)②+0.250%_마현생창(동양고속)_왜관-태평건설" xfId="11529"/>
    <cellStyle name="_부대입찰양식②_봉무지방산업단지도로(투찰)②+0.250%_마현생창(동양고속)_왜관-태평건설 2" xfId="11530"/>
    <cellStyle name="_부대입찰양식②_봉무지방산업단지도로(투찰)②+0.250%_왜관-태평건설" xfId="11531"/>
    <cellStyle name="_부대입찰양식②_봉무지방산업단지도로(투찰)②+0.250%_왜관-태평건설 2" xfId="11532"/>
    <cellStyle name="_부대입찰양식②_왜관-태평건설" xfId="11539"/>
    <cellStyle name="_부대입찰양식②_왜관-태평건설 2" xfId="11540"/>
    <cellStyle name="_부대입찰양식②_합덕-신례원(2공구)투찰" xfId="11541"/>
    <cellStyle name="_부대입찰양식②_합덕-신례원(2공구)투찰 2" xfId="11542"/>
    <cellStyle name="_부대입찰양식②_합덕-신례원(2공구)투찰_경찰서-터미널간도로(투찰)②" xfId="11543"/>
    <cellStyle name="_부대입찰양식②_합덕-신례원(2공구)투찰_경찰서-터미널간도로(투찰)② 2" xfId="11544"/>
    <cellStyle name="_부대입찰양식②_합덕-신례원(2공구)투찰_경찰서-터미널간도로(투찰)②_마현생창(동양고속)" xfId="11545"/>
    <cellStyle name="_부대입찰양식②_합덕-신례원(2공구)투찰_경찰서-터미널간도로(투찰)②_마현생창(동양고속) 2" xfId="11546"/>
    <cellStyle name="_부대입찰양식②_합덕-신례원(2공구)투찰_경찰서-터미널간도로(투찰)②_마현생창(동양고속)_왜관-태평건설" xfId="11547"/>
    <cellStyle name="_부대입찰양식②_합덕-신례원(2공구)투찰_경찰서-터미널간도로(투찰)②_마현생창(동양고속)_왜관-태평건설 2" xfId="11548"/>
    <cellStyle name="_부대입찰양식②_합덕-신례원(2공구)투찰_경찰서-터미널간도로(투찰)②_왜관-태평건설" xfId="11549"/>
    <cellStyle name="_부대입찰양식②_합덕-신례원(2공구)투찰_경찰서-터미널간도로(투찰)②_왜관-태평건설 2" xfId="11550"/>
    <cellStyle name="_부대입찰양식②_합덕-신례원(2공구)투찰_마현생창(동양고속)" xfId="11551"/>
    <cellStyle name="_부대입찰양식②_합덕-신례원(2공구)투찰_마현생창(동양고속) 2" xfId="11552"/>
    <cellStyle name="_부대입찰양식②_합덕-신례원(2공구)투찰_마현생창(동양고속)_왜관-태평건설" xfId="11553"/>
    <cellStyle name="_부대입찰양식②_합덕-신례원(2공구)투찰_마현생창(동양고속)_왜관-태평건설 2" xfId="11554"/>
    <cellStyle name="_부대입찰양식②_합덕-신례원(2공구)투찰_봉무지방산업단지도로(투찰)②" xfId="11555"/>
    <cellStyle name="_부대입찰양식②_합덕-신례원(2공구)투찰_봉무지방산업단지도로(투찰)② 2" xfId="11556"/>
    <cellStyle name="_부대입찰양식②_합덕-신례원(2공구)투찰_봉무지방산업단지도로(투찰)②_마현생창(동양고속)" xfId="11565"/>
    <cellStyle name="_부대입찰양식②_합덕-신례원(2공구)투찰_봉무지방산업단지도로(투찰)②_마현생창(동양고속) 2" xfId="11566"/>
    <cellStyle name="_부대입찰양식②_합덕-신례원(2공구)투찰_봉무지방산업단지도로(투찰)②_마현생창(동양고속)_왜관-태평건설" xfId="11567"/>
    <cellStyle name="_부대입찰양식②_합덕-신례원(2공구)투찰_봉무지방산업단지도로(투찰)②_마현생창(동양고속)_왜관-태평건설 2" xfId="11568"/>
    <cellStyle name="_부대입찰양식②_합덕-신례원(2공구)투찰_봉무지방산업단지도로(투찰)②_왜관-태평건설" xfId="11569"/>
    <cellStyle name="_부대입찰양식②_합덕-신례원(2공구)투찰_봉무지방산업단지도로(투찰)②_왜관-태평건설 2" xfId="11570"/>
    <cellStyle name="_부대입찰양식②_합덕-신례원(2공구)투찰_봉무지방산업단지도로(투찰)②+0.250%" xfId="11557"/>
    <cellStyle name="_부대입찰양식②_합덕-신례원(2공구)투찰_봉무지방산업단지도로(투찰)②+0.250% 2" xfId="11558"/>
    <cellStyle name="_부대입찰양식②_합덕-신례원(2공구)투찰_봉무지방산업단지도로(투찰)②+0.250%_마현생창(동양고속)" xfId="11559"/>
    <cellStyle name="_부대입찰양식②_합덕-신례원(2공구)투찰_봉무지방산업단지도로(투찰)②+0.250%_마현생창(동양고속) 2" xfId="11560"/>
    <cellStyle name="_부대입찰양식②_합덕-신례원(2공구)투찰_봉무지방산업단지도로(투찰)②+0.250%_마현생창(동양고속)_왜관-태평건설" xfId="11561"/>
    <cellStyle name="_부대입찰양식②_합덕-신례원(2공구)투찰_봉무지방산업단지도로(투찰)②+0.250%_마현생창(동양고속)_왜관-태평건설 2" xfId="11562"/>
    <cellStyle name="_부대입찰양식②_합덕-신례원(2공구)투찰_봉무지방산업단지도로(투찰)②+0.250%_왜관-태평건설" xfId="11563"/>
    <cellStyle name="_부대입찰양식②_합덕-신례원(2공구)투찰_봉무지방산업단지도로(투찰)②+0.250%_왜관-태평건설 2" xfId="11564"/>
    <cellStyle name="_부대입찰양식②_합덕-신례원(2공구)투찰_왜관-태평건설" xfId="11571"/>
    <cellStyle name="_부대입찰양식②_합덕-신례원(2공구)투찰_왜관-태평건설 2" xfId="11572"/>
    <cellStyle name="_부대입찰양식②_합덕-신례원(2공구)투찰_합덕-신례원(2공구)투찰" xfId="11573"/>
    <cellStyle name="_부대입찰양식②_합덕-신례원(2공구)투찰_합덕-신례원(2공구)투찰 2" xfId="11574"/>
    <cellStyle name="_부대입찰양식②_합덕-신례원(2공구)투찰_합덕-신례원(2공구)투찰_경찰서-터미널간도로(투찰)②" xfId="11575"/>
    <cellStyle name="_부대입찰양식②_합덕-신례원(2공구)투찰_합덕-신례원(2공구)투찰_경찰서-터미널간도로(투찰)② 2" xfId="11576"/>
    <cellStyle name="_부대입찰양식②_합덕-신례원(2공구)투찰_합덕-신례원(2공구)투찰_경찰서-터미널간도로(투찰)②_마현생창(동양고속)" xfId="11577"/>
    <cellStyle name="_부대입찰양식②_합덕-신례원(2공구)투찰_합덕-신례원(2공구)투찰_경찰서-터미널간도로(투찰)②_마현생창(동양고속) 2" xfId="11578"/>
    <cellStyle name="_부대입찰양식②_합덕-신례원(2공구)투찰_합덕-신례원(2공구)투찰_경찰서-터미널간도로(투찰)②_마현생창(동양고속)_왜관-태평건설" xfId="11579"/>
    <cellStyle name="_부대입찰양식②_합덕-신례원(2공구)투찰_합덕-신례원(2공구)투찰_경찰서-터미널간도로(투찰)②_마현생창(동양고속)_왜관-태평건설 2" xfId="11580"/>
    <cellStyle name="_부대입찰양식②_합덕-신례원(2공구)투찰_합덕-신례원(2공구)투찰_경찰서-터미널간도로(투찰)②_왜관-태평건설" xfId="11581"/>
    <cellStyle name="_부대입찰양식②_합덕-신례원(2공구)투찰_합덕-신례원(2공구)투찰_경찰서-터미널간도로(투찰)②_왜관-태평건설 2" xfId="11582"/>
    <cellStyle name="_부대입찰양식②_합덕-신례원(2공구)투찰_합덕-신례원(2공구)투찰_마현생창(동양고속)" xfId="11583"/>
    <cellStyle name="_부대입찰양식②_합덕-신례원(2공구)투찰_합덕-신례원(2공구)투찰_마현생창(동양고속) 2" xfId="11584"/>
    <cellStyle name="_부대입찰양식②_합덕-신례원(2공구)투찰_합덕-신례원(2공구)투찰_마현생창(동양고속)_왜관-태평건설" xfId="11585"/>
    <cellStyle name="_부대입찰양식②_합덕-신례원(2공구)투찰_합덕-신례원(2공구)투찰_마현생창(동양고속)_왜관-태평건설 2" xfId="11586"/>
    <cellStyle name="_부대입찰양식②_합덕-신례원(2공구)투찰_합덕-신례원(2공구)투찰_봉무지방산업단지도로(투찰)②" xfId="11587"/>
    <cellStyle name="_부대입찰양식②_합덕-신례원(2공구)투찰_합덕-신례원(2공구)투찰_봉무지방산업단지도로(투찰)② 2" xfId="11588"/>
    <cellStyle name="_부대입찰양식②_합덕-신례원(2공구)투찰_합덕-신례원(2공구)투찰_봉무지방산업단지도로(투찰)②_마현생창(동양고속)" xfId="11597"/>
    <cellStyle name="_부대입찰양식②_합덕-신례원(2공구)투찰_합덕-신례원(2공구)투찰_봉무지방산업단지도로(투찰)②_마현생창(동양고속) 2" xfId="11598"/>
    <cellStyle name="_부대입찰양식②_합덕-신례원(2공구)투찰_합덕-신례원(2공구)투찰_봉무지방산업단지도로(투찰)②_마현생창(동양고속)_왜관-태평건설" xfId="11599"/>
    <cellStyle name="_부대입찰양식②_합덕-신례원(2공구)투찰_합덕-신례원(2공구)투찰_봉무지방산업단지도로(투찰)②_마현생창(동양고속)_왜관-태평건설 2" xfId="11600"/>
    <cellStyle name="_부대입찰양식②_합덕-신례원(2공구)투찰_합덕-신례원(2공구)투찰_봉무지방산업단지도로(투찰)②_왜관-태평건설" xfId="11601"/>
    <cellStyle name="_부대입찰양식②_합덕-신례원(2공구)투찰_합덕-신례원(2공구)투찰_봉무지방산업단지도로(투찰)②_왜관-태평건설 2" xfId="11602"/>
    <cellStyle name="_부대입찰양식②_합덕-신례원(2공구)투찰_합덕-신례원(2공구)투찰_봉무지방산업단지도로(투찰)②+0.250%" xfId="11589"/>
    <cellStyle name="_부대입찰양식②_합덕-신례원(2공구)투찰_합덕-신례원(2공구)투찰_봉무지방산업단지도로(투찰)②+0.250% 2" xfId="11590"/>
    <cellStyle name="_부대입찰양식②_합덕-신례원(2공구)투찰_합덕-신례원(2공구)투찰_봉무지방산업단지도로(투찰)②+0.250%_마현생창(동양고속)" xfId="11591"/>
    <cellStyle name="_부대입찰양식②_합덕-신례원(2공구)투찰_합덕-신례원(2공구)투찰_봉무지방산업단지도로(투찰)②+0.250%_마현생창(동양고속) 2" xfId="11592"/>
    <cellStyle name="_부대입찰양식②_합덕-신례원(2공구)투찰_합덕-신례원(2공구)투찰_봉무지방산업단지도로(투찰)②+0.250%_마현생창(동양고속)_왜관-태평건설" xfId="11593"/>
    <cellStyle name="_부대입찰양식②_합덕-신례원(2공구)투찰_합덕-신례원(2공구)투찰_봉무지방산업단지도로(투찰)②+0.250%_마현생창(동양고속)_왜관-태평건설 2" xfId="11594"/>
    <cellStyle name="_부대입찰양식②_합덕-신례원(2공구)투찰_합덕-신례원(2공구)투찰_봉무지방산업단지도로(투찰)②+0.250%_왜관-태평건설" xfId="11595"/>
    <cellStyle name="_부대입찰양식②_합덕-신례원(2공구)투찰_합덕-신례원(2공구)투찰_봉무지방산업단지도로(투찰)②+0.250%_왜관-태평건설 2" xfId="11596"/>
    <cellStyle name="_부대입찰양식②_합덕-신례원(2공구)투찰_합덕-신례원(2공구)투찰_왜관-태평건설" xfId="11603"/>
    <cellStyle name="_부대입찰양식②_합덕-신례원(2공구)투찰_합덕-신례원(2공구)투찰_왜관-태평건설 2" xfId="11604"/>
    <cellStyle name="_부대입찰특별조건및내역송부(최저가)" xfId="11605"/>
    <cellStyle name="_부대입찰특별조건및내역송부(최저가) 2" xfId="11606"/>
    <cellStyle name="_부대입찰특별조건및내역송부(최저가)_Book1" xfId="11607"/>
    <cellStyle name="_부대입찰특별조건및내역송부(최저가)_Book1 2" xfId="11608"/>
    <cellStyle name="_부대입찰특별조건및내역송부(최저가)_Book1_내역서(최초)" xfId="11609"/>
    <cellStyle name="_부대입찰특별조건및내역송부(최저가)_Book1_내역서(최초) 2" xfId="11610"/>
    <cellStyle name="_부대입찰특별조건및내역송부(최저가)_Book1_설계내역서" xfId="11611"/>
    <cellStyle name="_부대입찰특별조건및내역송부(최저가)_Book1_설계내역서 2" xfId="11612"/>
    <cellStyle name="_부대입찰특별조건및내역송부(최저가)_Book1_설계내역서(2차)" xfId="11613"/>
    <cellStyle name="_부대입찰특별조건및내역송부(최저가)_Book1_설계내역서(2차) 2" xfId="11614"/>
    <cellStyle name="_부대입찰특별조건및내역송부(최저가)_P-(현리-신팔)" xfId="11615"/>
    <cellStyle name="_부대입찰특별조건및내역송부(최저가)_P-(현리-신팔) 2" xfId="11616"/>
    <cellStyle name="_부대입찰특별조건및내역송부(최저가)_P-(현리-신팔)_내역서(최초)" xfId="11617"/>
    <cellStyle name="_부대입찰특별조건및내역송부(최저가)_P-(현리-신팔)_내역서(최초) 2" xfId="11618"/>
    <cellStyle name="_부대입찰특별조건및내역송부(최저가)_P-(현리-신팔)_설계내역서" xfId="11619"/>
    <cellStyle name="_부대입찰특별조건및내역송부(최저가)_P-(현리-신팔)_설계내역서 2" xfId="11620"/>
    <cellStyle name="_부대입찰특별조건및내역송부(최저가)_P-(현리-신팔)_설계내역서(2차)" xfId="11621"/>
    <cellStyle name="_부대입찰특별조건및내역송부(최저가)_P-(현리-신팔)_설계내역서(2차) 2" xfId="11622"/>
    <cellStyle name="_부대입찰특별조건및내역송부(최저가)_내역서(최초)" xfId="11623"/>
    <cellStyle name="_부대입찰특별조건및내역송부(최저가)_내역서(최초) 2" xfId="11624"/>
    <cellStyle name="_부대입찰특별조건및내역송부(최저가)_부대결과" xfId="11625"/>
    <cellStyle name="_부대입찰특별조건및내역송부(최저가)_부대결과 2" xfId="11626"/>
    <cellStyle name="_부대입찰특별조건및내역송부(최저가)_부대결과_Book1" xfId="11627"/>
    <cellStyle name="_부대입찰특별조건및내역송부(최저가)_부대결과_Book1 2" xfId="11628"/>
    <cellStyle name="_부대입찰특별조건및내역송부(최저가)_부대결과_Book1_내역서(최초)" xfId="11629"/>
    <cellStyle name="_부대입찰특별조건및내역송부(최저가)_부대결과_Book1_내역서(최초) 2" xfId="11630"/>
    <cellStyle name="_부대입찰특별조건및내역송부(최저가)_부대결과_Book1_설계내역서" xfId="11631"/>
    <cellStyle name="_부대입찰특별조건및내역송부(최저가)_부대결과_Book1_설계내역서 2" xfId="11632"/>
    <cellStyle name="_부대입찰특별조건및내역송부(최저가)_부대결과_Book1_설계내역서(2차)" xfId="11633"/>
    <cellStyle name="_부대입찰특별조건및내역송부(최저가)_부대결과_Book1_설계내역서(2차) 2" xfId="11634"/>
    <cellStyle name="_부대입찰특별조건및내역송부(최저가)_부대결과_P-(현리-신팔)" xfId="11635"/>
    <cellStyle name="_부대입찰특별조건및내역송부(최저가)_부대결과_P-(현리-신팔) 2" xfId="11636"/>
    <cellStyle name="_부대입찰특별조건및내역송부(최저가)_부대결과_P-(현리-신팔)_내역서(최초)" xfId="11637"/>
    <cellStyle name="_부대입찰특별조건및내역송부(최저가)_부대결과_P-(현리-신팔)_내역서(최초) 2" xfId="11638"/>
    <cellStyle name="_부대입찰특별조건및내역송부(최저가)_부대결과_P-(현리-신팔)_설계내역서" xfId="11639"/>
    <cellStyle name="_부대입찰특별조건및내역송부(최저가)_부대결과_P-(현리-신팔)_설계내역서 2" xfId="11640"/>
    <cellStyle name="_부대입찰특별조건및내역송부(최저가)_부대결과_P-(현리-신팔)_설계내역서(2차)" xfId="11641"/>
    <cellStyle name="_부대입찰특별조건및내역송부(최저가)_부대결과_P-(현리-신팔)_설계내역서(2차) 2" xfId="11642"/>
    <cellStyle name="_부대입찰특별조건및내역송부(최저가)_부대결과_내역서(최초)" xfId="11643"/>
    <cellStyle name="_부대입찰특별조건및내역송부(최저가)_부대결과_내역서(최초) 2" xfId="11644"/>
    <cellStyle name="_부대입찰특별조건및내역송부(최저가)_부대결과_설계내역서" xfId="11645"/>
    <cellStyle name="_부대입찰특별조건및내역송부(최저가)_부대결과_설계내역서 2" xfId="11646"/>
    <cellStyle name="_부대입찰특별조건및내역송부(최저가)_부대결과_설계내역서(2차)" xfId="11647"/>
    <cellStyle name="_부대입찰특별조건및내역송부(최저가)_부대결과_설계내역서(2차) 2" xfId="11648"/>
    <cellStyle name="_부대입찰특별조건및내역송부(최저가)_부대결과_현리-신팔도로설계" xfId="11649"/>
    <cellStyle name="_부대입찰특별조건및내역송부(최저가)_부대결과_현리-신팔도로설계 2" xfId="11650"/>
    <cellStyle name="_부대입찰특별조건및내역송부(최저가)_부대결과_현리-신팔도로설계_내역서(최초)" xfId="11651"/>
    <cellStyle name="_부대입찰특별조건및내역송부(최저가)_부대결과_현리-신팔도로설계_내역서(최초) 2" xfId="11652"/>
    <cellStyle name="_부대입찰특별조건및내역송부(최저가)_부대결과_현리-신팔도로설계_설계내역서" xfId="11653"/>
    <cellStyle name="_부대입찰특별조건및내역송부(최저가)_부대결과_현리-신팔도로설계_설계내역서 2" xfId="11654"/>
    <cellStyle name="_부대입찰특별조건및내역송부(최저가)_부대결과_현리-신팔도로설계_설계내역서(2차)" xfId="11655"/>
    <cellStyle name="_부대입찰특별조건및내역송부(최저가)_부대결과_현리-신팔도로설계_설계내역서(2차) 2" xfId="11656"/>
    <cellStyle name="_부대입찰특별조건및내역송부(최저가)_설계내역서" xfId="11657"/>
    <cellStyle name="_부대입찰특별조건및내역송부(최저가)_설계내역서 2" xfId="11658"/>
    <cellStyle name="_부대입찰특별조건및내역송부(최저가)_설계내역서(2차)" xfId="11659"/>
    <cellStyle name="_부대입찰특별조건및내역송부(최저가)_설계내역서(2차) 2" xfId="11660"/>
    <cellStyle name="_부대입찰특별조건및내역송부(최저가)_현리-신팔도로설계" xfId="11661"/>
    <cellStyle name="_부대입찰특별조건및내역송부(최저가)_현리-신팔도로설계 2" xfId="11662"/>
    <cellStyle name="_부대입찰특별조건및내역송부(최저가)_현리-신팔도로설계_내역서(최초)" xfId="11663"/>
    <cellStyle name="_부대입찰특별조건및내역송부(최저가)_현리-신팔도로설계_내역서(최초) 2" xfId="11664"/>
    <cellStyle name="_부대입찰특별조건및내역송부(최저가)_현리-신팔도로설계_설계내역서" xfId="11665"/>
    <cellStyle name="_부대입찰특별조건및내역송부(최저가)_현리-신팔도로설계_설계내역서 2" xfId="11666"/>
    <cellStyle name="_부대입찰특별조건및내역송부(최저가)_현리-신팔도로설계_설계내역서(2차)" xfId="11667"/>
    <cellStyle name="_부대입찰특별조건및내역송부(최저가)_현리-신팔도로설계_설계내역서(2차) 2" xfId="11668"/>
    <cellStyle name="_부대입찰확약서" xfId="11669"/>
    <cellStyle name="_부대입찰확약서 2" xfId="11670"/>
    <cellStyle name="_부대토목(육영회)" xfId="11671"/>
    <cellStyle name="_부대토목(육영회) 2" xfId="11672"/>
    <cellStyle name="_부림제(혁성종합)" xfId="11673"/>
    <cellStyle name="_부림제(혁성종합) 2" xfId="11674"/>
    <cellStyle name="_부산해사고(100%)" xfId="11675"/>
    <cellStyle name="_부산해사고(100%) 2" xfId="11676"/>
    <cellStyle name="_부속실견적서" xfId="11677"/>
    <cellStyle name="_부속실견적서 2" xfId="11678"/>
    <cellStyle name="_부에나비스타 빌라 설계견적" xfId="11679"/>
    <cellStyle name="_부에나비스타 빌라 설계견적 2" xfId="11680"/>
    <cellStyle name="_부용전기" xfId="11681"/>
    <cellStyle name="_부용전기 2" xfId="11682"/>
    <cellStyle name="_부천 상동 환기-견적서" xfId="11683"/>
    <cellStyle name="_부천 상동 환기-견적서 2" xfId="11684"/>
    <cellStyle name="_부천범박동" xfId="11685"/>
    <cellStyle name="_부천범박동 2" xfId="11686"/>
    <cellStyle name="_부천중동실크로드견적(동해진흥)" xfId="11687"/>
    <cellStyle name="_부천중동실크로드견적(동해진흥) 2" xfId="11688"/>
    <cellStyle name="_부평배수지(투찰)" xfId="11689"/>
    <cellStyle name="_부평배수지(투찰) 2" xfId="11690"/>
    <cellStyle name="_부평배수지(투찰)_경찰서-터미널간도로(투찰)②" xfId="11691"/>
    <cellStyle name="_부평배수지(투찰)_경찰서-터미널간도로(투찰)② 2" xfId="11692"/>
    <cellStyle name="_부평배수지(투찰)_경찰서-터미널간도로(투찰)②_마현생창(동양고속)" xfId="11693"/>
    <cellStyle name="_부평배수지(투찰)_경찰서-터미널간도로(투찰)②_마현생창(동양고속) 2" xfId="11694"/>
    <cellStyle name="_부평배수지(투찰)_경찰서-터미널간도로(투찰)②_마현생창(동양고속)_왜관-태평건설" xfId="11695"/>
    <cellStyle name="_부평배수지(투찰)_경찰서-터미널간도로(투찰)②_마현생창(동양고속)_왜관-태평건설 2" xfId="11696"/>
    <cellStyle name="_부평배수지(투찰)_경찰서-터미널간도로(투찰)②_왜관-태평건설" xfId="11697"/>
    <cellStyle name="_부평배수지(투찰)_경찰서-터미널간도로(투찰)②_왜관-태평건설 2" xfId="11698"/>
    <cellStyle name="_부평배수지(투찰)_마현생창(동양고속)" xfId="11699"/>
    <cellStyle name="_부평배수지(투찰)_마현생창(동양고속) 2" xfId="11700"/>
    <cellStyle name="_부평배수지(투찰)_마현생창(동양고속)_왜관-태평건설" xfId="11701"/>
    <cellStyle name="_부평배수지(투찰)_마현생창(동양고속)_왜관-태평건설 2" xfId="11702"/>
    <cellStyle name="_부평배수지(투찰)_봉무지방산업단지도로(투찰)②" xfId="11703"/>
    <cellStyle name="_부평배수지(투찰)_봉무지방산업단지도로(투찰)② 2" xfId="11704"/>
    <cellStyle name="_부평배수지(투찰)_봉무지방산업단지도로(투찰)②_마현생창(동양고속)" xfId="11713"/>
    <cellStyle name="_부평배수지(투찰)_봉무지방산업단지도로(투찰)②_마현생창(동양고속) 2" xfId="11714"/>
    <cellStyle name="_부평배수지(투찰)_봉무지방산업단지도로(투찰)②_마현생창(동양고속)_왜관-태평건설" xfId="11715"/>
    <cellStyle name="_부평배수지(투찰)_봉무지방산업단지도로(투찰)②_마현생창(동양고속)_왜관-태평건설 2" xfId="11716"/>
    <cellStyle name="_부평배수지(투찰)_봉무지방산업단지도로(투찰)②_왜관-태평건설" xfId="11717"/>
    <cellStyle name="_부평배수지(투찰)_봉무지방산업단지도로(투찰)②_왜관-태평건설 2" xfId="11718"/>
    <cellStyle name="_부평배수지(투찰)_봉무지방산업단지도로(투찰)②+0.250%" xfId="11705"/>
    <cellStyle name="_부평배수지(투찰)_봉무지방산업단지도로(투찰)②+0.250% 2" xfId="11706"/>
    <cellStyle name="_부평배수지(투찰)_봉무지방산업단지도로(투찰)②+0.250%_마현생창(동양고속)" xfId="11707"/>
    <cellStyle name="_부평배수지(투찰)_봉무지방산업단지도로(투찰)②+0.250%_마현생창(동양고속) 2" xfId="11708"/>
    <cellStyle name="_부평배수지(투찰)_봉무지방산업단지도로(투찰)②+0.250%_마현생창(동양고속)_왜관-태평건설" xfId="11709"/>
    <cellStyle name="_부평배수지(투찰)_봉무지방산업단지도로(투찰)②+0.250%_마현생창(동양고속)_왜관-태평건설 2" xfId="11710"/>
    <cellStyle name="_부평배수지(투찰)_봉무지방산업단지도로(투찰)②+0.250%_왜관-태평건설" xfId="11711"/>
    <cellStyle name="_부평배수지(투찰)_봉무지방산업단지도로(투찰)②+0.250%_왜관-태평건설 2" xfId="11712"/>
    <cellStyle name="_부평배수지(투찰)_왜관-태평건설" xfId="11719"/>
    <cellStyle name="_부평배수지(투찰)_왜관-태평건설 2" xfId="11720"/>
    <cellStyle name="_부평배수지(투찰)_합덕-신례원(2공구)투찰" xfId="11721"/>
    <cellStyle name="_부평배수지(투찰)_합덕-신례원(2공구)투찰 2" xfId="11722"/>
    <cellStyle name="_부평배수지(투찰)_합덕-신례원(2공구)투찰_경찰서-터미널간도로(투찰)②" xfId="11723"/>
    <cellStyle name="_부평배수지(투찰)_합덕-신례원(2공구)투찰_경찰서-터미널간도로(투찰)② 2" xfId="11724"/>
    <cellStyle name="_부평배수지(투찰)_합덕-신례원(2공구)투찰_경찰서-터미널간도로(투찰)②_마현생창(동양고속)" xfId="11725"/>
    <cellStyle name="_부평배수지(투찰)_합덕-신례원(2공구)투찰_경찰서-터미널간도로(투찰)②_마현생창(동양고속) 2" xfId="11726"/>
    <cellStyle name="_부평배수지(투찰)_합덕-신례원(2공구)투찰_경찰서-터미널간도로(투찰)②_마현생창(동양고속)_왜관-태평건설" xfId="11727"/>
    <cellStyle name="_부평배수지(투찰)_합덕-신례원(2공구)투찰_경찰서-터미널간도로(투찰)②_마현생창(동양고속)_왜관-태평건설 2" xfId="11728"/>
    <cellStyle name="_부평배수지(투찰)_합덕-신례원(2공구)투찰_경찰서-터미널간도로(투찰)②_왜관-태평건설" xfId="11729"/>
    <cellStyle name="_부평배수지(투찰)_합덕-신례원(2공구)투찰_경찰서-터미널간도로(투찰)②_왜관-태평건설 2" xfId="11730"/>
    <cellStyle name="_부평배수지(투찰)_합덕-신례원(2공구)투찰_마현생창(동양고속)" xfId="11731"/>
    <cellStyle name="_부평배수지(투찰)_합덕-신례원(2공구)투찰_마현생창(동양고속) 2" xfId="11732"/>
    <cellStyle name="_부평배수지(투찰)_합덕-신례원(2공구)투찰_마현생창(동양고속)_왜관-태평건설" xfId="11733"/>
    <cellStyle name="_부평배수지(투찰)_합덕-신례원(2공구)투찰_마현생창(동양고속)_왜관-태평건설 2" xfId="11734"/>
    <cellStyle name="_부평배수지(투찰)_합덕-신례원(2공구)투찰_봉무지방산업단지도로(투찰)②" xfId="11735"/>
    <cellStyle name="_부평배수지(투찰)_합덕-신례원(2공구)투찰_봉무지방산업단지도로(투찰)② 2" xfId="11736"/>
    <cellStyle name="_부평배수지(투찰)_합덕-신례원(2공구)투찰_봉무지방산업단지도로(투찰)②_마현생창(동양고속)" xfId="11745"/>
    <cellStyle name="_부평배수지(투찰)_합덕-신례원(2공구)투찰_봉무지방산업단지도로(투찰)②_마현생창(동양고속) 2" xfId="11746"/>
    <cellStyle name="_부평배수지(투찰)_합덕-신례원(2공구)투찰_봉무지방산업단지도로(투찰)②_마현생창(동양고속)_왜관-태평건설" xfId="11747"/>
    <cellStyle name="_부평배수지(투찰)_합덕-신례원(2공구)투찰_봉무지방산업단지도로(투찰)②_마현생창(동양고속)_왜관-태평건설 2" xfId="11748"/>
    <cellStyle name="_부평배수지(투찰)_합덕-신례원(2공구)투찰_봉무지방산업단지도로(투찰)②_왜관-태평건설" xfId="11749"/>
    <cellStyle name="_부평배수지(투찰)_합덕-신례원(2공구)투찰_봉무지방산업단지도로(투찰)②_왜관-태평건설 2" xfId="11750"/>
    <cellStyle name="_부평배수지(투찰)_합덕-신례원(2공구)투찰_봉무지방산업단지도로(투찰)②+0.250%" xfId="11737"/>
    <cellStyle name="_부평배수지(투찰)_합덕-신례원(2공구)투찰_봉무지방산업단지도로(투찰)②+0.250% 2" xfId="11738"/>
    <cellStyle name="_부평배수지(투찰)_합덕-신례원(2공구)투찰_봉무지방산업단지도로(투찰)②+0.250%_마현생창(동양고속)" xfId="11739"/>
    <cellStyle name="_부평배수지(투찰)_합덕-신례원(2공구)투찰_봉무지방산업단지도로(투찰)②+0.250%_마현생창(동양고속) 2" xfId="11740"/>
    <cellStyle name="_부평배수지(투찰)_합덕-신례원(2공구)투찰_봉무지방산업단지도로(투찰)②+0.250%_마현생창(동양고속)_왜관-태평건설" xfId="11741"/>
    <cellStyle name="_부평배수지(투찰)_합덕-신례원(2공구)투찰_봉무지방산업단지도로(투찰)②+0.250%_마현생창(동양고속)_왜관-태평건설 2" xfId="11742"/>
    <cellStyle name="_부평배수지(투찰)_합덕-신례원(2공구)투찰_봉무지방산업단지도로(투찰)②+0.250%_왜관-태평건설" xfId="11743"/>
    <cellStyle name="_부평배수지(투찰)_합덕-신례원(2공구)투찰_봉무지방산업단지도로(투찰)②+0.250%_왜관-태평건설 2" xfId="11744"/>
    <cellStyle name="_부평배수지(투찰)_합덕-신례원(2공구)투찰_왜관-태평건설" xfId="11751"/>
    <cellStyle name="_부평배수지(투찰)_합덕-신례원(2공구)투찰_왜관-태평건설 2" xfId="11752"/>
    <cellStyle name="_부평배수지(투찰)_합덕-신례원(2공구)투찰_합덕-신례원(2공구)투찰" xfId="11753"/>
    <cellStyle name="_부평배수지(투찰)_합덕-신례원(2공구)투찰_합덕-신례원(2공구)투찰 2" xfId="11754"/>
    <cellStyle name="_부평배수지(투찰)_합덕-신례원(2공구)투찰_합덕-신례원(2공구)투찰_경찰서-터미널간도로(투찰)②" xfId="11755"/>
    <cellStyle name="_부평배수지(투찰)_합덕-신례원(2공구)투찰_합덕-신례원(2공구)투찰_경찰서-터미널간도로(투찰)② 2" xfId="11756"/>
    <cellStyle name="_부평배수지(투찰)_합덕-신례원(2공구)투찰_합덕-신례원(2공구)투찰_경찰서-터미널간도로(투찰)②_마현생창(동양고속)" xfId="11757"/>
    <cellStyle name="_부평배수지(투찰)_합덕-신례원(2공구)투찰_합덕-신례원(2공구)투찰_경찰서-터미널간도로(투찰)②_마현생창(동양고속) 2" xfId="11758"/>
    <cellStyle name="_부평배수지(투찰)_합덕-신례원(2공구)투찰_합덕-신례원(2공구)투찰_경찰서-터미널간도로(투찰)②_마현생창(동양고속)_왜관-태평건설" xfId="11759"/>
    <cellStyle name="_부평배수지(투찰)_합덕-신례원(2공구)투찰_합덕-신례원(2공구)투찰_경찰서-터미널간도로(투찰)②_마현생창(동양고속)_왜관-태평건설 2" xfId="11760"/>
    <cellStyle name="_부평배수지(투찰)_합덕-신례원(2공구)투찰_합덕-신례원(2공구)투찰_경찰서-터미널간도로(투찰)②_왜관-태평건설" xfId="11761"/>
    <cellStyle name="_부평배수지(투찰)_합덕-신례원(2공구)투찰_합덕-신례원(2공구)투찰_경찰서-터미널간도로(투찰)②_왜관-태평건설 2" xfId="11762"/>
    <cellStyle name="_부평배수지(투찰)_합덕-신례원(2공구)투찰_합덕-신례원(2공구)투찰_마현생창(동양고속)" xfId="11763"/>
    <cellStyle name="_부평배수지(투찰)_합덕-신례원(2공구)투찰_합덕-신례원(2공구)투찰_마현생창(동양고속) 2" xfId="11764"/>
    <cellStyle name="_부평배수지(투찰)_합덕-신례원(2공구)투찰_합덕-신례원(2공구)투찰_마현생창(동양고속)_왜관-태평건설" xfId="11765"/>
    <cellStyle name="_부평배수지(투찰)_합덕-신례원(2공구)투찰_합덕-신례원(2공구)투찰_마현생창(동양고속)_왜관-태평건설 2" xfId="11766"/>
    <cellStyle name="_부평배수지(투찰)_합덕-신례원(2공구)투찰_합덕-신례원(2공구)투찰_봉무지방산업단지도로(투찰)②" xfId="11767"/>
    <cellStyle name="_부평배수지(투찰)_합덕-신례원(2공구)투찰_합덕-신례원(2공구)투찰_봉무지방산업단지도로(투찰)② 2" xfId="11768"/>
    <cellStyle name="_부평배수지(투찰)_합덕-신례원(2공구)투찰_합덕-신례원(2공구)투찰_봉무지방산업단지도로(투찰)②_마현생창(동양고속)" xfId="11777"/>
    <cellStyle name="_부평배수지(투찰)_합덕-신례원(2공구)투찰_합덕-신례원(2공구)투찰_봉무지방산업단지도로(투찰)②_마현생창(동양고속) 2" xfId="11778"/>
    <cellStyle name="_부평배수지(투찰)_합덕-신례원(2공구)투찰_합덕-신례원(2공구)투찰_봉무지방산업단지도로(투찰)②_마현생창(동양고속)_왜관-태평건설" xfId="11779"/>
    <cellStyle name="_부평배수지(투찰)_합덕-신례원(2공구)투찰_합덕-신례원(2공구)투찰_봉무지방산업단지도로(투찰)②_마현생창(동양고속)_왜관-태평건설 2" xfId="11780"/>
    <cellStyle name="_부평배수지(투찰)_합덕-신례원(2공구)투찰_합덕-신례원(2공구)투찰_봉무지방산업단지도로(투찰)②_왜관-태평건설" xfId="11781"/>
    <cellStyle name="_부평배수지(투찰)_합덕-신례원(2공구)투찰_합덕-신례원(2공구)투찰_봉무지방산업단지도로(투찰)②_왜관-태평건설 2" xfId="11782"/>
    <cellStyle name="_부평배수지(투찰)_합덕-신례원(2공구)투찰_합덕-신례원(2공구)투찰_봉무지방산업단지도로(투찰)②+0.250%" xfId="11769"/>
    <cellStyle name="_부평배수지(투찰)_합덕-신례원(2공구)투찰_합덕-신례원(2공구)투찰_봉무지방산업단지도로(투찰)②+0.250% 2" xfId="11770"/>
    <cellStyle name="_부평배수지(투찰)_합덕-신례원(2공구)투찰_합덕-신례원(2공구)투찰_봉무지방산업단지도로(투찰)②+0.250%_마현생창(동양고속)" xfId="11771"/>
    <cellStyle name="_부평배수지(투찰)_합덕-신례원(2공구)투찰_합덕-신례원(2공구)투찰_봉무지방산업단지도로(투찰)②+0.250%_마현생창(동양고속) 2" xfId="11772"/>
    <cellStyle name="_부평배수지(투찰)_합덕-신례원(2공구)투찰_합덕-신례원(2공구)투찰_봉무지방산업단지도로(투찰)②+0.250%_마현생창(동양고속)_왜관-태평건설" xfId="11773"/>
    <cellStyle name="_부평배수지(투찰)_합덕-신례원(2공구)투찰_합덕-신례원(2공구)투찰_봉무지방산업단지도로(투찰)②+0.250%_마현생창(동양고속)_왜관-태평건설 2" xfId="11774"/>
    <cellStyle name="_부평배수지(투찰)_합덕-신례원(2공구)투찰_합덕-신례원(2공구)투찰_봉무지방산업단지도로(투찰)②+0.250%_왜관-태평건설" xfId="11775"/>
    <cellStyle name="_부평배수지(투찰)_합덕-신례원(2공구)투찰_합덕-신례원(2공구)투찰_봉무지방산업단지도로(투찰)②+0.250%_왜관-태평건설 2" xfId="11776"/>
    <cellStyle name="_부평배수지(투찰)_합덕-신례원(2공구)투찰_합덕-신례원(2공구)투찰_왜관-태평건설" xfId="11783"/>
    <cellStyle name="_부평배수지(투찰)_합덕-신례원(2공구)투찰_합덕-신례원(2공구)투찰_왜관-태평건설 2" xfId="11784"/>
    <cellStyle name="_부평점정산내역" xfId="11785"/>
    <cellStyle name="_부평점정산내역 2" xfId="11786"/>
    <cellStyle name="_분당E마트bm" xfId="11787"/>
    <cellStyle name="_분당차병원" xfId="11788"/>
    <cellStyle name="_분당차병원 2" xfId="11789"/>
    <cellStyle name="_분석표-야탑" xfId="11790"/>
    <cellStyle name="_분석표-야탑 2" xfId="11791"/>
    <cellStyle name="_분석표-야탑_내역서(건설사)" xfId="11792"/>
    <cellStyle name="_분석표-야탑_내역서(건설사) 2" xfId="11793"/>
    <cellStyle name="_분석표-야탑_내역서(작업)" xfId="11794"/>
    <cellStyle name="_분석표-야탑_내역서(작업) 2" xfId="11795"/>
    <cellStyle name="_분석표-야탑_하도급분류- 대전노은2-1" xfId="11796"/>
    <cellStyle name="_분석표-야탑_하도급분류- 대전노은2-1 2" xfId="11797"/>
    <cellStyle name="_분석표-야탑_하도급분류- 대전노은2-1_내역서(건설사)" xfId="11798"/>
    <cellStyle name="_분석표-야탑_하도급분류- 대전노은2-1_내역서(건설사) 2" xfId="11799"/>
    <cellStyle name="_분석표-야탑_하도급분류- 대전노은2-1_내역서(작업)" xfId="11800"/>
    <cellStyle name="_분석표-야탑_하도급분류- 대전노은2-1_내역서(작업) 2" xfId="11801"/>
    <cellStyle name="_분석표-야탑_하도급분류- 대전노은2-1_용인동백공사비분석" xfId="11802"/>
    <cellStyle name="_분석표-야탑_하도급분류- 대전노은2-1_용인동백공사비분석 2" xfId="11803"/>
    <cellStyle name="_분석표-야탑_하도급분류- 대전노은2-1_용인동백공사비분석_내역서(건설사)" xfId="11804"/>
    <cellStyle name="_분석표-야탑_하도급분류- 대전노은2-1_용인동백공사비분석_내역서(건설사) 2" xfId="11805"/>
    <cellStyle name="_분석표-야탑_하도급분류- 대전노은2-1_용인동백공사비분석_내역서(작업)" xfId="11806"/>
    <cellStyle name="_분석표-야탑_하도급분류- 대전노은2-1_용인동백공사비분석_내역서(작업) 2" xfId="11807"/>
    <cellStyle name="_분전반~1" xfId="11808"/>
    <cellStyle name="_분전반~1 2" xfId="11809"/>
    <cellStyle name="_비고" xfId="11810"/>
    <cellStyle name="_비고 2" xfId="11811"/>
    <cellStyle name="_비래초-(1차분)" xfId="11812"/>
    <cellStyle name="_비래초-(1차분) 2" xfId="11813"/>
    <cellStyle name="_빈 견적서(노은)" xfId="11814"/>
    <cellStyle name="_빈 견적서(노은) 2" xfId="11815"/>
    <cellStyle name="_사동초중" xfId="11816"/>
    <cellStyle name="_사동초중 2" xfId="11817"/>
    <cellStyle name="_사본 - 031)길내기" xfId="11818"/>
    <cellStyle name="_사본 - 6월12일(부천)" xfId="11819"/>
    <cellStyle name="_사본 - 6월12일(부천) 2" xfId="11820"/>
    <cellStyle name="_사본 - 기계,전기설계내역서(견적제출)060317 (2)" xfId="11821"/>
    <cellStyle name="_사본 - 기계,전기설계내역서(견적제출)060317 (2) 2" xfId="11822"/>
    <cellStyle name="_사본 - 기계,전기설계내역서(견적제출)060317 (2)_내역서(건설사)" xfId="11823"/>
    <cellStyle name="_사본 - 기계,전기설계내역서(견적제출)060317 (2)_내역서(건설사) 2" xfId="11824"/>
    <cellStyle name="_사본 - 기계,전기설계내역서(견적제출)060317 (2)_내역서(작업)" xfId="11825"/>
    <cellStyle name="_사본 - 기계,전기설계내역서(견적제출)060317 (2)_내역서(작업) 2" xfId="11826"/>
    <cellStyle name="_사본 - 사본 - 6월12일(부천)" xfId="11827"/>
    <cellStyle name="_사본 - 사본 - 6월12일(부천) 2" xfId="11828"/>
    <cellStyle name="_사유서" xfId="11829"/>
    <cellStyle name="_사유서 2" xfId="11830"/>
    <cellStyle name="_사유서_내역서" xfId="11831"/>
    <cellStyle name="_사유서_내역서 2" xfId="11832"/>
    <cellStyle name="_사전공사 검토양식" xfId="11833"/>
    <cellStyle name="_사전공사 검토양식 2" xfId="11834"/>
    <cellStyle name="_사전공사(토목본사검토) " xfId="11835"/>
    <cellStyle name="_사전공사(토목본사검토)  2" xfId="11836"/>
    <cellStyle name="_사전공사(토목본사검토)  2 2" xfId="11837"/>
    <cellStyle name="_사전공사(토목본사검토)  3" xfId="11838"/>
    <cellStyle name="_사전공사(토목본사검토)  3 2" xfId="11839"/>
    <cellStyle name="_사전공사(토목본사검토)  4" xfId="11840"/>
    <cellStyle name="_사전공사(토목본사검토)  4 2" xfId="11841"/>
    <cellStyle name="_사전공사(토목본사검토)  5" xfId="11842"/>
    <cellStyle name="_사전공사(토목본사검토)  5 2" xfId="11843"/>
    <cellStyle name="_사전공사(토목본사검토)  6" xfId="11844"/>
    <cellStyle name="_사전공사(토목본사검토)  6 2" xfId="11845"/>
    <cellStyle name="_사전공사(토목본사검토)  7" xfId="11846"/>
    <cellStyle name="_사전공사(토목본사검토)  7 2" xfId="11847"/>
    <cellStyle name="_사전공사(토목본사검토)  8" xfId="11848"/>
    <cellStyle name="_사전공사(토목본사검토) _2007현황보고양식" xfId="11849"/>
    <cellStyle name="_사전공사(토목본사검토) _2007현황보고양식 2" xfId="11850"/>
    <cellStyle name="_사전공사(토목본사검토) _Book2" xfId="11851"/>
    <cellStyle name="_사전공사(토목본사검토) _Book2 2" xfId="11852"/>
    <cellStyle name="_사전공사(토목본사검토) _Book4" xfId="11853"/>
    <cellStyle name="_사전공사(토목본사검토) _Book4 2" xfId="11854"/>
    <cellStyle name="_사전공사(토목본사검토) _가구공사" xfId="11855"/>
    <cellStyle name="_사전공사(토목본사검토) _가구공사 2" xfId="11856"/>
    <cellStyle name="_사전공사(토목본사검토) _가구공사_2007현황보고양식" xfId="11857"/>
    <cellStyle name="_사전공사(토목본사검토) _가구공사_2007현황보고양식 2" xfId="11858"/>
    <cellStyle name="_사전공사(토목본사검토) _가구공사_두산산업개발 입찰견적" xfId="11859"/>
    <cellStyle name="_사전공사(토목본사검토) _가구공사_두산산업개발 입찰견적 2" xfId="11860"/>
    <cellStyle name="_사전공사(토목본사검토) _가구공사_두산중공업 입찰견적" xfId="11861"/>
    <cellStyle name="_사전공사(토목본사검토) _가구공사_두산중공업 입찰견적 2" xfId="11862"/>
    <cellStyle name="_사전공사(토목본사검토) _가구공사_추가일위대가표 총괄" xfId="11863"/>
    <cellStyle name="_사전공사(토목본사검토) _가구공사_추가일위대가표 총괄 2" xfId="11864"/>
    <cellStyle name="_사전공사(토목본사검토) _가구공사_현대건설 대구대천" xfId="11865"/>
    <cellStyle name="_사전공사(토목본사검토) _가구공사_현대건설 대구대천 2" xfId="11866"/>
    <cellStyle name="_사전공사(토목본사검토) _두산산업개발 입찰견적" xfId="11867"/>
    <cellStyle name="_사전공사(토목본사검토) _두산산업개발 입찰견적 2" xfId="11868"/>
    <cellStyle name="_사전공사(토목본사검토) _두산중공업 입찰견적" xfId="11869"/>
    <cellStyle name="_사전공사(토목본사검토) _두산중공업 입찰견적 2" xfId="11870"/>
    <cellStyle name="_사전공사(토목본사검토) _추가일위대가표 총괄" xfId="11871"/>
    <cellStyle name="_사전공사(토목본사검토) _추가일위대가표 총괄 2" xfId="11872"/>
    <cellStyle name="_사전공사(토목본사검토) _현대건설 대구대천" xfId="11873"/>
    <cellStyle name="_사전공사(토목본사검토) _현대건설 대구대천 2" xfId="11874"/>
    <cellStyle name="_사전원가심의1" xfId="11875"/>
    <cellStyle name="_사전원가심의1 2" xfId="11876"/>
    <cellStyle name="_사전원가심의1_02.논현동파라곤아파트신축공사(가실행)-인건비재정리" xfId="11877"/>
    <cellStyle name="_사전원가심의1_02.논현동파라곤아파트신축공사(가실행)-인건비재정리 2" xfId="11878"/>
    <cellStyle name="_사전원가심의1_02.논현동파라곤아파트신축공사(가실행)-인건비재정리_EHP견적서(REV1)" xfId="11879"/>
    <cellStyle name="_사전원가심의1_02.논현동파라곤아파트신축공사(가실행)-인건비재정리_EHP견적서(REV1) 2" xfId="11880"/>
    <cellStyle name="_사전원가심의1_02.논현동파라곤아파트신축공사(가실행)-인건비재정리_EHP견적서(REV1)_티티트리풀타워 GHP 견적서(REV1)" xfId="11881"/>
    <cellStyle name="_사전원가심의1_02.논현동파라곤아파트신축공사(가실행)-인건비재정리_EHP견적서(REV1)_티티트리풀타워 GHP 견적서(REV1) 2" xfId="11882"/>
    <cellStyle name="_사전원가심의1_02.논현동파라곤아파트신축공사(가실행)-인건비재정리_방배동고급빌라EHP견적서(REV1)" xfId="11883"/>
    <cellStyle name="_사전원가심의1_02.논현동파라곤아파트신축공사(가실행)-인건비재정리_방배동고급빌라EHP견적서(REV1) 2" xfId="11884"/>
    <cellStyle name="_사전원가심의1_02.논현동파라곤아파트신축공사(가실행)-인건비재정리_방배동고급빌라EHP견적서(REV1)_티티트리풀타워 GHP 견적서(REV1)" xfId="11885"/>
    <cellStyle name="_사전원가심의1_02.논현동파라곤아파트신축공사(가실행)-인건비재정리_방배동고급빌라EHP견적서(REV1)_티티트리풀타워 GHP 견적서(REV1) 2" xfId="11886"/>
    <cellStyle name="_사전원가심의1_02.논현동파라곤아파트신축공사(가실행)-인건비재정리_사옥EHP견적서(REV1)" xfId="11887"/>
    <cellStyle name="_사전원가심의1_02.논현동파라곤아파트신축공사(가실행)-인건비재정리_사옥EHP견적서(REV1) 2" xfId="11888"/>
    <cellStyle name="_사전원가심의1_02.논현동파라곤아파트신축공사(가실행)-인건비재정리_사옥EHP견적서(REV1)_티티트리풀타워 GHP 견적서(REV1)" xfId="11889"/>
    <cellStyle name="_사전원가심의1_02.논현동파라곤아파트신축공사(가실행)-인건비재정리_사옥EHP견적서(REV1)_티티트리풀타워 GHP 견적서(REV1) 2" xfId="11890"/>
    <cellStyle name="_사전원가심의1_03.파크뷰도급실행내역 02.02.15" xfId="11891"/>
    <cellStyle name="_사전원가심의1_03.파크뷰도급실행내역 02.02.15 2" xfId="11892"/>
    <cellStyle name="_사전원가심의1_03.파크뷰도급실행내역 02.02.15_03.파크뷰도급실행내역 02.04.02" xfId="11893"/>
    <cellStyle name="_사전원가심의1_03.파크뷰도급실행내역 02.02.15_03.파크뷰도급실행내역 02.04.02 2" xfId="11894"/>
    <cellStyle name="_사전원가심의1_03.파크뷰도급실행내역 02.02.15_03.파크뷰도급실행내역 02.04.02_내역서(건설사)" xfId="11895"/>
    <cellStyle name="_사전원가심의1_03.파크뷰도급실행내역 02.02.15_03.파크뷰도급실행내역 02.04.02_내역서(건설사) 2" xfId="11896"/>
    <cellStyle name="_사전원가심의1_03.파크뷰도급실행내역 02.02.15_03.파크뷰도급실행내역 02.04.02_내역서(작업)" xfId="11897"/>
    <cellStyle name="_사전원가심의1_03.파크뷰도급실행내역 02.02.15_03.파크뷰도급실행내역 02.04.02_내역서(작업) 2" xfId="11898"/>
    <cellStyle name="_사전원가심의1_03.파크뷰도급실행내역 02.02.15_내역서(건설사)" xfId="11899"/>
    <cellStyle name="_사전원가심의1_03.파크뷰도급실행내역 02.02.15_내역서(건설사) 2" xfId="11900"/>
    <cellStyle name="_사전원가심의1_03.파크뷰도급실행내역 02.02.15_내역서(작업)" xfId="11901"/>
    <cellStyle name="_사전원가심의1_03.파크뷰도급실행내역 02.02.15_내역서(작업) 2" xfId="11902"/>
    <cellStyle name="_사전원가심의1_03.파크뷰도급실행내역 02.04.02" xfId="11903"/>
    <cellStyle name="_사전원가심의1_03.파크뷰도급실행내역 02.04.02 2" xfId="11904"/>
    <cellStyle name="_사전원가심의1_03.파크뷰도급실행내역 02.04.02_03.파크뷰도급실행내역 02.04.02" xfId="11905"/>
    <cellStyle name="_사전원가심의1_03.파크뷰도급실행내역 02.04.02_03.파크뷰도급실행내역 02.04.02 2" xfId="11906"/>
    <cellStyle name="_사전원가심의1_03.파크뷰도급실행내역 02.04.02_03.파크뷰도급실행내역 02.04.02_내역서(건설사)" xfId="11907"/>
    <cellStyle name="_사전원가심의1_03.파크뷰도급실행내역 02.04.02_03.파크뷰도급실행내역 02.04.02_내역서(건설사) 2" xfId="11908"/>
    <cellStyle name="_사전원가심의1_03.파크뷰도급실행내역 02.04.02_03.파크뷰도급실행내역 02.04.02_내역서(작업)" xfId="11909"/>
    <cellStyle name="_사전원가심의1_03.파크뷰도급실행내역 02.04.02_03.파크뷰도급실행내역 02.04.02_내역서(작업) 2" xfId="11910"/>
    <cellStyle name="_사전원가심의1_03.파크뷰도급실행내역 02.04.02_내역서(건설사)" xfId="11911"/>
    <cellStyle name="_사전원가심의1_03.파크뷰도급실행내역 02.04.02_내역서(건설사) 2" xfId="11912"/>
    <cellStyle name="_사전원가심의1_03.파크뷰도급실행내역 02.04.02_내역서(작업)" xfId="11913"/>
    <cellStyle name="_사전원가심의1_03.파크뷰도급실행내역 02.04.02_내역서(작업) 2" xfId="11914"/>
    <cellStyle name="_사전원가심의1_11분당파크뷰(도급-실행-02.15)" xfId="11915"/>
    <cellStyle name="_사전원가심의1_11분당파크뷰(도급-실행-02.15) 2" xfId="11916"/>
    <cellStyle name="_사전원가심의1_11분당파크뷰(도급-실행-02.15)_03.파크뷰도급실행내역 02.04.02" xfId="11917"/>
    <cellStyle name="_사전원가심의1_11분당파크뷰(도급-실행-02.15)_03.파크뷰도급실행내역 02.04.02 2" xfId="11918"/>
    <cellStyle name="_사전원가심의1_11분당파크뷰(도급-실행-02.15)_03.파크뷰도급실행내역 02.04.02_내역서(건설사)" xfId="11919"/>
    <cellStyle name="_사전원가심의1_11분당파크뷰(도급-실행-02.15)_03.파크뷰도급실행내역 02.04.02_내역서(건설사) 2" xfId="11920"/>
    <cellStyle name="_사전원가심의1_11분당파크뷰(도급-실행-02.15)_03.파크뷰도급실행내역 02.04.02_내역서(작업)" xfId="11921"/>
    <cellStyle name="_사전원가심의1_11분당파크뷰(도급-실행-02.15)_03.파크뷰도급실행내역 02.04.02_내역서(작업) 2" xfId="11922"/>
    <cellStyle name="_사전원가심의1_11분당파크뷰(도급-실행-02.15)_내역서(건설사)" xfId="11923"/>
    <cellStyle name="_사전원가심의1_11분당파크뷰(도급-실행-02.15)_내역서(건설사) 2" xfId="11924"/>
    <cellStyle name="_사전원가심의1_11분당파크뷰(도급-실행-02.15)_내역서(작업)" xfId="11925"/>
    <cellStyle name="_사전원가심의1_11분당파크뷰(도급-실행-02.15)_내역서(작업) 2" xfId="11926"/>
    <cellStyle name="_사전원가심의1_EHP견적서(REV1)" xfId="11927"/>
    <cellStyle name="_사전원가심의1_EHP견적서(REV1) 2" xfId="11928"/>
    <cellStyle name="_사전원가심의1_EHP견적서(REV1)_티티트리풀타워 GHP 견적서(REV1)" xfId="11929"/>
    <cellStyle name="_사전원가심의1_EHP견적서(REV1)_티티트리풀타워 GHP 견적서(REV1) 2" xfId="11930"/>
    <cellStyle name="_사전원가심의1_내역서(건설사)" xfId="11931"/>
    <cellStyle name="_사전원가심의1_내역서(건설사) 2" xfId="11932"/>
    <cellStyle name="_사전원가심의1_내역서(작업)" xfId="11933"/>
    <cellStyle name="_사전원가심의1_내역서(작업) 2" xfId="11934"/>
    <cellStyle name="_사전원가심의1_대전가오(현설용공내역서)" xfId="11935"/>
    <cellStyle name="_사전원가심의1_대전가오(현설용공내역서) 2" xfId="11936"/>
    <cellStyle name="_사전원가심의1_대전가오(현설용공내역서)_부산이천일아울렛푸드코트및공용부위견적서(060202)" xfId="11937"/>
    <cellStyle name="_사전원가심의1_대전가오(현설용공내역서)_부산이천일아울렛푸드코트및공용부위견적서(060202) 2" xfId="11938"/>
    <cellStyle name="_사전원가심의1_대전가오(현설용공내역서)_부산이천일아울렛푸드코트및공용부위견적서(060202)_천호이천일아울렛푸드코트(060712)" xfId="11939"/>
    <cellStyle name="_사전원가심의1_대전가오(현설용공내역서)_부산이천일아울렛푸드코트및공용부위견적서(060202)_천호이천일아울렛푸드코트(060712) 2" xfId="11940"/>
    <cellStyle name="_사전원가심의1_대전가오(현설용공내역서)_산출" xfId="11941"/>
    <cellStyle name="_사전원가심의1_대전가오(현설용공내역서)_산출 2" xfId="11942"/>
    <cellStyle name="_사전원가심의1_대전가오(현설용공내역서)_산출_천호이천일아울렛푸드코트(060712)" xfId="11943"/>
    <cellStyle name="_사전원가심의1_대전가오(현설용공내역서)_산출_천호이천일아울렛푸드코트(060712) 2" xfId="11944"/>
    <cellStyle name="_사전원가심의1_도급,실행(02.2.16)" xfId="11945"/>
    <cellStyle name="_사전원가심의1_도급,실행(02.2.16) 2" xfId="11946"/>
    <cellStyle name="_사전원가심의1_도급,실행(02.2.16)_EHP견적서(REV1)" xfId="11947"/>
    <cellStyle name="_사전원가심의1_도급,실행(02.2.16)_EHP견적서(REV1) 2" xfId="11948"/>
    <cellStyle name="_사전원가심의1_도급,실행(02.2.16)_EHP견적서(REV1)_티티트리풀타워 GHP 견적서(REV1)" xfId="11949"/>
    <cellStyle name="_사전원가심의1_도급,실행(02.2.16)_EHP견적서(REV1)_티티트리풀타워 GHP 견적서(REV1) 2" xfId="11950"/>
    <cellStyle name="_사전원가심의1_도급,실행(02.2.16)_방배동고급빌라EHP견적서(REV1)" xfId="11951"/>
    <cellStyle name="_사전원가심의1_도급,실행(02.2.16)_방배동고급빌라EHP견적서(REV1) 2" xfId="11952"/>
    <cellStyle name="_사전원가심의1_도급,실행(02.2.16)_방배동고급빌라EHP견적서(REV1)_티티트리풀타워 GHP 견적서(REV1)" xfId="11953"/>
    <cellStyle name="_사전원가심의1_도급,실행(02.2.16)_방배동고급빌라EHP견적서(REV1)_티티트리풀타워 GHP 견적서(REV1) 2" xfId="11954"/>
    <cellStyle name="_사전원가심의1_도급,실행(02.2.16)_사옥EHP견적서(REV1)" xfId="11955"/>
    <cellStyle name="_사전원가심의1_도급,실행(02.2.16)_사옥EHP견적서(REV1) 2" xfId="11956"/>
    <cellStyle name="_사전원가심의1_도급,실행(02.2.16)_사옥EHP견적서(REV1)_티티트리풀타워 GHP 견적서(REV1)" xfId="11957"/>
    <cellStyle name="_사전원가심의1_도급,실행(02.2.16)_사옥EHP견적서(REV1)_티티트리풀타워 GHP 견적서(REV1) 2" xfId="11958"/>
    <cellStyle name="_사전원가심의1_방배동고급빌라EHP견적서(REV1)" xfId="11959"/>
    <cellStyle name="_사전원가심의1_방배동고급빌라EHP견적서(REV1) 2" xfId="11960"/>
    <cellStyle name="_사전원가심의1_방배동고급빌라EHP견적서(REV1)_티티트리풀타워 GHP 견적서(REV1)" xfId="11961"/>
    <cellStyle name="_사전원가심의1_방배동고급빌라EHP견적서(REV1)_티티트리풀타워 GHP 견적서(REV1) 2" xfId="11962"/>
    <cellStyle name="_사전원가심의1_벤처오피스빌딩" xfId="11963"/>
    <cellStyle name="_사전원가심의1_벤처오피스빌딩 2" xfId="11964"/>
    <cellStyle name="_사전원가심의1_벤처오피스빌딩_대전가오(현설용공내역서)" xfId="11965"/>
    <cellStyle name="_사전원가심의1_벤처오피스빌딩_대전가오(현설용공내역서) 2" xfId="11966"/>
    <cellStyle name="_사전원가심의1_벤처오피스빌딩_대전가오(현설용공내역서)_부산이천일아울렛푸드코트및공용부위견적서(060202)" xfId="11967"/>
    <cellStyle name="_사전원가심의1_벤처오피스빌딩_대전가오(현설용공내역서)_부산이천일아울렛푸드코트및공용부위견적서(060202) 2" xfId="11968"/>
    <cellStyle name="_사전원가심의1_벤처오피스빌딩_대전가오(현설용공내역서)_부산이천일아울렛푸드코트및공용부위견적서(060202)_천호이천일아울렛푸드코트(060712)" xfId="11969"/>
    <cellStyle name="_사전원가심의1_벤처오피스빌딩_대전가오(현설용공내역서)_부산이천일아울렛푸드코트및공용부위견적서(060202)_천호이천일아울렛푸드코트(060712) 2" xfId="11970"/>
    <cellStyle name="_사전원가심의1_벤처오피스빌딩_대전가오(현설용공내역서)_산출" xfId="11971"/>
    <cellStyle name="_사전원가심의1_벤처오피스빌딩_대전가오(현설용공내역서)_산출 2" xfId="11972"/>
    <cellStyle name="_사전원가심의1_벤처오피스빌딩_대전가오(현설용공내역서)_산출_천호이천일아울렛푸드코트(060712)" xfId="11973"/>
    <cellStyle name="_사전원가심의1_벤처오피스빌딩_대전가오(현설용공내역서)_산출_천호이천일아울렛푸드코트(060712) 2" xfId="11974"/>
    <cellStyle name="_사전원가심의1_벤처오피스빌딩_부산이천일아울렛푸드코트및공용부위견적서(060202)" xfId="11975"/>
    <cellStyle name="_사전원가심의1_벤처오피스빌딩_부산이천일아울렛푸드코트및공용부위견적서(060202) 2" xfId="11976"/>
    <cellStyle name="_사전원가심의1_벤처오피스빌딩_부산이천일아울렛푸드코트및공용부위견적서(060202)_천호이천일아울렛푸드코트(060712)" xfId="11977"/>
    <cellStyle name="_사전원가심의1_벤처오피스빌딩_부산이천일아울렛푸드코트및공용부위견적서(060202)_천호이천일아울렛푸드코트(060712) 2" xfId="11978"/>
    <cellStyle name="_사전원가심의1_벤처오피스빌딩_산출" xfId="11979"/>
    <cellStyle name="_사전원가심의1_벤처오피스빌딩_산출 2" xfId="11980"/>
    <cellStyle name="_사전원가심의1_벤처오피스빌딩_산출_천호이천일아울렛푸드코트(060712)" xfId="11981"/>
    <cellStyle name="_사전원가심의1_벤처오피스빌딩_산출_천호이천일아울렛푸드코트(060712) 2" xfId="11982"/>
    <cellStyle name="_사전원가심의1_벤처오피스빌딩_천안용곡1" xfId="11983"/>
    <cellStyle name="_사전원가심의1_벤처오피스빌딩_천안용곡1 2" xfId="11984"/>
    <cellStyle name="_사전원가심의1_벤처오피스빌딩_천안용곡1_부산이천일아울렛푸드코트및공용부위견적서(060202)" xfId="11985"/>
    <cellStyle name="_사전원가심의1_벤처오피스빌딩_천안용곡1_부산이천일아울렛푸드코트및공용부위견적서(060202) 2" xfId="11986"/>
    <cellStyle name="_사전원가심의1_벤처오피스빌딩_천안용곡1_부산이천일아울렛푸드코트및공용부위견적서(060202)_천호이천일아울렛푸드코트(060712)" xfId="11987"/>
    <cellStyle name="_사전원가심의1_벤처오피스빌딩_천안용곡1_부산이천일아울렛푸드코트및공용부위견적서(060202)_천호이천일아울렛푸드코트(060712) 2" xfId="11988"/>
    <cellStyle name="_사전원가심의1_벤처오피스빌딩_천안용곡1_산출" xfId="11989"/>
    <cellStyle name="_사전원가심의1_벤처오피스빌딩_천안용곡1_산출 2" xfId="11990"/>
    <cellStyle name="_사전원가심의1_벤처오피스빌딩_천안용곡1_산출_천호이천일아울렛푸드코트(060712)" xfId="11991"/>
    <cellStyle name="_사전원가심의1_벤처오피스빌딩_천안용곡1_산출_천호이천일아울렛푸드코트(060712) 2" xfId="11992"/>
    <cellStyle name="_사전원가심의1_벤처오피스빌딩_충주연수820" xfId="11993"/>
    <cellStyle name="_사전원가심의1_벤처오피스빌딩_충주연수820 2" xfId="11994"/>
    <cellStyle name="_사전원가심의1_벤처오피스빌딩_충주연수820_부산이천일아울렛푸드코트및공용부위견적서(060202)" xfId="11995"/>
    <cellStyle name="_사전원가심의1_벤처오피스빌딩_충주연수820_부산이천일아울렛푸드코트및공용부위견적서(060202) 2" xfId="11996"/>
    <cellStyle name="_사전원가심의1_벤처오피스빌딩_충주연수820_부산이천일아울렛푸드코트및공용부위견적서(060202)_천호이천일아울렛푸드코트(060712)" xfId="11997"/>
    <cellStyle name="_사전원가심의1_벤처오피스빌딩_충주연수820_부산이천일아울렛푸드코트및공용부위견적서(060202)_천호이천일아울렛푸드코트(060712) 2" xfId="11998"/>
    <cellStyle name="_사전원가심의1_벤처오피스빌딩_충주연수820_산출" xfId="11999"/>
    <cellStyle name="_사전원가심의1_벤처오피스빌딩_충주연수820_산출 2" xfId="12000"/>
    <cellStyle name="_사전원가심의1_벤처오피스빌딩_충주연수820_산출_천호이천일아울렛푸드코트(060712)" xfId="12001"/>
    <cellStyle name="_사전원가심의1_벤처오피스빌딩_충주연수820_산출_천호이천일아울렛푸드코트(060712) 2" xfId="12002"/>
    <cellStyle name="_사전원가심의1_벤처오피스빌딩_충주연수MH0308" xfId="12003"/>
    <cellStyle name="_사전원가심의1_벤처오피스빌딩_충주연수MH0308 2" xfId="12004"/>
    <cellStyle name="_사전원가심의1_벤처오피스빌딩_충주연수MH0308_부산이천일아울렛푸드코트및공용부위견적서(060202)" xfId="12005"/>
    <cellStyle name="_사전원가심의1_벤처오피스빌딩_충주연수MH0308_부산이천일아울렛푸드코트및공용부위견적서(060202) 2" xfId="12006"/>
    <cellStyle name="_사전원가심의1_벤처오피스빌딩_충주연수MH0308_부산이천일아울렛푸드코트및공용부위견적서(060202)_천호이천일아울렛푸드코트(060712)" xfId="12007"/>
    <cellStyle name="_사전원가심의1_벤처오피스빌딩_충주연수MH0308_부산이천일아울렛푸드코트및공용부위견적서(060202)_천호이천일아울렛푸드코트(060712) 2" xfId="12008"/>
    <cellStyle name="_사전원가심의1_벤처오피스빌딩_충주연수MH0308_산출" xfId="12009"/>
    <cellStyle name="_사전원가심의1_벤처오피스빌딩_충주연수MH0308_산출 2" xfId="12010"/>
    <cellStyle name="_사전원가심의1_벤처오피스빌딩_충주연수MH0308_산출_천호이천일아울렛푸드코트(060712)" xfId="12011"/>
    <cellStyle name="_사전원가심의1_벤처오피스빌딩_충주연수MH0308_산출_천호이천일아울렛푸드코트(060712) 2" xfId="12012"/>
    <cellStyle name="_사전원가심의1_벤처오피스빌딩_현산대전가오견본주택공사" xfId="12013"/>
    <cellStyle name="_사전원가심의1_벤처오피스빌딩_현산대전가오견본주택공사 2" xfId="12014"/>
    <cellStyle name="_사전원가심의1_벤처오피스빌딩_현산대전가오견본주택공사(공내역서)" xfId="12015"/>
    <cellStyle name="_사전원가심의1_벤처오피스빌딩_현산대전가오견본주택공사(공내역서) 2" xfId="12016"/>
    <cellStyle name="_사전원가심의1_벤처오피스빌딩_현산대전가오견본주택공사(공내역서)_부산이천일아울렛푸드코트및공용부위견적서(060202)" xfId="12017"/>
    <cellStyle name="_사전원가심의1_벤처오피스빌딩_현산대전가오견본주택공사(공내역서)_부산이천일아울렛푸드코트및공용부위견적서(060202) 2" xfId="12018"/>
    <cellStyle name="_사전원가심의1_벤처오피스빌딩_현산대전가오견본주택공사(공내역서)_부산이천일아울렛푸드코트및공용부위견적서(060202)_천호이천일아울렛푸드코트(060712)" xfId="12019"/>
    <cellStyle name="_사전원가심의1_벤처오피스빌딩_현산대전가오견본주택공사(공내역서)_부산이천일아울렛푸드코트및공용부위견적서(060202)_천호이천일아울렛푸드코트(060712) 2" xfId="12020"/>
    <cellStyle name="_사전원가심의1_벤처오피스빌딩_현산대전가오견본주택공사(공내역서)_산출" xfId="12021"/>
    <cellStyle name="_사전원가심의1_벤처오피스빌딩_현산대전가오견본주택공사(공내역서)_산출 2" xfId="12022"/>
    <cellStyle name="_사전원가심의1_벤처오피스빌딩_현산대전가오견본주택공사(공내역서)_산출_천호이천일아울렛푸드코트(060712)" xfId="12023"/>
    <cellStyle name="_사전원가심의1_벤처오피스빌딩_현산대전가오견본주택공사(공내역서)_산출_천호이천일아울렛푸드코트(060712) 2" xfId="12024"/>
    <cellStyle name="_사전원가심의1_벤처오피스빌딩_현산대전가오견본주택공사_부산이천일아울렛푸드코트및공용부위견적서(060202)" xfId="12035"/>
    <cellStyle name="_사전원가심의1_벤처오피스빌딩_현산대전가오견본주택공사_부산이천일아울렛푸드코트및공용부위견적서(060202) 2" xfId="12036"/>
    <cellStyle name="_사전원가심의1_벤처오피스빌딩_현산대전가오견본주택공사_부산이천일아울렛푸드코트및공용부위견적서(060202)_천호이천일아울렛푸드코트(060712)" xfId="12037"/>
    <cellStyle name="_사전원가심의1_벤처오피스빌딩_현산대전가오견본주택공사_부산이천일아울렛푸드코트및공용부위견적서(060202)_천호이천일아울렛푸드코트(060712) 2" xfId="12038"/>
    <cellStyle name="_사전원가심의1_벤처오피스빌딩_현산대전가오견본주택공사_산출" xfId="12039"/>
    <cellStyle name="_사전원가심의1_벤처오피스빌딩_현산대전가오견본주택공사_산출 2" xfId="12040"/>
    <cellStyle name="_사전원가심의1_벤처오피스빌딩_현산대전가오견본주택공사_산출_천호이천일아울렛푸드코트(060712)" xfId="12041"/>
    <cellStyle name="_사전원가심의1_벤처오피스빌딩_현산대전가오견본주택공사_산출_천호이천일아울렛푸드코트(060712) 2" xfId="12042"/>
    <cellStyle name="_사전원가심의1_벤처오피스빌딩_현산대전가오견본주택공사05-28" xfId="12025"/>
    <cellStyle name="_사전원가심의1_벤처오피스빌딩_현산대전가오견본주택공사05-28 2" xfId="12026"/>
    <cellStyle name="_사전원가심의1_벤처오피스빌딩_현산대전가오견본주택공사05-28_부산이천일아울렛푸드코트및공용부위견적서(060202)" xfId="12027"/>
    <cellStyle name="_사전원가심의1_벤처오피스빌딩_현산대전가오견본주택공사05-28_부산이천일아울렛푸드코트및공용부위견적서(060202) 2" xfId="12028"/>
    <cellStyle name="_사전원가심의1_벤처오피스빌딩_현산대전가오견본주택공사05-28_부산이천일아울렛푸드코트및공용부위견적서(060202)_천호이천일아울렛푸드코트(060712)" xfId="12029"/>
    <cellStyle name="_사전원가심의1_벤처오피스빌딩_현산대전가오견본주택공사05-28_부산이천일아울렛푸드코트및공용부위견적서(060202)_천호이천일아울렛푸드코트(060712) 2" xfId="12030"/>
    <cellStyle name="_사전원가심의1_벤처오피스빌딩_현산대전가오견본주택공사05-28_산출" xfId="12031"/>
    <cellStyle name="_사전원가심의1_벤처오피스빌딩_현산대전가오견본주택공사05-28_산출 2" xfId="12032"/>
    <cellStyle name="_사전원가심의1_벤처오피스빌딩_현산대전가오견본주택공사05-28_산출_천호이천일아울렛푸드코트(060712)" xfId="12033"/>
    <cellStyle name="_사전원가심의1_벤처오피스빌딩_현산대전가오견본주택공사05-28_산출_천호이천일아울렛푸드코트(060712) 2" xfId="12034"/>
    <cellStyle name="_사전원가심의1_부산이천일아울렛푸드코트및공용부위견적서(060202)" xfId="12043"/>
    <cellStyle name="_사전원가심의1_부산이천일아울렛푸드코트및공용부위견적서(060202) 2" xfId="12044"/>
    <cellStyle name="_사전원가심의1_부산이천일아울렛푸드코트및공용부위견적서(060202)_천호이천일아울렛푸드코트(060712)" xfId="12045"/>
    <cellStyle name="_사전원가심의1_부산이천일아울렛푸드코트및공용부위견적서(060202)_천호이천일아울렛푸드코트(060712) 2" xfId="12046"/>
    <cellStyle name="_사전원가심의1_분당파크뷰(도급-실행-02.16)" xfId="12047"/>
    <cellStyle name="_사전원가심의1_분당파크뷰(도급-실행-02.16) 2" xfId="12048"/>
    <cellStyle name="_사전원가심의1_분당파크뷰(도급-실행-02.16)_EHP견적서(REV1)" xfId="12049"/>
    <cellStyle name="_사전원가심의1_분당파크뷰(도급-실행-02.16)_EHP견적서(REV1) 2" xfId="12050"/>
    <cellStyle name="_사전원가심의1_분당파크뷰(도급-실행-02.16)_EHP견적서(REV1)_티티트리풀타워 GHP 견적서(REV1)" xfId="12051"/>
    <cellStyle name="_사전원가심의1_분당파크뷰(도급-실행-02.16)_EHP견적서(REV1)_티티트리풀타워 GHP 견적서(REV1) 2" xfId="12052"/>
    <cellStyle name="_사전원가심의1_분당파크뷰(도급-실행-02.16)_방배동고급빌라EHP견적서(REV1)" xfId="12053"/>
    <cellStyle name="_사전원가심의1_분당파크뷰(도급-실행-02.16)_방배동고급빌라EHP견적서(REV1) 2" xfId="12054"/>
    <cellStyle name="_사전원가심의1_분당파크뷰(도급-실행-02.16)_방배동고급빌라EHP견적서(REV1)_티티트리풀타워 GHP 견적서(REV1)" xfId="12055"/>
    <cellStyle name="_사전원가심의1_분당파크뷰(도급-실행-02.16)_방배동고급빌라EHP견적서(REV1)_티티트리풀타워 GHP 견적서(REV1) 2" xfId="12056"/>
    <cellStyle name="_사전원가심의1_분당파크뷰(도급-실행-02.16)_사옥EHP견적서(REV1)" xfId="12057"/>
    <cellStyle name="_사전원가심의1_분당파크뷰(도급-실행-02.16)_사옥EHP견적서(REV1) 2" xfId="12058"/>
    <cellStyle name="_사전원가심의1_분당파크뷰(도급-실행-02.16)_사옥EHP견적서(REV1)_티티트리풀타워 GHP 견적서(REV1)" xfId="12059"/>
    <cellStyle name="_사전원가심의1_분당파크뷰(도급-실행-02.16)_사옥EHP견적서(REV1)_티티트리풀타워 GHP 견적서(REV1) 2" xfId="12060"/>
    <cellStyle name="_사전원가심의1_사옥EHP견적서(REV1)" xfId="12061"/>
    <cellStyle name="_사전원가심의1_사옥EHP견적서(REV1) 2" xfId="12062"/>
    <cellStyle name="_사전원가심의1_사옥EHP견적서(REV1)_티티트리풀타워 GHP 견적서(REV1)" xfId="12063"/>
    <cellStyle name="_사전원가심의1_사옥EHP견적서(REV1)_티티트리풀타워 GHP 견적서(REV1) 2" xfId="12064"/>
    <cellStyle name="_사전원가심의1_산출" xfId="12065"/>
    <cellStyle name="_사전원가심의1_산출 2" xfId="12066"/>
    <cellStyle name="_사전원가심의1_산출_천호이천일아울렛푸드코트(060712)" xfId="12067"/>
    <cellStyle name="_사전원가심의1_산출_천호이천일아울렛푸드코트(060712) 2" xfId="12068"/>
    <cellStyle name="_사전원가심의1_천안용곡1" xfId="12069"/>
    <cellStyle name="_사전원가심의1_천안용곡1 2" xfId="12070"/>
    <cellStyle name="_사전원가심의1_천안용곡1_부산이천일아울렛푸드코트및공용부위견적서(060202)" xfId="12071"/>
    <cellStyle name="_사전원가심의1_천안용곡1_부산이천일아울렛푸드코트및공용부위견적서(060202) 2" xfId="12072"/>
    <cellStyle name="_사전원가심의1_천안용곡1_부산이천일아울렛푸드코트및공용부위견적서(060202)_천호이천일아울렛푸드코트(060712)" xfId="12073"/>
    <cellStyle name="_사전원가심의1_천안용곡1_부산이천일아울렛푸드코트및공용부위견적서(060202)_천호이천일아울렛푸드코트(060712) 2" xfId="12074"/>
    <cellStyle name="_사전원가심의1_천안용곡1_산출" xfId="12075"/>
    <cellStyle name="_사전원가심의1_천안용곡1_산출 2" xfId="12076"/>
    <cellStyle name="_사전원가심의1_천안용곡1_산출_천호이천일아울렛푸드코트(060712)" xfId="12077"/>
    <cellStyle name="_사전원가심의1_천안용곡1_산출_천호이천일아울렛푸드코트(060712) 2" xfId="12078"/>
    <cellStyle name="_사전원가심의1_충주연수820" xfId="12079"/>
    <cellStyle name="_사전원가심의1_충주연수820 2" xfId="12080"/>
    <cellStyle name="_사전원가심의1_충주연수820_부산이천일아울렛푸드코트및공용부위견적서(060202)" xfId="12081"/>
    <cellStyle name="_사전원가심의1_충주연수820_부산이천일아울렛푸드코트및공용부위견적서(060202) 2" xfId="12082"/>
    <cellStyle name="_사전원가심의1_충주연수820_부산이천일아울렛푸드코트및공용부위견적서(060202)_천호이천일아울렛푸드코트(060712)" xfId="12083"/>
    <cellStyle name="_사전원가심의1_충주연수820_부산이천일아울렛푸드코트및공용부위견적서(060202)_천호이천일아울렛푸드코트(060712) 2" xfId="12084"/>
    <cellStyle name="_사전원가심의1_충주연수820_산출" xfId="12085"/>
    <cellStyle name="_사전원가심의1_충주연수820_산출 2" xfId="12086"/>
    <cellStyle name="_사전원가심의1_충주연수820_산출_천호이천일아울렛푸드코트(060712)" xfId="12087"/>
    <cellStyle name="_사전원가심의1_충주연수820_산출_천호이천일아울렛푸드코트(060712) 2" xfId="12088"/>
    <cellStyle name="_사전원가심의1_충주연수MH0308" xfId="12089"/>
    <cellStyle name="_사전원가심의1_충주연수MH0308 2" xfId="12090"/>
    <cellStyle name="_사전원가심의1_충주연수MH0308_부산이천일아울렛푸드코트및공용부위견적서(060202)" xfId="12091"/>
    <cellStyle name="_사전원가심의1_충주연수MH0308_부산이천일아울렛푸드코트및공용부위견적서(060202) 2" xfId="12092"/>
    <cellStyle name="_사전원가심의1_충주연수MH0308_부산이천일아울렛푸드코트및공용부위견적서(060202)_천호이천일아울렛푸드코트(060712)" xfId="12093"/>
    <cellStyle name="_사전원가심의1_충주연수MH0308_부산이천일아울렛푸드코트및공용부위견적서(060202)_천호이천일아울렛푸드코트(060712) 2" xfId="12094"/>
    <cellStyle name="_사전원가심의1_충주연수MH0308_산출" xfId="12095"/>
    <cellStyle name="_사전원가심의1_충주연수MH0308_산출 2" xfId="12096"/>
    <cellStyle name="_사전원가심의1_충주연수MH0308_산출_천호이천일아울렛푸드코트(060712)" xfId="12097"/>
    <cellStyle name="_사전원가심의1_충주연수MH0308_산출_천호이천일아울렛푸드코트(060712) 2" xfId="12098"/>
    <cellStyle name="_사전원가심의1_파크뷰위생" xfId="12099"/>
    <cellStyle name="_사전원가심의1_파크뷰위생 2" xfId="12100"/>
    <cellStyle name="_사전원가심의1_파크뷰위생_03.파크뷰도급실행내역 02.04.02" xfId="12101"/>
    <cellStyle name="_사전원가심의1_파크뷰위생_03.파크뷰도급실행내역 02.04.02 2" xfId="12102"/>
    <cellStyle name="_사전원가심의1_파크뷰위생_03.파크뷰도급실행내역 02.04.02_내역서(건설사)" xfId="12103"/>
    <cellStyle name="_사전원가심의1_파크뷰위생_03.파크뷰도급실행내역 02.04.02_내역서(건설사) 2" xfId="12104"/>
    <cellStyle name="_사전원가심의1_파크뷰위생_03.파크뷰도급실행내역 02.04.02_내역서(작업)" xfId="12105"/>
    <cellStyle name="_사전원가심의1_파크뷰위생_03.파크뷰도급실행내역 02.04.02_내역서(작업) 2" xfId="12106"/>
    <cellStyle name="_사전원가심의1_파크뷰위생_내역서(건설사)" xfId="12107"/>
    <cellStyle name="_사전원가심의1_파크뷰위생_내역서(건설사) 2" xfId="12108"/>
    <cellStyle name="_사전원가심의1_파크뷰위생_내역서(작업)" xfId="12109"/>
    <cellStyle name="_사전원가심의1_파크뷰위생_내역서(작업) 2" xfId="12110"/>
    <cellStyle name="_사전원가심의1_현산대전가오견본주택공사" xfId="12111"/>
    <cellStyle name="_사전원가심의1_현산대전가오견본주택공사 2" xfId="12112"/>
    <cellStyle name="_사전원가심의1_현산대전가오견본주택공사(공내역서)" xfId="12113"/>
    <cellStyle name="_사전원가심의1_현산대전가오견본주택공사(공내역서) 2" xfId="12114"/>
    <cellStyle name="_사전원가심의1_현산대전가오견본주택공사(공내역서)_부산이천일아울렛푸드코트및공용부위견적서(060202)" xfId="12115"/>
    <cellStyle name="_사전원가심의1_현산대전가오견본주택공사(공내역서)_부산이천일아울렛푸드코트및공용부위견적서(060202) 2" xfId="12116"/>
    <cellStyle name="_사전원가심의1_현산대전가오견본주택공사(공내역서)_부산이천일아울렛푸드코트및공용부위견적서(060202)_천호이천일아울렛푸드코트(060712)" xfId="12117"/>
    <cellStyle name="_사전원가심의1_현산대전가오견본주택공사(공내역서)_부산이천일아울렛푸드코트및공용부위견적서(060202)_천호이천일아울렛푸드코트(060712) 2" xfId="12118"/>
    <cellStyle name="_사전원가심의1_현산대전가오견본주택공사(공내역서)_산출" xfId="12119"/>
    <cellStyle name="_사전원가심의1_현산대전가오견본주택공사(공내역서)_산출 2" xfId="12120"/>
    <cellStyle name="_사전원가심의1_현산대전가오견본주택공사(공내역서)_산출_천호이천일아울렛푸드코트(060712)" xfId="12121"/>
    <cellStyle name="_사전원가심의1_현산대전가오견본주택공사(공내역서)_산출_천호이천일아울렛푸드코트(060712) 2" xfId="12122"/>
    <cellStyle name="_사전원가심의1_현산대전가오견본주택공사_부산이천일아울렛푸드코트및공용부위견적서(060202)" xfId="12133"/>
    <cellStyle name="_사전원가심의1_현산대전가오견본주택공사_부산이천일아울렛푸드코트및공용부위견적서(060202) 2" xfId="12134"/>
    <cellStyle name="_사전원가심의1_현산대전가오견본주택공사_부산이천일아울렛푸드코트및공용부위견적서(060202)_천호이천일아울렛푸드코트(060712)" xfId="12135"/>
    <cellStyle name="_사전원가심의1_현산대전가오견본주택공사_부산이천일아울렛푸드코트및공용부위견적서(060202)_천호이천일아울렛푸드코트(060712) 2" xfId="12136"/>
    <cellStyle name="_사전원가심의1_현산대전가오견본주택공사_산출" xfId="12137"/>
    <cellStyle name="_사전원가심의1_현산대전가오견본주택공사_산출 2" xfId="12138"/>
    <cellStyle name="_사전원가심의1_현산대전가오견본주택공사_산출_천호이천일아울렛푸드코트(060712)" xfId="12139"/>
    <cellStyle name="_사전원가심의1_현산대전가오견본주택공사_산출_천호이천일아울렛푸드코트(060712) 2" xfId="12140"/>
    <cellStyle name="_사전원가심의1_현산대전가오견본주택공사05-28" xfId="12123"/>
    <cellStyle name="_사전원가심의1_현산대전가오견본주택공사05-28 2" xfId="12124"/>
    <cellStyle name="_사전원가심의1_현산대전가오견본주택공사05-28_부산이천일아울렛푸드코트및공용부위견적서(060202)" xfId="12125"/>
    <cellStyle name="_사전원가심의1_현산대전가오견본주택공사05-28_부산이천일아울렛푸드코트및공용부위견적서(060202) 2" xfId="12126"/>
    <cellStyle name="_사전원가심의1_현산대전가오견본주택공사05-28_부산이천일아울렛푸드코트및공용부위견적서(060202)_천호이천일아울렛푸드코트(060712)" xfId="12127"/>
    <cellStyle name="_사전원가심의1_현산대전가오견본주택공사05-28_부산이천일아울렛푸드코트및공용부위견적서(060202)_천호이천일아울렛푸드코트(060712) 2" xfId="12128"/>
    <cellStyle name="_사전원가심의1_현산대전가오견본주택공사05-28_산출" xfId="12129"/>
    <cellStyle name="_사전원가심의1_현산대전가오견본주택공사05-28_산출 2" xfId="12130"/>
    <cellStyle name="_사전원가심의1_현산대전가오견본주택공사05-28_산출_천호이천일아울렛푸드코트(060712)" xfId="12131"/>
    <cellStyle name="_사전원가심의1_현산대전가오견본주택공사05-28_산출_천호이천일아울렛푸드코트(060712) 2" xfId="12132"/>
    <cellStyle name="_사진대지_자연석터파기" xfId="12141"/>
    <cellStyle name="_사진대지_자연석터파기 2" xfId="12142"/>
    <cellStyle name="_사진첩" xfId="12143"/>
    <cellStyle name="_사진첩 2" xfId="12144"/>
    <cellStyle name="_산동 농협동로지소 청사 신축공사-1" xfId="12145"/>
    <cellStyle name="_산동 농협동로지소 청사 신축공사-1 2" xfId="12146"/>
    <cellStyle name="_산동 농협동로지소 청사 신축공사-1_1" xfId="12147"/>
    <cellStyle name="_산동 농협동로지소 청사 신축공사-1_1 2" xfId="12148"/>
    <cellStyle name="_산동 농협동로지소 청사 신축공사-1_1_서울숲교회 02-15" xfId="12149"/>
    <cellStyle name="_산동 농협동로지소 청사 신축공사-1_1_서울숲교회 02-15 2" xfId="12150"/>
    <cellStyle name="_산동 농협동로지소 청사 신축공사-1_1_서울숲교회01-19" xfId="12151"/>
    <cellStyle name="_산동 농협동로지소 청사 신축공사-1_1_서울숲교회01-19 2" xfId="12152"/>
    <cellStyle name="_산동 농협동로지소 청사 신축공사-1_1_서울숲교회02-07" xfId="12153"/>
    <cellStyle name="_산동 농협동로지소 청사 신축공사-1_1_서울숲교회02-07 2" xfId="12154"/>
    <cellStyle name="_산동 농협동로지소 청사 신축공사-1_1_서울숲교회부속실02-07" xfId="12155"/>
    <cellStyle name="_산동 농협동로지소 청사 신축공사-1_1_서울숲교회부속실02-07 2" xfId="12156"/>
    <cellStyle name="_산동 농협동로지소 청사 신축공사-1_1_서울숲교회부속실영상2-7" xfId="12157"/>
    <cellStyle name="_산동 농협동로지소 청사 신축공사-1_1_서울숲교회부속실영상2-7 2" xfId="12158"/>
    <cellStyle name="_산동 농협동로지소 청사 신축공사-1_1_효성교회견적계약" xfId="12159"/>
    <cellStyle name="_산동 농협동로지소 청사 신축공사-1_1_효성교회견적계약 2" xfId="12160"/>
    <cellStyle name="_산동 농협동로지소 청사 신축공사-1_서울숲교회 02-15" xfId="12161"/>
    <cellStyle name="_산동 농협동로지소 청사 신축공사-1_서울숲교회 02-15 2" xfId="12162"/>
    <cellStyle name="_산동 농협동로지소 청사 신축공사-1_서울숲교회01-19" xfId="12163"/>
    <cellStyle name="_산동 농협동로지소 청사 신축공사-1_서울숲교회01-19 2" xfId="12164"/>
    <cellStyle name="_산동 농협동로지소 청사 신축공사-1_서울숲교회02-07" xfId="12165"/>
    <cellStyle name="_산동 농협동로지소 청사 신축공사-1_서울숲교회02-07 2" xfId="12166"/>
    <cellStyle name="_산동 농협동로지소 청사 신축공사-1_서울숲교회부속실02-07" xfId="12167"/>
    <cellStyle name="_산동 농협동로지소 청사 신축공사-1_서울숲교회부속실02-07 2" xfId="12168"/>
    <cellStyle name="_산동 농협동로지소 청사 신축공사-1_서울숲교회부속실영상2-7" xfId="12169"/>
    <cellStyle name="_산동 농협동로지소 청사 신축공사-1_서울숲교회부속실영상2-7 2" xfId="12170"/>
    <cellStyle name="_산동 농협동로지소 청사 신축공사-1_효성교회견적계약" xfId="12171"/>
    <cellStyle name="_산동 농협동로지소 청사 신축공사-1_효성교회견적계약 2" xfId="12172"/>
    <cellStyle name="_산출및내역1차" xfId="12173"/>
    <cellStyle name="_삼능건설 부천중동(실행)2" xfId="12174"/>
    <cellStyle name="_삼능건설 부천중동(실행)2 2" xfId="12175"/>
    <cellStyle name="_삼능건설 일반,주방기기 견적" xfId="12176"/>
    <cellStyle name="_삼능건설 일반,주방기기 견적 2" xfId="12177"/>
    <cellStyle name="_삼성견적" xfId="12178"/>
    <cellStyle name="_삼성견적 2" xfId="12179"/>
    <cellStyle name="_삼성견적_서울숲교회 02-15" xfId="12180"/>
    <cellStyle name="_삼성견적_서울숲교회 02-15 2" xfId="12181"/>
    <cellStyle name="_삼성견적_서울숲교회01-19" xfId="12182"/>
    <cellStyle name="_삼성견적_서울숲교회01-19 2" xfId="12183"/>
    <cellStyle name="_삼성견적_서울숲교회02-07" xfId="12184"/>
    <cellStyle name="_삼성견적_서울숲교회02-07 2" xfId="12185"/>
    <cellStyle name="_삼성견적_서울숲교회부속실02-07" xfId="12186"/>
    <cellStyle name="_삼성견적_서울숲교회부속실02-07 2" xfId="12187"/>
    <cellStyle name="_삼성견적_서울숲교회부속실영상2-7" xfId="12188"/>
    <cellStyle name="_삼성견적_서울숲교회부속실영상2-7 2" xfId="12189"/>
    <cellStyle name="_삼성견적_효성교회견적계약" xfId="12190"/>
    <cellStyle name="_삼성견적_효성교회견적계약 2" xfId="12191"/>
    <cellStyle name="_삼영잉크" xfId="12192"/>
    <cellStyle name="_삼영잉크 2" xfId="12193"/>
    <cellStyle name="_삼한-점토블럭(2005.7)" xfId="12194"/>
    <cellStyle name="_삼한-점토블럭(2005.7) 2" xfId="12195"/>
    <cellStyle name="_상리~사천간국도4차로공사내역" xfId="12196"/>
    <cellStyle name="_상리~사천간국도4차로공사내역 2" xfId="12197"/>
    <cellStyle name="_새들초등학교(동성)" xfId="12198"/>
    <cellStyle name="_새들초등학교(동성) 2" xfId="12199"/>
    <cellStyle name="_생판93~00" xfId="12200"/>
    <cellStyle name="_생판93~00 2" xfId="12201"/>
    <cellStyle name="_생판99년간예상" xfId="12202"/>
    <cellStyle name="_생판99년간예상 2" xfId="12203"/>
    <cellStyle name="_서대전정산내역서(MCC)" xfId="12204"/>
    <cellStyle name="_서대전정산내역서(전력제어)" xfId="12205"/>
    <cellStyle name="_서비스플랫폼_원가산출내역서_20050617_DRM추가(1)" xfId="12206"/>
    <cellStyle name="_서비스플랫폼_원가산출내역서_20050617_DRM추가(1) 2" xfId="12207"/>
    <cellStyle name="_서비스플랫폼원가산출내역서_20050617(1)" xfId="12208"/>
    <cellStyle name="_서비스플랫폼원가산출내역서_20050617(1) 2" xfId="12209"/>
    <cellStyle name="_서산점" xfId="12210"/>
    <cellStyle name="_서산점(약전)자재부최종확정" xfId="12211"/>
    <cellStyle name="_서산점약전내역(자재부확정)" xfId="12212"/>
    <cellStyle name="_서울대학교사범대교육정보관(에스와이비작업수정)" xfId="12213"/>
    <cellStyle name="_서울대학교사범대교육정보관(에스와이비작업수정) 2" xfId="12214"/>
    <cellStyle name="_서울대학교사범대교육정보관(에스와이비작업완료)" xfId="12215"/>
    <cellStyle name="_서울대학교사범대교육정보관(에스와이비작업완료) 2" xfId="12216"/>
    <cellStyle name="_서울도림초등학교(신한디스켓)" xfId="12217"/>
    <cellStyle name="_서울도림초등학교(신한디스켓) 2" xfId="12218"/>
    <cellStyle name="_서울시교육청-내역서-(1안)-1" xfId="12219"/>
    <cellStyle name="_서울시교육청-내역서-(1안)-1 2" xfId="12220"/>
    <cellStyle name="_서울여대(20020516)" xfId="12221"/>
    <cellStyle name="_서울여대(20020516) 2" xfId="12222"/>
    <cellStyle name="_서울염경초등학교하도급작업(천호작업)" xfId="12223"/>
    <cellStyle name="_서울염경초등학교하도급작업(천호작업) 2" xfId="12224"/>
    <cellStyle name="_서울화일초(덕동)" xfId="12225"/>
    <cellStyle name="_서울화일초(덕동) 2" xfId="12226"/>
    <cellStyle name="_서원대학교" xfId="12227"/>
    <cellStyle name="_서원대학교 2" xfId="12228"/>
    <cellStyle name="_서창초" xfId="12229"/>
    <cellStyle name="_서창초 2" xfId="12230"/>
    <cellStyle name="_석수고" xfId="12231"/>
    <cellStyle name="_석수고 2" xfId="12232"/>
    <cellStyle name="_선로설계" xfId="12233"/>
    <cellStyle name="_선로설계 2" xfId="12234"/>
    <cellStyle name="_선로설계_서울숲교회 02-15" xfId="12235"/>
    <cellStyle name="_선로설계_서울숲교회 02-15 2" xfId="12236"/>
    <cellStyle name="_선로설계_서울숲교회01-19" xfId="12237"/>
    <cellStyle name="_선로설계_서울숲교회01-19 2" xfId="12238"/>
    <cellStyle name="_선로설계_서울숲교회02-07" xfId="12239"/>
    <cellStyle name="_선로설계_서울숲교회02-07 2" xfId="12240"/>
    <cellStyle name="_선로설계_서울숲교회부속실02-07" xfId="12241"/>
    <cellStyle name="_선로설계_서울숲교회부속실02-07 2" xfId="12242"/>
    <cellStyle name="_선로설계_서울숲교회부속실영상2-7" xfId="12243"/>
    <cellStyle name="_선로설계_서울숲교회부속실영상2-7 2" xfId="12244"/>
    <cellStyle name="_선로설계_효성교회견적계약" xfId="12245"/>
    <cellStyle name="_선로설계_효성교회견적계약 2" xfId="12246"/>
    <cellStyle name="_선정(1)" xfId="12247"/>
    <cellStyle name="_선정(1)_범향 구월동 교회" xfId="12248"/>
    <cellStyle name="_선정(1)_선정안(삼산)" xfId="12249"/>
    <cellStyle name="_선정(1)_선정안(삼산)_범향 구월동 교회" xfId="12250"/>
    <cellStyle name="_선정(1)_추풍령" xfId="12251"/>
    <cellStyle name="_선정(1)_추풍령_범향 구월동 교회" xfId="12254"/>
    <cellStyle name="_선정(1)_추풍령-1" xfId="12252"/>
    <cellStyle name="_선정(1)_추풍령-1_범향 구월동 교회" xfId="12253"/>
    <cellStyle name="_선정(2)" xfId="12255"/>
    <cellStyle name="_선정(2)_범향 구월동 교회" xfId="12256"/>
    <cellStyle name="_선정(2)_선정안(삼산)" xfId="12257"/>
    <cellStyle name="_선정(2)_선정안(삼산)_범향 구월동 교회" xfId="12258"/>
    <cellStyle name="_선정(2)_추풍령" xfId="12259"/>
    <cellStyle name="_선정(2)_추풍령_범향 구월동 교회" xfId="12262"/>
    <cellStyle name="_선정(2)_추풍령-1" xfId="12260"/>
    <cellStyle name="_선정(2)_추풍령-1_범향 구월동 교회" xfId="12261"/>
    <cellStyle name="_선정(3)" xfId="12263"/>
    <cellStyle name="_선정(3)_범향 구월동 교회" xfId="12264"/>
    <cellStyle name="_선정(3)_선정안(삼산)" xfId="12265"/>
    <cellStyle name="_선정(3)_선정안(삼산)_범향 구월동 교회" xfId="12266"/>
    <cellStyle name="_선정(3)_추풍령" xfId="12267"/>
    <cellStyle name="_선정(3)_추풍령_범향 구월동 교회" xfId="12270"/>
    <cellStyle name="_선정(3)_추풍령-1" xfId="12268"/>
    <cellStyle name="_선정(3)_추풍령-1_범향 구월동 교회" xfId="12269"/>
    <cellStyle name="_선정(4)" xfId="12271"/>
    <cellStyle name="_선정(4)_범향 구월동 교회" xfId="12272"/>
    <cellStyle name="_선정(4)_선정안(삼산)" xfId="12273"/>
    <cellStyle name="_선정(4)_선정안(삼산)_범향 구월동 교회" xfId="12274"/>
    <cellStyle name="_선정(4)_추풍령" xfId="12275"/>
    <cellStyle name="_선정(4)_추풍령_범향 구월동 교회" xfId="12278"/>
    <cellStyle name="_선정(4)_추풍령-1" xfId="12276"/>
    <cellStyle name="_선정(4)_추풍령-1_범향 구월동 교회" xfId="12277"/>
    <cellStyle name="_선정(5)" xfId="12279"/>
    <cellStyle name="_선정(5)_범향 구월동 교회" xfId="12280"/>
    <cellStyle name="_선정(5)_선정안(삼산)" xfId="12281"/>
    <cellStyle name="_선정(5)_선정안(삼산)_범향 구월동 교회" xfId="12282"/>
    <cellStyle name="_선정(5)_추풍령" xfId="12283"/>
    <cellStyle name="_선정(5)_추풍령_범향 구월동 교회" xfId="12286"/>
    <cellStyle name="_선정(5)_추풍령-1" xfId="12284"/>
    <cellStyle name="_선정(5)_추풍령-1_범향 구월동 교회" xfId="12285"/>
    <cellStyle name="_선촌리 저층집합주거 내역서" xfId="12287"/>
    <cellStyle name="_선촌리 저층집합주거 내역서 2" xfId="12288"/>
    <cellStyle name="_설계내역서" xfId="12289"/>
    <cellStyle name="_설계내역서 2" xfId="12290"/>
    <cellStyle name="_설계내역서(2차)" xfId="12291"/>
    <cellStyle name="_설계내역서(2차) 2" xfId="12292"/>
    <cellStyle name="_설계내역서(냉방기)" xfId="12293"/>
    <cellStyle name="_설계내역서(냉방기) 2" xfId="12294"/>
    <cellStyle name="_설계내역서(냉방기)_서울숲교회 02-15" xfId="12295"/>
    <cellStyle name="_설계내역서(냉방기)_서울숲교회 02-15 2" xfId="12296"/>
    <cellStyle name="_설계내역서(냉방기)_서울숲교회01-19" xfId="12297"/>
    <cellStyle name="_설계내역서(냉방기)_서울숲교회01-19 2" xfId="12298"/>
    <cellStyle name="_설계내역서(냉방기)_서울숲교회02-07" xfId="12299"/>
    <cellStyle name="_설계내역서(냉방기)_서울숲교회02-07 2" xfId="12300"/>
    <cellStyle name="_설계내역서(냉방기)_서울숲교회부속실02-07" xfId="12301"/>
    <cellStyle name="_설계내역서(냉방기)_서울숲교회부속실02-07 2" xfId="12302"/>
    <cellStyle name="_설계내역서(냉방기)_서울숲교회부속실영상2-7" xfId="12303"/>
    <cellStyle name="_설계내역서(냉방기)_서울숲교회부속실영상2-7 2" xfId="12304"/>
    <cellStyle name="_설계내역서(냉방기)_효성교회견적계약" xfId="12305"/>
    <cellStyle name="_설계내역서(냉방기)_효성교회견적계약 2" xfId="12306"/>
    <cellStyle name="_설계내역서0331" xfId="12307"/>
    <cellStyle name="_설계내역서0331 2" xfId="12308"/>
    <cellStyle name="_설계내역서0331_서울숲교회 02-15" xfId="12309"/>
    <cellStyle name="_설계내역서0331_서울숲교회 02-15 2" xfId="12310"/>
    <cellStyle name="_설계내역서0331_서울숲교회01-19" xfId="12311"/>
    <cellStyle name="_설계내역서0331_서울숲교회01-19 2" xfId="12312"/>
    <cellStyle name="_설계내역서0331_서울숲교회02-07" xfId="12313"/>
    <cellStyle name="_설계내역서0331_서울숲교회02-07 2" xfId="12314"/>
    <cellStyle name="_설계내역서0331_서울숲교회부속실02-07" xfId="12315"/>
    <cellStyle name="_설계내역서0331_서울숲교회부속실02-07 2" xfId="12316"/>
    <cellStyle name="_설계내역서0331_서울숲교회부속실영상2-7" xfId="12317"/>
    <cellStyle name="_설계내역서0331_서울숲교회부속실영상2-7 2" xfId="12318"/>
    <cellStyle name="_설계내역서0331_효성교회견적계약" xfId="12319"/>
    <cellStyle name="_설계내역서0331_효성교회견적계약 2" xfId="12320"/>
    <cellStyle name="_설계변경제4회(보강토+우수공)" xfId="12321"/>
    <cellStyle name="_설계변경제4회(보강토+우수공) 2" xfId="12322"/>
    <cellStyle name="_설계서(총체)" xfId="12323"/>
    <cellStyle name="_설계서(총체) 2" xfId="12324"/>
    <cellStyle name="_설계원가 및 손익계산서(극장)" xfId="12325"/>
    <cellStyle name="_설계원가 및 손익계산서(극장) 2" xfId="12326"/>
    <cellStyle name="_설계원가 및 손익계산서(백화점)" xfId="12327"/>
    <cellStyle name="_설계원가 및 손익계산서(백화점) 2" xfId="12328"/>
    <cellStyle name="_설계원가 및 손익계산서(이광환)" xfId="12329"/>
    <cellStyle name="_설계원가 및 손익계산서(이광환) 2" xfId="12330"/>
    <cellStyle name="_설비(1218)" xfId="12331"/>
    <cellStyle name="_설비(1218) 2" xfId="12332"/>
    <cellStyle name="_설비보육시설(견적)" xfId="12333"/>
    <cellStyle name="_설비보육시설(견적) 2" xfId="12334"/>
    <cellStyle name="_섬김의교회1안" xfId="12335"/>
    <cellStyle name="_섬김의교회1안 2" xfId="12336"/>
    <cellStyle name="_섬김의교회1안_서울숲교회 02-15" xfId="12337"/>
    <cellStyle name="_섬김의교회1안_서울숲교회 02-15 2" xfId="12338"/>
    <cellStyle name="_섬김의교회1안_서울숲교회01-19" xfId="12339"/>
    <cellStyle name="_섬김의교회1안_서울숲교회01-19 2" xfId="12340"/>
    <cellStyle name="_섬김의교회1안_서울숲교회02-07" xfId="12341"/>
    <cellStyle name="_섬김의교회1안_서울숲교회02-07 2" xfId="12342"/>
    <cellStyle name="_섬김의교회1안_서울숲교회부속실02-07" xfId="12343"/>
    <cellStyle name="_섬김의교회1안_서울숲교회부속실02-07 2" xfId="12344"/>
    <cellStyle name="_섬김의교회1안_서울숲교회부속실영상2-7" xfId="12345"/>
    <cellStyle name="_섬김의교회1안_서울숲교회부속실영상2-7 2" xfId="12346"/>
    <cellStyle name="_섬김의교회1안_효성교회견적계약" xfId="12347"/>
    <cellStyle name="_섬김의교회1안_효성교회견적계약 2" xfId="12348"/>
    <cellStyle name="_섬김의교회2안" xfId="12349"/>
    <cellStyle name="_섬김의교회2안 2" xfId="12350"/>
    <cellStyle name="_섬김의교회2안_서울숲교회 02-15" xfId="12351"/>
    <cellStyle name="_섬김의교회2안_서울숲교회 02-15 2" xfId="12352"/>
    <cellStyle name="_섬김의교회2안_서울숲교회01-19" xfId="12353"/>
    <cellStyle name="_섬김의교회2안_서울숲교회01-19 2" xfId="12354"/>
    <cellStyle name="_섬김의교회2안_서울숲교회02-07" xfId="12355"/>
    <cellStyle name="_섬김의교회2안_서울숲교회02-07 2" xfId="12356"/>
    <cellStyle name="_섬김의교회2안_서울숲교회부속실02-07" xfId="12357"/>
    <cellStyle name="_섬김의교회2안_서울숲교회부속실02-07 2" xfId="12358"/>
    <cellStyle name="_섬김의교회2안_서울숲교회부속실영상2-7" xfId="12359"/>
    <cellStyle name="_섬김의교회2안_서울숲교회부속실영상2-7 2" xfId="12360"/>
    <cellStyle name="_섬김의교회2안_효성교회견적계약" xfId="12361"/>
    <cellStyle name="_섬김의교회2안_효성교회견적계약 2" xfId="12362"/>
    <cellStyle name="_성덕초,명진초,신길(토목)" xfId="12363"/>
    <cellStyle name="_성덕초,명진초,신길(토목) 2" xfId="12364"/>
    <cellStyle name="_성산배수지건설공사(덕동)" xfId="12365"/>
    <cellStyle name="_성산배수지건설공사(덕동) 2" xfId="12366"/>
    <cellStyle name="_성스테이지" xfId="12367"/>
    <cellStyle name="_성스테이지 2" xfId="12368"/>
    <cellStyle name="_성원건설 공세리" xfId="12369"/>
    <cellStyle name="_성원건설 공세리 2" xfId="12370"/>
    <cellStyle name="_성원건설 공세리_2007현황보고양식" xfId="12371"/>
    <cellStyle name="_성원건설 공세리_2007현황보고양식 2" xfId="12372"/>
    <cellStyle name="_세기기전" xfId="12373"/>
    <cellStyle name="_세기기전 2" xfId="12374"/>
    <cellStyle name="_세명(통신0901)" xfId="12375"/>
    <cellStyle name="_세명(통신0901) 2" xfId="12376"/>
    <cellStyle name="_세명(통신0901)_서울숲교회 02-15" xfId="12377"/>
    <cellStyle name="_세명(통신0901)_서울숲교회 02-15 2" xfId="12378"/>
    <cellStyle name="_세명(통신0901)_서울숲교회01-19" xfId="12379"/>
    <cellStyle name="_세명(통신0901)_서울숲교회01-19 2" xfId="12380"/>
    <cellStyle name="_세명(통신0901)_서울숲교회02-07" xfId="12381"/>
    <cellStyle name="_세명(통신0901)_서울숲교회02-07 2" xfId="12382"/>
    <cellStyle name="_세명(통신0901)_서울숲교회부속실02-07" xfId="12383"/>
    <cellStyle name="_세명(통신0901)_서울숲교회부속실02-07 2" xfId="12384"/>
    <cellStyle name="_세명(통신0901)_서울숲교회부속실영상2-7" xfId="12385"/>
    <cellStyle name="_세명(통신0901)_서울숲교회부속실영상2-7 2" xfId="12386"/>
    <cellStyle name="_세명(통신0901)_효성교회견적계약" xfId="12387"/>
    <cellStyle name="_세명(통신0901)_효성교회견적계약 2" xfId="12388"/>
    <cellStyle name="_세종입찰실행(3.15)" xfId="12389"/>
    <cellStyle name="_세종입찰실행(3.15) 2" xfId="12390"/>
    <cellStyle name="_셈풀 (2)" xfId="12391"/>
    <cellStyle name="_셈풀 (2) 2" xfId="12392"/>
    <cellStyle name="_소단측구(현타,기성비교)" xfId="12393"/>
    <cellStyle name="_소단측구(현타,기성비교) 2" xfId="12394"/>
    <cellStyle name="_소방전기(최종)" xfId="12395"/>
    <cellStyle name="_속보2" xfId="12396"/>
    <cellStyle name="_속보2 2" xfId="12397"/>
    <cellStyle name="_속보3H" xfId="12398"/>
    <cellStyle name="_속보3H 2" xfId="12399"/>
    <cellStyle name="_손익계산서" xfId="12400"/>
    <cellStyle name="_손익계산서 2" xfId="12401"/>
    <cellStyle name="_송산고(백산하도급포함)" xfId="12402"/>
    <cellStyle name="_송산고(백산하도급포함) 2" xfId="12403"/>
    <cellStyle name="_송전초교" xfId="12404"/>
    <cellStyle name="_송전초교 2" xfId="12405"/>
    <cellStyle name="_송전초교_양지면관내보안등설계" xfId="12406"/>
    <cellStyle name="_송전초교_양지면관내보안등설계 2" xfId="12407"/>
    <cellStyle name="_송현실행내역" xfId="12408"/>
    <cellStyle name="_송현실행내역 2" xfId="12409"/>
    <cellStyle name="_수공(성남)설계" xfId="12410"/>
    <cellStyle name="_수공(성남)설계 2" xfId="12411"/>
    <cellStyle name="_수공(성남)설계_인천계양 까치마을 태화,한진아파트 공사내역서(제출용1)" xfId="12412"/>
    <cellStyle name="_수공(성남)설계_인천계양 까치마을 태화,한진아파트 공사내역서(제출용1) 2" xfId="12413"/>
    <cellStyle name="_수공(성남)설계_인천계양 까치마을 태화,한진아파트 공사내역서(제출용1)_계양구 도두리마을 동남 아파트 하자보수공사비산출서(자오)" xfId="12414"/>
    <cellStyle name="_수공(성남)설계_인천계양 까치마을 태화,한진아파트 공사내역서(제출용1)_계양구 도두리마을 동남 아파트 하자보수공사비산출서(자오) 2" xfId="12415"/>
    <cellStyle name="_수공(성남)설계_인천계양 까치마을 태화,한진아파트 공사내역서(제출용1)_구로동구일우성아파트 하자보수공사비산출서(1)" xfId="12416"/>
    <cellStyle name="_수공(성남)설계_인천계양 까치마을 태화,한진아파트 공사내역서(제출용1)_구로동구일우성아파트 하자보수공사비산출서(1) 2" xfId="12417"/>
    <cellStyle name="_수공(성남)설계_인천계양 까치마을 태화,한진아파트 공사내역서(제출용1)_인천계양 까치마을 태화,한진아파트 공사내역서9.12(제출용)" xfId="12418"/>
    <cellStyle name="_수공(성남)설계_인천계양 까치마을 태화,한진아파트 공사내역서(제출용1)_인천계양 까치마을 태화,한진아파트 공사내역서9.12(제출용) 2" xfId="12419"/>
    <cellStyle name="_수공(성남)설계_인천계양 까치마을 태화,한진아파트 공사내역서(제출용1)_인천계양 까치마을 태화,한진아파트 공사내역서9.12(제출용)_인천계양 까치마을 태화,한진아파트 공사내역서9.12(제출용)" xfId="12420"/>
    <cellStyle name="_수공(성남)설계_인천계양 까치마을 태화,한진아파트 공사내역서(제출용1)_인천계양 까치마을 태화,한진아파트 공사내역서9.12(제출용)_인천계양 까치마을 태화,한진아파트 공사내역서9.12(제출용) 2" xfId="12421"/>
    <cellStyle name="_수공(성남)설계_인천계양 까치마을 태화,한진아파트 공사내역서(제출용1)_인천계양 까치마을 태화,한진아파트 공사내역서9.12(제출용)_인천계양 까치마을 태화,한진아파트 공사내역서9.12(제출용)_계양구 도두리마을 동남 아파트 하자보수공사비산출서(자오)" xfId="12422"/>
    <cellStyle name="_수공(성남)설계_인천계양 까치마을 태화,한진아파트 공사내역서(제출용1)_인천계양 까치마을 태화,한진아파트 공사내역서9.12(제출용)_인천계양 까치마을 태화,한진아파트 공사내역서9.12(제출용)_계양구 도두리마을 동남 아파트 하자보수공사비산출서(자오) 2" xfId="12423"/>
    <cellStyle name="_수공(성남)설계_인천계양 까치마을 태화,한진아파트 공사내역서(제출용1)_인천계양 까치마을 태화,한진아파트 공사내역서9.12(제출용)_인천계양 까치마을 태화,한진아파트 공사내역서9.12(제출용)_구로동구일우성아파트 하자보수공사비산출서(1)" xfId="12424"/>
    <cellStyle name="_수공(성남)설계_인천계양 까치마을 태화,한진아파트 공사내역서(제출용1)_인천계양 까치마을 태화,한진아파트 공사내역서9.12(제출용)_인천계양 까치마을 태화,한진아파트 공사내역서9.12(제출용)_구로동구일우성아파트 하자보수공사비산출서(1) 2" xfId="12425"/>
    <cellStyle name="_수공(성남)설계_인천계양 까치마을 태화,한진아파트 공사내역서9.12(제출용)" xfId="12426"/>
    <cellStyle name="_수공(성남)설계_인천계양 까치마을 태화,한진아파트 공사내역서9.12(제출용) 2" xfId="12427"/>
    <cellStyle name="_수공(성남)설계_인천계양 까치마을 태화,한진아파트 공사내역서9.12(제출용)_계양구 도두리마을 동남 아파트 하자보수공사비산출서(자오)" xfId="12428"/>
    <cellStyle name="_수공(성남)설계_인천계양 까치마을 태화,한진아파트 공사내역서9.12(제출용)_계양구 도두리마을 동남 아파트 하자보수공사비산출서(자오) 2" xfId="12429"/>
    <cellStyle name="_수공(성남)설계_인천계양 까치마을 태화,한진아파트 공사내역서9.12(제출용)_구로동구일우성아파트 하자보수공사비산출서(1)" xfId="12430"/>
    <cellStyle name="_수공(성남)설계_인천계양 까치마을 태화,한진아파트 공사내역서9.12(제출용)_구로동구일우성아파트 하자보수공사비산출서(1) 2" xfId="12431"/>
    <cellStyle name="_수공(성남)설계_인천계양 까치마을 태화,한진아파트 공사내역서9.12(제출용)_인천계양 까치마을 태화,한진아파트 공사내역서9.12(제출용)" xfId="12432"/>
    <cellStyle name="_수공(성남)설계_인천계양 까치마을 태화,한진아파트 공사내역서9.12(제출용)_인천계양 까치마을 태화,한진아파트 공사내역서9.12(제출용) 2" xfId="12433"/>
    <cellStyle name="_수공(성남)설계_인천계양 까치마을 태화,한진아파트 공사내역서9.12(제출용)_인천계양 까치마을 태화,한진아파트 공사내역서9.12(제출용)_인천계양 까치마을 태화,한진아파트 공사내역서9.12(제출용)" xfId="12434"/>
    <cellStyle name="_수공(성남)설계_인천계양 까치마을 태화,한진아파트 공사내역서9.12(제출용)_인천계양 까치마을 태화,한진아파트 공사내역서9.12(제출용)_인천계양 까치마을 태화,한진아파트 공사내역서9.12(제출용) 2" xfId="12435"/>
    <cellStyle name="_수공(성남)설계_인천계양 까치마을 태화,한진아파트 공사내역서9.12(제출용)_인천계양 까치마을 태화,한진아파트 공사내역서9.12(제출용)_인천계양 까치마을 태화,한진아파트 공사내역서9.12(제출용)_계양구 도두리마을 동남 아파트 하자보수공사비산출서(자오)" xfId="12436"/>
    <cellStyle name="_수공(성남)설계_인천계양 까치마을 태화,한진아파트 공사내역서9.12(제출용)_인천계양 까치마을 태화,한진아파트 공사내역서9.12(제출용)_인천계양 까치마을 태화,한진아파트 공사내역서9.12(제출용)_계양구 도두리마을 동남 아파트 하자보수공사비산출서(자오) 2" xfId="12437"/>
    <cellStyle name="_수공(성남)설계_인천계양 까치마을 태화,한진아파트 공사내역서9.12(제출용)_인천계양 까치마을 태화,한진아파트 공사내역서9.12(제출용)_인천계양 까치마을 태화,한진아파트 공사내역서9.12(제출용)_구로동구일우성아파트 하자보수공사비산출서(1)" xfId="12438"/>
    <cellStyle name="_수공(성남)설계_인천계양 까치마을 태화,한진아파트 공사내역서9.12(제출용)_인천계양 까치마을 태화,한진아파트 공사내역서9.12(제출용)_인천계양 까치마을 태화,한진아파트 공사내역서9.12(제출용)_구로동구일우성아파트 하자보수공사비산출서(1) 2" xfId="12439"/>
    <cellStyle name="_수도권매립지" xfId="12440"/>
    <cellStyle name="_수도권매립지 2" xfId="12441"/>
    <cellStyle name="_수도권매립지하도급(명도)" xfId="12442"/>
    <cellStyle name="_수도권매립지하도급(명도) 2" xfId="12443"/>
    <cellStyle name="_수량" xfId="12444"/>
    <cellStyle name="_수량 2" xfId="12445"/>
    <cellStyle name="_수량_1" xfId="12450"/>
    <cellStyle name="_수량_2" xfId="12451"/>
    <cellStyle name="_수량1" xfId="12446"/>
    <cellStyle name="_수량1_1" xfId="12447"/>
    <cellStyle name="_수량2" xfId="12448"/>
    <cellStyle name="_수량2_1" xfId="12449"/>
    <cellStyle name="_수량last" xfId="12452"/>
    <cellStyle name="_수량last_1" xfId="12453"/>
    <cellStyle name="_수량last_2" xfId="12454"/>
    <cellStyle name="_수량산출서" xfId="12455"/>
    <cellStyle name="_수량산출서 2" xfId="12456"/>
    <cellStyle name="_수량산출서-샘플" xfId="12457"/>
    <cellStyle name="_수량제목" xfId="12458"/>
    <cellStyle name="_수량제목 2" xfId="12459"/>
    <cellStyle name="_수량제목_내역서" xfId="12460"/>
    <cellStyle name="_수량제목_내역서 2" xfId="12461"/>
    <cellStyle name="_수목" xfId="12462"/>
    <cellStyle name="_수목 2" xfId="12463"/>
    <cellStyle name="_수성소방서관급태양광발전설비" xfId="12464"/>
    <cellStyle name="_수성소방서관급태양광발전설비 2" xfId="12465"/>
    <cellStyle name="_수성소방서관급태양광발전설비_서울숲교회 02-15" xfId="12466"/>
    <cellStyle name="_수성소방서관급태양광발전설비_서울숲교회 02-15 2" xfId="12467"/>
    <cellStyle name="_수성소방서관급태양광발전설비_서울숲교회01-19" xfId="12468"/>
    <cellStyle name="_수성소방서관급태양광발전설비_서울숲교회01-19 2" xfId="12469"/>
    <cellStyle name="_수성소방서관급태양광발전설비_서울숲교회02-07" xfId="12470"/>
    <cellStyle name="_수성소방서관급태양광발전설비_서울숲교회02-07 2" xfId="12471"/>
    <cellStyle name="_수성소방서관급태양광발전설비_서울숲교회부속실02-07" xfId="12472"/>
    <cellStyle name="_수성소방서관급태양광발전설비_서울숲교회부속실02-07 2" xfId="12473"/>
    <cellStyle name="_수성소방서관급태양광발전설비_서울숲교회부속실영상2-7" xfId="12474"/>
    <cellStyle name="_수성소방서관급태양광발전설비_서울숲교회부속실영상2-7 2" xfId="12475"/>
    <cellStyle name="_수성소방서관급태양광발전설비_효성교회견적계약" xfId="12476"/>
    <cellStyle name="_수성소방서관급태양광발전설비_효성교회견적계약 2" xfId="12477"/>
    <cellStyle name="_수원광교" xfId="12478"/>
    <cellStyle name="_수원광교 2" xfId="12479"/>
    <cellStyle name="_수정갑지" xfId="12480"/>
    <cellStyle name="_수정갑지 2" xfId="12481"/>
    <cellStyle name="_수정이여2003.05.19xls" xfId="12482"/>
    <cellStyle name="_수정이여2003.05.19xls 2" xfId="12483"/>
    <cellStyle name="_순천향응급실" xfId="12484"/>
    <cellStyle name="_스튜디오" xfId="12485"/>
    <cellStyle name="_스튜디오 2" xfId="12486"/>
    <cellStyle name="_시운전원가계산" xfId="12487"/>
    <cellStyle name="_시운전원가계산 2" xfId="12488"/>
    <cellStyle name="_시운전원가계산_08신발장_설계가(LPM,포름)_2구손잡이_원본tool_최종_지급자재_작성용" xfId="12489"/>
    <cellStyle name="_시운전원가계산_08신발장_설계가(LPM,포름)_2구손잡이_원본tool_최종_지급자재_작성용 2" xfId="12490"/>
    <cellStyle name="_시티콤견적" xfId="12491"/>
    <cellStyle name="_시티콤견적 2" xfId="12492"/>
    <cellStyle name="_시티콤견적_서울숲교회 02-15" xfId="12493"/>
    <cellStyle name="_시티콤견적_서울숲교회 02-15 2" xfId="12494"/>
    <cellStyle name="_시티콤견적_서울숲교회01-19" xfId="12495"/>
    <cellStyle name="_시티콤견적_서울숲교회01-19 2" xfId="12496"/>
    <cellStyle name="_시티콤견적_서울숲교회02-07" xfId="12497"/>
    <cellStyle name="_시티콤견적_서울숲교회02-07 2" xfId="12498"/>
    <cellStyle name="_시티콤견적_서울숲교회부속실02-07" xfId="12499"/>
    <cellStyle name="_시티콤견적_서울숲교회부속실02-07 2" xfId="12500"/>
    <cellStyle name="_시티콤견적_서울숲교회부속실영상2-7" xfId="12501"/>
    <cellStyle name="_시티콤견적_서울숲교회부속실영상2-7 2" xfId="12502"/>
    <cellStyle name="_시티콤견적_효성교회견적계약" xfId="12503"/>
    <cellStyle name="_시티콤견적_효성교회견적계약 2" xfId="12504"/>
    <cellStyle name="_시흥영광 음향영상" xfId="12505"/>
    <cellStyle name="_시흥영광 음향영상 2" xfId="12506"/>
    <cellStyle name="_시흥영광 음향영상_서울숲교회 02-15" xfId="12507"/>
    <cellStyle name="_시흥영광 음향영상_서울숲교회 02-15 2" xfId="12508"/>
    <cellStyle name="_시흥영광 음향영상_서울숲교회01-19" xfId="12509"/>
    <cellStyle name="_시흥영광 음향영상_서울숲교회01-19 2" xfId="12510"/>
    <cellStyle name="_시흥영광 음향영상_서울숲교회02-07" xfId="12511"/>
    <cellStyle name="_시흥영광 음향영상_서울숲교회02-07 2" xfId="12512"/>
    <cellStyle name="_시흥영광 음향영상_서울숲교회부속실02-07" xfId="12513"/>
    <cellStyle name="_시흥영광 음향영상_서울숲교회부속실02-07 2" xfId="12514"/>
    <cellStyle name="_시흥영광 음향영상_서울숲교회부속실영상2-7" xfId="12515"/>
    <cellStyle name="_시흥영광 음향영상_서울숲교회부속실영상2-7 2" xfId="12516"/>
    <cellStyle name="_시흥영광 음향영상_효성교회견적계약" xfId="12517"/>
    <cellStyle name="_시흥영광 음향영상_효성교회견적계약 2" xfId="12518"/>
    <cellStyle name="_신관지하1층약전(2공구)자재부제출" xfId="12519"/>
    <cellStyle name="_신세계연수점" xfId="12520"/>
    <cellStyle name="_신세계연수점 2" xfId="12521"/>
    <cellStyle name="_신안전기" xfId="12522"/>
    <cellStyle name="_신안전기 2" xfId="12523"/>
    <cellStyle name="_신우콘크리트(2004.8)- 투입비기준" xfId="12524"/>
    <cellStyle name="_신우콘크리트(2004.8)- 투입비기준 2" xfId="12525"/>
    <cellStyle name="_신우콘크리트(2004.8)-생산일보기준" xfId="12526"/>
    <cellStyle name="_신우콘크리트(2004.8)-생산일보기준 2" xfId="12527"/>
    <cellStyle name="_신정고등학교(삼능)~투찰" xfId="12528"/>
    <cellStyle name="_신정고등학교(삼능)~투찰 2" xfId="12529"/>
    <cellStyle name="_신정고등학교(송촌)~투찰" xfId="12530"/>
    <cellStyle name="_신정고등학교(송촌)~투찰 2" xfId="12531"/>
    <cellStyle name="_신촌 트리플지점 내장공사" xfId="12532"/>
    <cellStyle name="_신촌 트리플지점 내장공사 2" xfId="12533"/>
    <cellStyle name="_신촌(2차)트리플지점(원본)" xfId="12534"/>
    <cellStyle name="_신촌(2차)트리플지점(원본) 2" xfId="12535"/>
    <cellStyle name="_신태백(가실행)" xfId="12536"/>
    <cellStyle name="_신태백(가실행) 2" xfId="12537"/>
    <cellStyle name="_신태백(가실행)_1" xfId="12538"/>
    <cellStyle name="_신태백(가실행)_1 2" xfId="12539"/>
    <cellStyle name="_신태백(가실행)_1_경찰서-터미널간도로(투찰)②" xfId="12540"/>
    <cellStyle name="_신태백(가실행)_1_경찰서-터미널간도로(투찰)② 2" xfId="12541"/>
    <cellStyle name="_신태백(가실행)_1_경찰서-터미널간도로(투찰)②_마현생창(동양고속)" xfId="12542"/>
    <cellStyle name="_신태백(가실행)_1_경찰서-터미널간도로(투찰)②_마현생창(동양고속) 2" xfId="12543"/>
    <cellStyle name="_신태백(가실행)_1_경찰서-터미널간도로(투찰)②_마현생창(동양고속)_왜관-태평건설" xfId="12544"/>
    <cellStyle name="_신태백(가실행)_1_경찰서-터미널간도로(투찰)②_마현생창(동양고속)_왜관-태평건설 2" xfId="12545"/>
    <cellStyle name="_신태백(가실행)_1_경찰서-터미널간도로(투찰)②_왜관-태평건설" xfId="12546"/>
    <cellStyle name="_신태백(가실행)_1_경찰서-터미널간도로(투찰)②_왜관-태평건설 2" xfId="12547"/>
    <cellStyle name="_신태백(가실행)_1_마현생창(동양고속)" xfId="12548"/>
    <cellStyle name="_신태백(가실행)_1_마현생창(동양고속) 2" xfId="12549"/>
    <cellStyle name="_신태백(가실행)_1_마현생창(동양고속)_왜관-태평건설" xfId="12550"/>
    <cellStyle name="_신태백(가실행)_1_마현생창(동양고속)_왜관-태평건설 2" xfId="12551"/>
    <cellStyle name="_신태백(가실행)_1_봉무지방산업단지도로(투찰)②" xfId="12552"/>
    <cellStyle name="_신태백(가실행)_1_봉무지방산업단지도로(투찰)② 2" xfId="12553"/>
    <cellStyle name="_신태백(가실행)_1_봉무지방산업단지도로(투찰)②_마현생창(동양고속)" xfId="12562"/>
    <cellStyle name="_신태백(가실행)_1_봉무지방산업단지도로(투찰)②_마현생창(동양고속) 2" xfId="12563"/>
    <cellStyle name="_신태백(가실행)_1_봉무지방산업단지도로(투찰)②_마현생창(동양고속)_왜관-태평건설" xfId="12564"/>
    <cellStyle name="_신태백(가실행)_1_봉무지방산업단지도로(투찰)②_마현생창(동양고속)_왜관-태평건설 2" xfId="12565"/>
    <cellStyle name="_신태백(가실행)_1_봉무지방산업단지도로(투찰)②_왜관-태평건설" xfId="12566"/>
    <cellStyle name="_신태백(가실행)_1_봉무지방산업단지도로(투찰)②_왜관-태평건설 2" xfId="12567"/>
    <cellStyle name="_신태백(가실행)_1_봉무지방산업단지도로(투찰)②+0.250%" xfId="12554"/>
    <cellStyle name="_신태백(가실행)_1_봉무지방산업단지도로(투찰)②+0.250% 2" xfId="12555"/>
    <cellStyle name="_신태백(가실행)_1_봉무지방산업단지도로(투찰)②+0.250%_마현생창(동양고속)" xfId="12556"/>
    <cellStyle name="_신태백(가실행)_1_봉무지방산업단지도로(투찰)②+0.250%_마현생창(동양고속) 2" xfId="12557"/>
    <cellStyle name="_신태백(가실행)_1_봉무지방산업단지도로(투찰)②+0.250%_마현생창(동양고속)_왜관-태평건설" xfId="12558"/>
    <cellStyle name="_신태백(가실행)_1_봉무지방산업단지도로(투찰)②+0.250%_마현생창(동양고속)_왜관-태평건설 2" xfId="12559"/>
    <cellStyle name="_신태백(가실행)_1_봉무지방산업단지도로(투찰)②+0.250%_왜관-태평건설" xfId="12560"/>
    <cellStyle name="_신태백(가실행)_1_봉무지방산업단지도로(투찰)②+0.250%_왜관-태평건설 2" xfId="12561"/>
    <cellStyle name="_신태백(가실행)_1_왜관-태평건설" xfId="12568"/>
    <cellStyle name="_신태백(가실행)_1_왜관-태평건설 2" xfId="12569"/>
    <cellStyle name="_신태백(가실행)_1_합덕-신례원(2공구)투찰" xfId="12570"/>
    <cellStyle name="_신태백(가실행)_1_합덕-신례원(2공구)투찰 2" xfId="12571"/>
    <cellStyle name="_신태백(가실행)_1_합덕-신례원(2공구)투찰_경찰서-터미널간도로(투찰)②" xfId="12572"/>
    <cellStyle name="_신태백(가실행)_1_합덕-신례원(2공구)투찰_경찰서-터미널간도로(투찰)② 2" xfId="12573"/>
    <cellStyle name="_신태백(가실행)_1_합덕-신례원(2공구)투찰_경찰서-터미널간도로(투찰)②_마현생창(동양고속)" xfId="12574"/>
    <cellStyle name="_신태백(가실행)_1_합덕-신례원(2공구)투찰_경찰서-터미널간도로(투찰)②_마현생창(동양고속) 2" xfId="12575"/>
    <cellStyle name="_신태백(가실행)_1_합덕-신례원(2공구)투찰_경찰서-터미널간도로(투찰)②_마현생창(동양고속)_왜관-태평건설" xfId="12576"/>
    <cellStyle name="_신태백(가실행)_1_합덕-신례원(2공구)투찰_경찰서-터미널간도로(투찰)②_마현생창(동양고속)_왜관-태평건설 2" xfId="12577"/>
    <cellStyle name="_신태백(가실행)_1_합덕-신례원(2공구)투찰_경찰서-터미널간도로(투찰)②_왜관-태평건설" xfId="12578"/>
    <cellStyle name="_신태백(가실행)_1_합덕-신례원(2공구)투찰_경찰서-터미널간도로(투찰)②_왜관-태평건설 2" xfId="12579"/>
    <cellStyle name="_신태백(가실행)_1_합덕-신례원(2공구)투찰_마현생창(동양고속)" xfId="12580"/>
    <cellStyle name="_신태백(가실행)_1_합덕-신례원(2공구)투찰_마현생창(동양고속) 2" xfId="12581"/>
    <cellStyle name="_신태백(가실행)_1_합덕-신례원(2공구)투찰_마현생창(동양고속)_왜관-태평건설" xfId="12582"/>
    <cellStyle name="_신태백(가실행)_1_합덕-신례원(2공구)투찰_마현생창(동양고속)_왜관-태평건설 2" xfId="12583"/>
    <cellStyle name="_신태백(가실행)_1_합덕-신례원(2공구)투찰_봉무지방산업단지도로(투찰)②" xfId="12584"/>
    <cellStyle name="_신태백(가실행)_1_합덕-신례원(2공구)투찰_봉무지방산업단지도로(투찰)② 2" xfId="12585"/>
    <cellStyle name="_신태백(가실행)_1_합덕-신례원(2공구)투찰_봉무지방산업단지도로(투찰)②_마현생창(동양고속)" xfId="12594"/>
    <cellStyle name="_신태백(가실행)_1_합덕-신례원(2공구)투찰_봉무지방산업단지도로(투찰)②_마현생창(동양고속) 2" xfId="12595"/>
    <cellStyle name="_신태백(가실행)_1_합덕-신례원(2공구)투찰_봉무지방산업단지도로(투찰)②_마현생창(동양고속)_왜관-태평건설" xfId="12596"/>
    <cellStyle name="_신태백(가실행)_1_합덕-신례원(2공구)투찰_봉무지방산업단지도로(투찰)②_마현생창(동양고속)_왜관-태평건설 2" xfId="12597"/>
    <cellStyle name="_신태백(가실행)_1_합덕-신례원(2공구)투찰_봉무지방산업단지도로(투찰)②_왜관-태평건설" xfId="12598"/>
    <cellStyle name="_신태백(가실행)_1_합덕-신례원(2공구)투찰_봉무지방산업단지도로(투찰)②_왜관-태평건설 2" xfId="12599"/>
    <cellStyle name="_신태백(가실행)_1_합덕-신례원(2공구)투찰_봉무지방산업단지도로(투찰)②+0.250%" xfId="12586"/>
    <cellStyle name="_신태백(가실행)_1_합덕-신례원(2공구)투찰_봉무지방산업단지도로(투찰)②+0.250% 2" xfId="12587"/>
    <cellStyle name="_신태백(가실행)_1_합덕-신례원(2공구)투찰_봉무지방산업단지도로(투찰)②+0.250%_마현생창(동양고속)" xfId="12588"/>
    <cellStyle name="_신태백(가실행)_1_합덕-신례원(2공구)투찰_봉무지방산업단지도로(투찰)②+0.250%_마현생창(동양고속) 2" xfId="12589"/>
    <cellStyle name="_신태백(가실행)_1_합덕-신례원(2공구)투찰_봉무지방산업단지도로(투찰)②+0.250%_마현생창(동양고속)_왜관-태평건설" xfId="12590"/>
    <cellStyle name="_신태백(가실행)_1_합덕-신례원(2공구)투찰_봉무지방산업단지도로(투찰)②+0.250%_마현생창(동양고속)_왜관-태평건설 2" xfId="12591"/>
    <cellStyle name="_신태백(가실행)_1_합덕-신례원(2공구)투찰_봉무지방산업단지도로(투찰)②+0.250%_왜관-태평건설" xfId="12592"/>
    <cellStyle name="_신태백(가실행)_1_합덕-신례원(2공구)투찰_봉무지방산업단지도로(투찰)②+0.250%_왜관-태평건설 2" xfId="12593"/>
    <cellStyle name="_신태백(가실행)_1_합덕-신례원(2공구)투찰_왜관-태평건설" xfId="12600"/>
    <cellStyle name="_신태백(가실행)_1_합덕-신례원(2공구)투찰_왜관-태평건설 2" xfId="12601"/>
    <cellStyle name="_신태백(가실행)_1_합덕-신례원(2공구)투찰_합덕-신례원(2공구)투찰" xfId="12602"/>
    <cellStyle name="_신태백(가실행)_1_합덕-신례원(2공구)투찰_합덕-신례원(2공구)투찰 2" xfId="12603"/>
    <cellStyle name="_신태백(가실행)_1_합덕-신례원(2공구)투찰_합덕-신례원(2공구)투찰_경찰서-터미널간도로(투찰)②" xfId="12604"/>
    <cellStyle name="_신태백(가실행)_1_합덕-신례원(2공구)투찰_합덕-신례원(2공구)투찰_경찰서-터미널간도로(투찰)② 2" xfId="12605"/>
    <cellStyle name="_신태백(가실행)_1_합덕-신례원(2공구)투찰_합덕-신례원(2공구)투찰_경찰서-터미널간도로(투찰)②_마현생창(동양고속)" xfId="12606"/>
    <cellStyle name="_신태백(가실행)_1_합덕-신례원(2공구)투찰_합덕-신례원(2공구)투찰_경찰서-터미널간도로(투찰)②_마현생창(동양고속) 2" xfId="12607"/>
    <cellStyle name="_신태백(가실행)_1_합덕-신례원(2공구)투찰_합덕-신례원(2공구)투찰_경찰서-터미널간도로(투찰)②_마현생창(동양고속)_왜관-태평건설" xfId="12608"/>
    <cellStyle name="_신태백(가실행)_1_합덕-신례원(2공구)투찰_합덕-신례원(2공구)투찰_경찰서-터미널간도로(투찰)②_마현생창(동양고속)_왜관-태평건설 2" xfId="12609"/>
    <cellStyle name="_신태백(가실행)_1_합덕-신례원(2공구)투찰_합덕-신례원(2공구)투찰_경찰서-터미널간도로(투찰)②_왜관-태평건설" xfId="12610"/>
    <cellStyle name="_신태백(가실행)_1_합덕-신례원(2공구)투찰_합덕-신례원(2공구)투찰_경찰서-터미널간도로(투찰)②_왜관-태평건설 2" xfId="12611"/>
    <cellStyle name="_신태백(가실행)_1_합덕-신례원(2공구)투찰_합덕-신례원(2공구)투찰_마현생창(동양고속)" xfId="12612"/>
    <cellStyle name="_신태백(가실행)_1_합덕-신례원(2공구)투찰_합덕-신례원(2공구)투찰_마현생창(동양고속) 2" xfId="12613"/>
    <cellStyle name="_신태백(가실행)_1_합덕-신례원(2공구)투찰_합덕-신례원(2공구)투찰_마현생창(동양고속)_왜관-태평건설" xfId="12614"/>
    <cellStyle name="_신태백(가실행)_1_합덕-신례원(2공구)투찰_합덕-신례원(2공구)투찰_마현생창(동양고속)_왜관-태평건설 2" xfId="12615"/>
    <cellStyle name="_신태백(가실행)_1_합덕-신례원(2공구)투찰_합덕-신례원(2공구)투찰_봉무지방산업단지도로(투찰)②" xfId="12616"/>
    <cellStyle name="_신태백(가실행)_1_합덕-신례원(2공구)투찰_합덕-신례원(2공구)투찰_봉무지방산업단지도로(투찰)② 2" xfId="12617"/>
    <cellStyle name="_신태백(가실행)_1_합덕-신례원(2공구)투찰_합덕-신례원(2공구)투찰_봉무지방산업단지도로(투찰)②_마현생창(동양고속)" xfId="12626"/>
    <cellStyle name="_신태백(가실행)_1_합덕-신례원(2공구)투찰_합덕-신례원(2공구)투찰_봉무지방산업단지도로(투찰)②_마현생창(동양고속) 2" xfId="12627"/>
    <cellStyle name="_신태백(가실행)_1_합덕-신례원(2공구)투찰_합덕-신례원(2공구)투찰_봉무지방산업단지도로(투찰)②_마현생창(동양고속)_왜관-태평건설" xfId="12628"/>
    <cellStyle name="_신태백(가실행)_1_합덕-신례원(2공구)투찰_합덕-신례원(2공구)투찰_봉무지방산업단지도로(투찰)②_마현생창(동양고속)_왜관-태평건설 2" xfId="12629"/>
    <cellStyle name="_신태백(가실행)_1_합덕-신례원(2공구)투찰_합덕-신례원(2공구)투찰_봉무지방산업단지도로(투찰)②_왜관-태평건설" xfId="12630"/>
    <cellStyle name="_신태백(가실행)_1_합덕-신례원(2공구)투찰_합덕-신례원(2공구)투찰_봉무지방산업단지도로(투찰)②_왜관-태평건설 2" xfId="12631"/>
    <cellStyle name="_신태백(가실행)_1_합덕-신례원(2공구)투찰_합덕-신례원(2공구)투찰_봉무지방산업단지도로(투찰)②+0.250%" xfId="12618"/>
    <cellStyle name="_신태백(가실행)_1_합덕-신례원(2공구)투찰_합덕-신례원(2공구)투찰_봉무지방산업단지도로(투찰)②+0.250% 2" xfId="12619"/>
    <cellStyle name="_신태백(가실행)_1_합덕-신례원(2공구)투찰_합덕-신례원(2공구)투찰_봉무지방산업단지도로(투찰)②+0.250%_마현생창(동양고속)" xfId="12620"/>
    <cellStyle name="_신태백(가실행)_1_합덕-신례원(2공구)투찰_합덕-신례원(2공구)투찰_봉무지방산업단지도로(투찰)②+0.250%_마현생창(동양고속) 2" xfId="12621"/>
    <cellStyle name="_신태백(가실행)_1_합덕-신례원(2공구)투찰_합덕-신례원(2공구)투찰_봉무지방산업단지도로(투찰)②+0.250%_마현생창(동양고속)_왜관-태평건설" xfId="12622"/>
    <cellStyle name="_신태백(가실행)_1_합덕-신례원(2공구)투찰_합덕-신례원(2공구)투찰_봉무지방산업단지도로(투찰)②+0.250%_마현생창(동양고속)_왜관-태평건설 2" xfId="12623"/>
    <cellStyle name="_신태백(가실행)_1_합덕-신례원(2공구)투찰_합덕-신례원(2공구)투찰_봉무지방산업단지도로(투찰)②+0.250%_왜관-태평건설" xfId="12624"/>
    <cellStyle name="_신태백(가실행)_1_합덕-신례원(2공구)투찰_합덕-신례원(2공구)투찰_봉무지방산업단지도로(투찰)②+0.250%_왜관-태평건설 2" xfId="12625"/>
    <cellStyle name="_신태백(가실행)_1_합덕-신례원(2공구)투찰_합덕-신례원(2공구)투찰_왜관-태평건설" xfId="12632"/>
    <cellStyle name="_신태백(가실행)_1_합덕-신례원(2공구)투찰_합덕-신례원(2공구)투찰_왜관-태평건설 2" xfId="12633"/>
    <cellStyle name="_신태백(가실행)_경찰서-터미널간도로(투찰)②" xfId="12634"/>
    <cellStyle name="_신태백(가실행)_경찰서-터미널간도로(투찰)② 2" xfId="12635"/>
    <cellStyle name="_신태백(가실행)_경찰서-터미널간도로(투찰)②_마현생창(동양고속)" xfId="12636"/>
    <cellStyle name="_신태백(가실행)_경찰서-터미널간도로(투찰)②_마현생창(동양고속) 2" xfId="12637"/>
    <cellStyle name="_신태백(가실행)_경찰서-터미널간도로(투찰)②_마현생창(동양고속)_왜관-태평건설" xfId="12638"/>
    <cellStyle name="_신태백(가실행)_경찰서-터미널간도로(투찰)②_마현생창(동양고속)_왜관-태평건설 2" xfId="12639"/>
    <cellStyle name="_신태백(가실행)_경찰서-터미널간도로(투찰)②_왜관-태평건설" xfId="12640"/>
    <cellStyle name="_신태백(가실행)_경찰서-터미널간도로(투찰)②_왜관-태평건설 2" xfId="12641"/>
    <cellStyle name="_신태백(가실행)_도덕-고흥도로(투찰)" xfId="12642"/>
    <cellStyle name="_신태백(가실행)_도덕-고흥도로(투찰) 2" xfId="12643"/>
    <cellStyle name="_신태백(가실행)_도덕-고흥도로(투찰)_경찰서-터미널간도로(투찰)②" xfId="12644"/>
    <cellStyle name="_신태백(가실행)_도덕-고흥도로(투찰)_경찰서-터미널간도로(투찰)② 2" xfId="12645"/>
    <cellStyle name="_신태백(가실행)_도덕-고흥도로(투찰)_경찰서-터미널간도로(투찰)②_마현생창(동양고속)" xfId="12646"/>
    <cellStyle name="_신태백(가실행)_도덕-고흥도로(투찰)_경찰서-터미널간도로(투찰)②_마현생창(동양고속) 2" xfId="12647"/>
    <cellStyle name="_신태백(가실행)_도덕-고흥도로(투찰)_경찰서-터미널간도로(투찰)②_마현생창(동양고속)_왜관-태평건설" xfId="12648"/>
    <cellStyle name="_신태백(가실행)_도덕-고흥도로(투찰)_경찰서-터미널간도로(투찰)②_마현생창(동양고속)_왜관-태평건설 2" xfId="12649"/>
    <cellStyle name="_신태백(가실행)_도덕-고흥도로(투찰)_경찰서-터미널간도로(투찰)②_왜관-태평건설" xfId="12650"/>
    <cellStyle name="_신태백(가실행)_도덕-고흥도로(투찰)_경찰서-터미널간도로(투찰)②_왜관-태평건설 2" xfId="12651"/>
    <cellStyle name="_신태백(가실행)_도덕-고흥도로(투찰)_마현생창(동양고속)" xfId="12652"/>
    <cellStyle name="_신태백(가실행)_도덕-고흥도로(투찰)_마현생창(동양고속) 2" xfId="12653"/>
    <cellStyle name="_신태백(가실행)_도덕-고흥도로(투찰)_마현생창(동양고속)_왜관-태평건설" xfId="12654"/>
    <cellStyle name="_신태백(가실행)_도덕-고흥도로(투찰)_마현생창(동양고속)_왜관-태평건설 2" xfId="12655"/>
    <cellStyle name="_신태백(가실행)_도덕-고흥도로(투찰)_봉무지방산업단지도로(투찰)②" xfId="12656"/>
    <cellStyle name="_신태백(가실행)_도덕-고흥도로(투찰)_봉무지방산업단지도로(투찰)② 2" xfId="12657"/>
    <cellStyle name="_신태백(가실행)_도덕-고흥도로(투찰)_봉무지방산업단지도로(투찰)②_마현생창(동양고속)" xfId="12666"/>
    <cellStyle name="_신태백(가실행)_도덕-고흥도로(투찰)_봉무지방산업단지도로(투찰)②_마현생창(동양고속) 2" xfId="12667"/>
    <cellStyle name="_신태백(가실행)_도덕-고흥도로(투찰)_봉무지방산업단지도로(투찰)②_마현생창(동양고속)_왜관-태평건설" xfId="12668"/>
    <cellStyle name="_신태백(가실행)_도덕-고흥도로(투찰)_봉무지방산업단지도로(투찰)②_마현생창(동양고속)_왜관-태평건설 2" xfId="12669"/>
    <cellStyle name="_신태백(가실행)_도덕-고흥도로(투찰)_봉무지방산업단지도로(투찰)②_왜관-태평건설" xfId="12670"/>
    <cellStyle name="_신태백(가실행)_도덕-고흥도로(투찰)_봉무지방산업단지도로(투찰)②_왜관-태평건설 2" xfId="12671"/>
    <cellStyle name="_신태백(가실행)_도덕-고흥도로(투찰)_봉무지방산업단지도로(투찰)②+0.250%" xfId="12658"/>
    <cellStyle name="_신태백(가실행)_도덕-고흥도로(투찰)_봉무지방산업단지도로(투찰)②+0.250% 2" xfId="12659"/>
    <cellStyle name="_신태백(가실행)_도덕-고흥도로(투찰)_봉무지방산업단지도로(투찰)②+0.250%_마현생창(동양고속)" xfId="12660"/>
    <cellStyle name="_신태백(가실행)_도덕-고흥도로(투찰)_봉무지방산업단지도로(투찰)②+0.250%_마현생창(동양고속) 2" xfId="12661"/>
    <cellStyle name="_신태백(가실행)_도덕-고흥도로(투찰)_봉무지방산업단지도로(투찰)②+0.250%_마현생창(동양고속)_왜관-태평건설" xfId="12662"/>
    <cellStyle name="_신태백(가실행)_도덕-고흥도로(투찰)_봉무지방산업단지도로(투찰)②+0.250%_마현생창(동양고속)_왜관-태평건설 2" xfId="12663"/>
    <cellStyle name="_신태백(가실행)_도덕-고흥도로(투찰)_봉무지방산업단지도로(투찰)②+0.250%_왜관-태평건설" xfId="12664"/>
    <cellStyle name="_신태백(가실행)_도덕-고흥도로(투찰)_봉무지방산업단지도로(투찰)②+0.250%_왜관-태평건설 2" xfId="12665"/>
    <cellStyle name="_신태백(가실행)_도덕-고흥도로(투찰)_왜관-태평건설" xfId="12672"/>
    <cellStyle name="_신태백(가실행)_도덕-고흥도로(투찰)_왜관-태평건설 2" xfId="12673"/>
    <cellStyle name="_신태백(가실행)_도덕-고흥도로(투찰)_합덕-신례원(2공구)투찰" xfId="12674"/>
    <cellStyle name="_신태백(가실행)_도덕-고흥도로(투찰)_합덕-신례원(2공구)투찰 2" xfId="12675"/>
    <cellStyle name="_신태백(가실행)_도덕-고흥도로(투찰)_합덕-신례원(2공구)투찰_경찰서-터미널간도로(투찰)②" xfId="12676"/>
    <cellStyle name="_신태백(가실행)_도덕-고흥도로(투찰)_합덕-신례원(2공구)투찰_경찰서-터미널간도로(투찰)② 2" xfId="12677"/>
    <cellStyle name="_신태백(가실행)_도덕-고흥도로(투찰)_합덕-신례원(2공구)투찰_경찰서-터미널간도로(투찰)②_마현생창(동양고속)" xfId="12678"/>
    <cellStyle name="_신태백(가실행)_도덕-고흥도로(투찰)_합덕-신례원(2공구)투찰_경찰서-터미널간도로(투찰)②_마현생창(동양고속) 2" xfId="12679"/>
    <cellStyle name="_신태백(가실행)_도덕-고흥도로(투찰)_합덕-신례원(2공구)투찰_경찰서-터미널간도로(투찰)②_마현생창(동양고속)_왜관-태평건설" xfId="12680"/>
    <cellStyle name="_신태백(가실행)_도덕-고흥도로(투찰)_합덕-신례원(2공구)투찰_경찰서-터미널간도로(투찰)②_마현생창(동양고속)_왜관-태평건설 2" xfId="12681"/>
    <cellStyle name="_신태백(가실행)_도덕-고흥도로(투찰)_합덕-신례원(2공구)투찰_경찰서-터미널간도로(투찰)②_왜관-태평건설" xfId="12682"/>
    <cellStyle name="_신태백(가실행)_도덕-고흥도로(투찰)_합덕-신례원(2공구)투찰_경찰서-터미널간도로(투찰)②_왜관-태평건설 2" xfId="12683"/>
    <cellStyle name="_신태백(가실행)_도덕-고흥도로(투찰)_합덕-신례원(2공구)투찰_마현생창(동양고속)" xfId="12684"/>
    <cellStyle name="_신태백(가실행)_도덕-고흥도로(투찰)_합덕-신례원(2공구)투찰_마현생창(동양고속) 2" xfId="12685"/>
    <cellStyle name="_신태백(가실행)_도덕-고흥도로(투찰)_합덕-신례원(2공구)투찰_마현생창(동양고속)_왜관-태평건설" xfId="12686"/>
    <cellStyle name="_신태백(가실행)_도덕-고흥도로(투찰)_합덕-신례원(2공구)투찰_마현생창(동양고속)_왜관-태평건설 2" xfId="12687"/>
    <cellStyle name="_신태백(가실행)_도덕-고흥도로(투찰)_합덕-신례원(2공구)투찰_봉무지방산업단지도로(투찰)②" xfId="12688"/>
    <cellStyle name="_신태백(가실행)_도덕-고흥도로(투찰)_합덕-신례원(2공구)투찰_봉무지방산업단지도로(투찰)② 2" xfId="12689"/>
    <cellStyle name="_신태백(가실행)_도덕-고흥도로(투찰)_합덕-신례원(2공구)투찰_봉무지방산업단지도로(투찰)②_마현생창(동양고속)" xfId="12698"/>
    <cellStyle name="_신태백(가실행)_도덕-고흥도로(투찰)_합덕-신례원(2공구)투찰_봉무지방산업단지도로(투찰)②_마현생창(동양고속) 2" xfId="12699"/>
    <cellStyle name="_신태백(가실행)_도덕-고흥도로(투찰)_합덕-신례원(2공구)투찰_봉무지방산업단지도로(투찰)②_마현생창(동양고속)_왜관-태평건설" xfId="12700"/>
    <cellStyle name="_신태백(가실행)_도덕-고흥도로(투찰)_합덕-신례원(2공구)투찰_봉무지방산업단지도로(투찰)②_마현생창(동양고속)_왜관-태평건설 2" xfId="12701"/>
    <cellStyle name="_신태백(가실행)_도덕-고흥도로(투찰)_합덕-신례원(2공구)투찰_봉무지방산업단지도로(투찰)②_왜관-태평건설" xfId="12702"/>
    <cellStyle name="_신태백(가실행)_도덕-고흥도로(투찰)_합덕-신례원(2공구)투찰_봉무지방산업단지도로(투찰)②_왜관-태평건설 2" xfId="12703"/>
    <cellStyle name="_신태백(가실행)_도덕-고흥도로(투찰)_합덕-신례원(2공구)투찰_봉무지방산업단지도로(투찰)②+0.250%" xfId="12690"/>
    <cellStyle name="_신태백(가실행)_도덕-고흥도로(투찰)_합덕-신례원(2공구)투찰_봉무지방산업단지도로(투찰)②+0.250% 2" xfId="12691"/>
    <cellStyle name="_신태백(가실행)_도덕-고흥도로(투찰)_합덕-신례원(2공구)투찰_봉무지방산업단지도로(투찰)②+0.250%_마현생창(동양고속)" xfId="12692"/>
    <cellStyle name="_신태백(가실행)_도덕-고흥도로(투찰)_합덕-신례원(2공구)투찰_봉무지방산업단지도로(투찰)②+0.250%_마현생창(동양고속) 2" xfId="12693"/>
    <cellStyle name="_신태백(가실행)_도덕-고흥도로(투찰)_합덕-신례원(2공구)투찰_봉무지방산업단지도로(투찰)②+0.250%_마현생창(동양고속)_왜관-태평건설" xfId="12694"/>
    <cellStyle name="_신태백(가실행)_도덕-고흥도로(투찰)_합덕-신례원(2공구)투찰_봉무지방산업단지도로(투찰)②+0.250%_마현생창(동양고속)_왜관-태평건설 2" xfId="12695"/>
    <cellStyle name="_신태백(가실행)_도덕-고흥도로(투찰)_합덕-신례원(2공구)투찰_봉무지방산업단지도로(투찰)②+0.250%_왜관-태평건설" xfId="12696"/>
    <cellStyle name="_신태백(가실행)_도덕-고흥도로(투찰)_합덕-신례원(2공구)투찰_봉무지방산업단지도로(투찰)②+0.250%_왜관-태평건설 2" xfId="12697"/>
    <cellStyle name="_신태백(가실행)_도덕-고흥도로(투찰)_합덕-신례원(2공구)투찰_왜관-태평건설" xfId="12704"/>
    <cellStyle name="_신태백(가실행)_도덕-고흥도로(투찰)_합덕-신례원(2공구)투찰_왜관-태평건설 2" xfId="12705"/>
    <cellStyle name="_신태백(가실행)_도덕-고흥도로(투찰)_합덕-신례원(2공구)투찰_합덕-신례원(2공구)투찰" xfId="12706"/>
    <cellStyle name="_신태백(가실행)_도덕-고흥도로(투찰)_합덕-신례원(2공구)투찰_합덕-신례원(2공구)투찰 2" xfId="12707"/>
    <cellStyle name="_신태백(가실행)_도덕-고흥도로(투찰)_합덕-신례원(2공구)투찰_합덕-신례원(2공구)투찰_경찰서-터미널간도로(투찰)②" xfId="12708"/>
    <cellStyle name="_신태백(가실행)_도덕-고흥도로(투찰)_합덕-신례원(2공구)투찰_합덕-신례원(2공구)투찰_경찰서-터미널간도로(투찰)② 2" xfId="12709"/>
    <cellStyle name="_신태백(가실행)_도덕-고흥도로(투찰)_합덕-신례원(2공구)투찰_합덕-신례원(2공구)투찰_경찰서-터미널간도로(투찰)②_마현생창(동양고속)" xfId="12710"/>
    <cellStyle name="_신태백(가실행)_도덕-고흥도로(투찰)_합덕-신례원(2공구)투찰_합덕-신례원(2공구)투찰_경찰서-터미널간도로(투찰)②_마현생창(동양고속) 2" xfId="12711"/>
    <cellStyle name="_신태백(가실행)_도덕-고흥도로(투찰)_합덕-신례원(2공구)투찰_합덕-신례원(2공구)투찰_경찰서-터미널간도로(투찰)②_마현생창(동양고속)_왜관-태평건설" xfId="12712"/>
    <cellStyle name="_신태백(가실행)_도덕-고흥도로(투찰)_합덕-신례원(2공구)투찰_합덕-신례원(2공구)투찰_경찰서-터미널간도로(투찰)②_마현생창(동양고속)_왜관-태평건설 2" xfId="12713"/>
    <cellStyle name="_신태백(가실행)_도덕-고흥도로(투찰)_합덕-신례원(2공구)투찰_합덕-신례원(2공구)투찰_경찰서-터미널간도로(투찰)②_왜관-태평건설" xfId="12714"/>
    <cellStyle name="_신태백(가실행)_도덕-고흥도로(투찰)_합덕-신례원(2공구)투찰_합덕-신례원(2공구)투찰_경찰서-터미널간도로(투찰)②_왜관-태평건설 2" xfId="12715"/>
    <cellStyle name="_신태백(가실행)_도덕-고흥도로(투찰)_합덕-신례원(2공구)투찰_합덕-신례원(2공구)투찰_마현생창(동양고속)" xfId="12716"/>
    <cellStyle name="_신태백(가실행)_도덕-고흥도로(투찰)_합덕-신례원(2공구)투찰_합덕-신례원(2공구)투찰_마현생창(동양고속) 2" xfId="12717"/>
    <cellStyle name="_신태백(가실행)_도덕-고흥도로(투찰)_합덕-신례원(2공구)투찰_합덕-신례원(2공구)투찰_마현생창(동양고속)_왜관-태평건설" xfId="12718"/>
    <cellStyle name="_신태백(가실행)_도덕-고흥도로(투찰)_합덕-신례원(2공구)투찰_합덕-신례원(2공구)투찰_마현생창(동양고속)_왜관-태평건설 2" xfId="12719"/>
    <cellStyle name="_신태백(가실행)_도덕-고흥도로(투찰)_합덕-신례원(2공구)투찰_합덕-신례원(2공구)투찰_봉무지방산업단지도로(투찰)②" xfId="12720"/>
    <cellStyle name="_신태백(가실행)_도덕-고흥도로(투찰)_합덕-신례원(2공구)투찰_합덕-신례원(2공구)투찰_봉무지방산업단지도로(투찰)② 2" xfId="12721"/>
    <cellStyle name="_신태백(가실행)_도덕-고흥도로(투찰)_합덕-신례원(2공구)투찰_합덕-신례원(2공구)투찰_봉무지방산업단지도로(투찰)②_마현생창(동양고속)" xfId="12730"/>
    <cellStyle name="_신태백(가실행)_도덕-고흥도로(투찰)_합덕-신례원(2공구)투찰_합덕-신례원(2공구)투찰_봉무지방산업단지도로(투찰)②_마현생창(동양고속) 2" xfId="12731"/>
    <cellStyle name="_신태백(가실행)_도덕-고흥도로(투찰)_합덕-신례원(2공구)투찰_합덕-신례원(2공구)투찰_봉무지방산업단지도로(투찰)②_마현생창(동양고속)_왜관-태평건설" xfId="12732"/>
    <cellStyle name="_신태백(가실행)_도덕-고흥도로(투찰)_합덕-신례원(2공구)투찰_합덕-신례원(2공구)투찰_봉무지방산업단지도로(투찰)②_마현생창(동양고속)_왜관-태평건설 2" xfId="12733"/>
    <cellStyle name="_신태백(가실행)_도덕-고흥도로(투찰)_합덕-신례원(2공구)투찰_합덕-신례원(2공구)투찰_봉무지방산업단지도로(투찰)②_왜관-태평건설" xfId="12734"/>
    <cellStyle name="_신태백(가실행)_도덕-고흥도로(투찰)_합덕-신례원(2공구)투찰_합덕-신례원(2공구)투찰_봉무지방산업단지도로(투찰)②_왜관-태평건설 2" xfId="12735"/>
    <cellStyle name="_신태백(가실행)_도덕-고흥도로(투찰)_합덕-신례원(2공구)투찰_합덕-신례원(2공구)투찰_봉무지방산업단지도로(투찰)②+0.250%" xfId="12722"/>
    <cellStyle name="_신태백(가실행)_도덕-고흥도로(투찰)_합덕-신례원(2공구)투찰_합덕-신례원(2공구)투찰_봉무지방산업단지도로(투찰)②+0.250% 2" xfId="12723"/>
    <cellStyle name="_신태백(가실행)_도덕-고흥도로(투찰)_합덕-신례원(2공구)투찰_합덕-신례원(2공구)투찰_봉무지방산업단지도로(투찰)②+0.250%_마현생창(동양고속)" xfId="12724"/>
    <cellStyle name="_신태백(가실행)_도덕-고흥도로(투찰)_합덕-신례원(2공구)투찰_합덕-신례원(2공구)투찰_봉무지방산업단지도로(투찰)②+0.250%_마현생창(동양고속) 2" xfId="12725"/>
    <cellStyle name="_신태백(가실행)_도덕-고흥도로(투찰)_합덕-신례원(2공구)투찰_합덕-신례원(2공구)투찰_봉무지방산업단지도로(투찰)②+0.250%_마현생창(동양고속)_왜관-태평건설" xfId="12726"/>
    <cellStyle name="_신태백(가실행)_도덕-고흥도로(투찰)_합덕-신례원(2공구)투찰_합덕-신례원(2공구)투찰_봉무지방산업단지도로(투찰)②+0.250%_마현생창(동양고속)_왜관-태평건설 2" xfId="12727"/>
    <cellStyle name="_신태백(가실행)_도덕-고흥도로(투찰)_합덕-신례원(2공구)투찰_합덕-신례원(2공구)투찰_봉무지방산업단지도로(투찰)②+0.250%_왜관-태평건설" xfId="12728"/>
    <cellStyle name="_신태백(가실행)_도덕-고흥도로(투찰)_합덕-신례원(2공구)투찰_합덕-신례원(2공구)투찰_봉무지방산업단지도로(투찰)②+0.250%_왜관-태평건설 2" xfId="12729"/>
    <cellStyle name="_신태백(가실행)_도덕-고흥도로(투찰)_합덕-신례원(2공구)투찰_합덕-신례원(2공구)투찰_왜관-태평건설" xfId="12736"/>
    <cellStyle name="_신태백(가실행)_도덕-고흥도로(투찰)_합덕-신례원(2공구)투찰_합덕-신례원(2공구)투찰_왜관-태평건설 2" xfId="12737"/>
    <cellStyle name="_신태백(가실행)_마현생창(동양고속)" xfId="12738"/>
    <cellStyle name="_신태백(가실행)_마현생창(동양고속) 2" xfId="12739"/>
    <cellStyle name="_신태백(가실행)_마현생창(동양고속)_왜관-태평건설" xfId="12740"/>
    <cellStyle name="_신태백(가실행)_마현생창(동양고속)_왜관-태평건설 2" xfId="12741"/>
    <cellStyle name="_신태백(가실행)_봉무지방산업단지도로(투찰)②" xfId="12742"/>
    <cellStyle name="_신태백(가실행)_봉무지방산업단지도로(투찰)② 2" xfId="12743"/>
    <cellStyle name="_신태백(가실행)_봉무지방산업단지도로(투찰)②_마현생창(동양고속)" xfId="12752"/>
    <cellStyle name="_신태백(가실행)_봉무지방산업단지도로(투찰)②_마현생창(동양고속) 2" xfId="12753"/>
    <cellStyle name="_신태백(가실행)_봉무지방산업단지도로(투찰)②_마현생창(동양고속)_왜관-태평건설" xfId="12754"/>
    <cellStyle name="_신태백(가실행)_봉무지방산업단지도로(투찰)②_마현생창(동양고속)_왜관-태평건설 2" xfId="12755"/>
    <cellStyle name="_신태백(가실행)_봉무지방산업단지도로(투찰)②_왜관-태평건설" xfId="12756"/>
    <cellStyle name="_신태백(가실행)_봉무지방산업단지도로(투찰)②_왜관-태평건설 2" xfId="12757"/>
    <cellStyle name="_신태백(가실행)_봉무지방산업단지도로(투찰)②+0.250%" xfId="12744"/>
    <cellStyle name="_신태백(가실행)_봉무지방산업단지도로(투찰)②+0.250% 2" xfId="12745"/>
    <cellStyle name="_신태백(가실행)_봉무지방산업단지도로(투찰)②+0.250%_마현생창(동양고속)" xfId="12746"/>
    <cellStyle name="_신태백(가실행)_봉무지방산업단지도로(투찰)②+0.250%_마현생창(동양고속) 2" xfId="12747"/>
    <cellStyle name="_신태백(가실행)_봉무지방산업단지도로(투찰)②+0.250%_마현생창(동양고속)_왜관-태평건설" xfId="12748"/>
    <cellStyle name="_신태백(가실행)_봉무지방산업단지도로(투찰)②+0.250%_마현생창(동양고속)_왜관-태평건설 2" xfId="12749"/>
    <cellStyle name="_신태백(가실행)_봉무지방산업단지도로(투찰)②+0.250%_왜관-태평건설" xfId="12750"/>
    <cellStyle name="_신태백(가실행)_봉무지방산업단지도로(투찰)②+0.250%_왜관-태평건설 2" xfId="12751"/>
    <cellStyle name="_신태백(가실행)_안산부대(투찰)⑤" xfId="12758"/>
    <cellStyle name="_신태백(가실행)_안산부대(투찰)⑤ 2" xfId="12759"/>
    <cellStyle name="_신태백(가실행)_안산부대(투찰)⑤_경찰서-터미널간도로(투찰)②" xfId="12760"/>
    <cellStyle name="_신태백(가실행)_안산부대(투찰)⑤_경찰서-터미널간도로(투찰)② 2" xfId="12761"/>
    <cellStyle name="_신태백(가실행)_안산부대(투찰)⑤_경찰서-터미널간도로(투찰)②_마현생창(동양고속)" xfId="12762"/>
    <cellStyle name="_신태백(가실행)_안산부대(투찰)⑤_경찰서-터미널간도로(투찰)②_마현생창(동양고속) 2" xfId="12763"/>
    <cellStyle name="_신태백(가실행)_안산부대(투찰)⑤_경찰서-터미널간도로(투찰)②_마현생창(동양고속)_왜관-태평건설" xfId="12764"/>
    <cellStyle name="_신태백(가실행)_안산부대(투찰)⑤_경찰서-터미널간도로(투찰)②_마현생창(동양고속)_왜관-태평건설 2" xfId="12765"/>
    <cellStyle name="_신태백(가실행)_안산부대(투찰)⑤_경찰서-터미널간도로(투찰)②_왜관-태평건설" xfId="12766"/>
    <cellStyle name="_신태백(가실행)_안산부대(투찰)⑤_경찰서-터미널간도로(투찰)②_왜관-태평건설 2" xfId="12767"/>
    <cellStyle name="_신태백(가실행)_안산부대(투찰)⑤_마현생창(동양고속)" xfId="12768"/>
    <cellStyle name="_신태백(가실행)_안산부대(투찰)⑤_마현생창(동양고속) 2" xfId="12769"/>
    <cellStyle name="_신태백(가실행)_안산부대(투찰)⑤_마현생창(동양고속)_왜관-태평건설" xfId="12770"/>
    <cellStyle name="_신태백(가실행)_안산부대(투찰)⑤_마현생창(동양고속)_왜관-태평건설 2" xfId="12771"/>
    <cellStyle name="_신태백(가실행)_안산부대(투찰)⑤_봉무지방산업단지도로(투찰)②" xfId="12772"/>
    <cellStyle name="_신태백(가실행)_안산부대(투찰)⑤_봉무지방산업단지도로(투찰)② 2" xfId="12773"/>
    <cellStyle name="_신태백(가실행)_안산부대(투찰)⑤_봉무지방산업단지도로(투찰)②_마현생창(동양고속)" xfId="12782"/>
    <cellStyle name="_신태백(가실행)_안산부대(투찰)⑤_봉무지방산업단지도로(투찰)②_마현생창(동양고속) 2" xfId="12783"/>
    <cellStyle name="_신태백(가실행)_안산부대(투찰)⑤_봉무지방산업단지도로(투찰)②_마현생창(동양고속)_왜관-태평건설" xfId="12784"/>
    <cellStyle name="_신태백(가실행)_안산부대(투찰)⑤_봉무지방산업단지도로(투찰)②_마현생창(동양고속)_왜관-태평건설 2" xfId="12785"/>
    <cellStyle name="_신태백(가실행)_안산부대(투찰)⑤_봉무지방산업단지도로(투찰)②_왜관-태평건설" xfId="12786"/>
    <cellStyle name="_신태백(가실행)_안산부대(투찰)⑤_봉무지방산업단지도로(투찰)②_왜관-태평건설 2" xfId="12787"/>
    <cellStyle name="_신태백(가실행)_안산부대(투찰)⑤_봉무지방산업단지도로(투찰)②+0.250%" xfId="12774"/>
    <cellStyle name="_신태백(가실행)_안산부대(투찰)⑤_봉무지방산업단지도로(투찰)②+0.250% 2" xfId="12775"/>
    <cellStyle name="_신태백(가실행)_안산부대(투찰)⑤_봉무지방산업단지도로(투찰)②+0.250%_마현생창(동양고속)" xfId="12776"/>
    <cellStyle name="_신태백(가실행)_안산부대(투찰)⑤_봉무지방산업단지도로(투찰)②+0.250%_마현생창(동양고속) 2" xfId="12777"/>
    <cellStyle name="_신태백(가실행)_안산부대(투찰)⑤_봉무지방산업단지도로(투찰)②+0.250%_마현생창(동양고속)_왜관-태평건설" xfId="12778"/>
    <cellStyle name="_신태백(가실행)_안산부대(투찰)⑤_봉무지방산업단지도로(투찰)②+0.250%_마현생창(동양고속)_왜관-태평건설 2" xfId="12779"/>
    <cellStyle name="_신태백(가실행)_안산부대(투찰)⑤_봉무지방산업단지도로(투찰)②+0.250%_왜관-태평건설" xfId="12780"/>
    <cellStyle name="_신태백(가실행)_안산부대(투찰)⑤_봉무지방산업단지도로(투찰)②+0.250%_왜관-태평건설 2" xfId="12781"/>
    <cellStyle name="_신태백(가실행)_안산부대(투찰)⑤_왜관-태평건설" xfId="12788"/>
    <cellStyle name="_신태백(가실행)_안산부대(투찰)⑤_왜관-태평건설 2" xfId="12789"/>
    <cellStyle name="_신태백(가실행)_안산부대(투찰)⑤_합덕-신례원(2공구)투찰" xfId="12790"/>
    <cellStyle name="_신태백(가실행)_안산부대(투찰)⑤_합덕-신례원(2공구)투찰 2" xfId="12791"/>
    <cellStyle name="_신태백(가실행)_안산부대(투찰)⑤_합덕-신례원(2공구)투찰_경찰서-터미널간도로(투찰)②" xfId="12792"/>
    <cellStyle name="_신태백(가실행)_안산부대(투찰)⑤_합덕-신례원(2공구)투찰_경찰서-터미널간도로(투찰)② 2" xfId="12793"/>
    <cellStyle name="_신태백(가실행)_안산부대(투찰)⑤_합덕-신례원(2공구)투찰_경찰서-터미널간도로(투찰)②_마현생창(동양고속)" xfId="12794"/>
    <cellStyle name="_신태백(가실행)_안산부대(투찰)⑤_합덕-신례원(2공구)투찰_경찰서-터미널간도로(투찰)②_마현생창(동양고속) 2" xfId="12795"/>
    <cellStyle name="_신태백(가실행)_안산부대(투찰)⑤_합덕-신례원(2공구)투찰_경찰서-터미널간도로(투찰)②_마현생창(동양고속)_왜관-태평건설" xfId="12796"/>
    <cellStyle name="_신태백(가실행)_안산부대(투찰)⑤_합덕-신례원(2공구)투찰_경찰서-터미널간도로(투찰)②_마현생창(동양고속)_왜관-태평건설 2" xfId="12797"/>
    <cellStyle name="_신태백(가실행)_안산부대(투찰)⑤_합덕-신례원(2공구)투찰_경찰서-터미널간도로(투찰)②_왜관-태평건설" xfId="12798"/>
    <cellStyle name="_신태백(가실행)_안산부대(투찰)⑤_합덕-신례원(2공구)투찰_경찰서-터미널간도로(투찰)②_왜관-태평건설 2" xfId="12799"/>
    <cellStyle name="_신태백(가실행)_안산부대(투찰)⑤_합덕-신례원(2공구)투찰_마현생창(동양고속)" xfId="12800"/>
    <cellStyle name="_신태백(가실행)_안산부대(투찰)⑤_합덕-신례원(2공구)투찰_마현생창(동양고속) 2" xfId="12801"/>
    <cellStyle name="_신태백(가실행)_안산부대(투찰)⑤_합덕-신례원(2공구)투찰_마현생창(동양고속)_왜관-태평건설" xfId="12802"/>
    <cellStyle name="_신태백(가실행)_안산부대(투찰)⑤_합덕-신례원(2공구)투찰_마현생창(동양고속)_왜관-태평건설 2" xfId="12803"/>
    <cellStyle name="_신태백(가실행)_안산부대(투찰)⑤_합덕-신례원(2공구)투찰_봉무지방산업단지도로(투찰)②" xfId="12804"/>
    <cellStyle name="_신태백(가실행)_안산부대(투찰)⑤_합덕-신례원(2공구)투찰_봉무지방산업단지도로(투찰)② 2" xfId="12805"/>
    <cellStyle name="_신태백(가실행)_안산부대(투찰)⑤_합덕-신례원(2공구)투찰_봉무지방산업단지도로(투찰)②_마현생창(동양고속)" xfId="12814"/>
    <cellStyle name="_신태백(가실행)_안산부대(투찰)⑤_합덕-신례원(2공구)투찰_봉무지방산업단지도로(투찰)②_마현생창(동양고속) 2" xfId="12815"/>
    <cellStyle name="_신태백(가실행)_안산부대(투찰)⑤_합덕-신례원(2공구)투찰_봉무지방산업단지도로(투찰)②_마현생창(동양고속)_왜관-태평건설" xfId="12816"/>
    <cellStyle name="_신태백(가실행)_안산부대(투찰)⑤_합덕-신례원(2공구)투찰_봉무지방산업단지도로(투찰)②_마현생창(동양고속)_왜관-태평건설 2" xfId="12817"/>
    <cellStyle name="_신태백(가실행)_안산부대(투찰)⑤_합덕-신례원(2공구)투찰_봉무지방산업단지도로(투찰)②_왜관-태평건설" xfId="12818"/>
    <cellStyle name="_신태백(가실행)_안산부대(투찰)⑤_합덕-신례원(2공구)투찰_봉무지방산업단지도로(투찰)②_왜관-태평건설 2" xfId="12819"/>
    <cellStyle name="_신태백(가실행)_안산부대(투찰)⑤_합덕-신례원(2공구)투찰_봉무지방산업단지도로(투찰)②+0.250%" xfId="12806"/>
    <cellStyle name="_신태백(가실행)_안산부대(투찰)⑤_합덕-신례원(2공구)투찰_봉무지방산업단지도로(투찰)②+0.250% 2" xfId="12807"/>
    <cellStyle name="_신태백(가실행)_안산부대(투찰)⑤_합덕-신례원(2공구)투찰_봉무지방산업단지도로(투찰)②+0.250%_마현생창(동양고속)" xfId="12808"/>
    <cellStyle name="_신태백(가실행)_안산부대(투찰)⑤_합덕-신례원(2공구)투찰_봉무지방산업단지도로(투찰)②+0.250%_마현생창(동양고속) 2" xfId="12809"/>
    <cellStyle name="_신태백(가실행)_안산부대(투찰)⑤_합덕-신례원(2공구)투찰_봉무지방산업단지도로(투찰)②+0.250%_마현생창(동양고속)_왜관-태평건설" xfId="12810"/>
    <cellStyle name="_신태백(가실행)_안산부대(투찰)⑤_합덕-신례원(2공구)투찰_봉무지방산업단지도로(투찰)②+0.250%_마현생창(동양고속)_왜관-태평건설 2" xfId="12811"/>
    <cellStyle name="_신태백(가실행)_안산부대(투찰)⑤_합덕-신례원(2공구)투찰_봉무지방산업단지도로(투찰)②+0.250%_왜관-태평건설" xfId="12812"/>
    <cellStyle name="_신태백(가실행)_안산부대(투찰)⑤_합덕-신례원(2공구)투찰_봉무지방산업단지도로(투찰)②+0.250%_왜관-태평건설 2" xfId="12813"/>
    <cellStyle name="_신태백(가실행)_안산부대(투찰)⑤_합덕-신례원(2공구)투찰_왜관-태평건설" xfId="12820"/>
    <cellStyle name="_신태백(가실행)_안산부대(투찰)⑤_합덕-신례원(2공구)투찰_왜관-태평건설 2" xfId="12821"/>
    <cellStyle name="_신태백(가실행)_안산부대(투찰)⑤_합덕-신례원(2공구)투찰_합덕-신례원(2공구)투찰" xfId="12822"/>
    <cellStyle name="_신태백(가실행)_안산부대(투찰)⑤_합덕-신례원(2공구)투찰_합덕-신례원(2공구)투찰 2" xfId="12823"/>
    <cellStyle name="_신태백(가실행)_안산부대(투찰)⑤_합덕-신례원(2공구)투찰_합덕-신례원(2공구)투찰_경찰서-터미널간도로(투찰)②" xfId="12824"/>
    <cellStyle name="_신태백(가실행)_안산부대(투찰)⑤_합덕-신례원(2공구)투찰_합덕-신례원(2공구)투찰_경찰서-터미널간도로(투찰)② 2" xfId="12825"/>
    <cellStyle name="_신태백(가실행)_안산부대(투찰)⑤_합덕-신례원(2공구)투찰_합덕-신례원(2공구)투찰_경찰서-터미널간도로(투찰)②_마현생창(동양고속)" xfId="12826"/>
    <cellStyle name="_신태백(가실행)_안산부대(투찰)⑤_합덕-신례원(2공구)투찰_합덕-신례원(2공구)투찰_경찰서-터미널간도로(투찰)②_마현생창(동양고속) 2" xfId="12827"/>
    <cellStyle name="_신태백(가실행)_안산부대(투찰)⑤_합덕-신례원(2공구)투찰_합덕-신례원(2공구)투찰_경찰서-터미널간도로(투찰)②_마현생창(동양고속)_왜관-태평건설" xfId="12828"/>
    <cellStyle name="_신태백(가실행)_안산부대(투찰)⑤_합덕-신례원(2공구)투찰_합덕-신례원(2공구)투찰_경찰서-터미널간도로(투찰)②_마현생창(동양고속)_왜관-태평건설 2" xfId="12829"/>
    <cellStyle name="_신태백(가실행)_안산부대(투찰)⑤_합덕-신례원(2공구)투찰_합덕-신례원(2공구)투찰_경찰서-터미널간도로(투찰)②_왜관-태평건설" xfId="12830"/>
    <cellStyle name="_신태백(가실행)_안산부대(투찰)⑤_합덕-신례원(2공구)투찰_합덕-신례원(2공구)투찰_경찰서-터미널간도로(투찰)②_왜관-태평건설 2" xfId="12831"/>
    <cellStyle name="_신태백(가실행)_안산부대(투찰)⑤_합덕-신례원(2공구)투찰_합덕-신례원(2공구)투찰_마현생창(동양고속)" xfId="12832"/>
    <cellStyle name="_신태백(가실행)_안산부대(투찰)⑤_합덕-신례원(2공구)투찰_합덕-신례원(2공구)투찰_마현생창(동양고속) 2" xfId="12833"/>
    <cellStyle name="_신태백(가실행)_안산부대(투찰)⑤_합덕-신례원(2공구)투찰_합덕-신례원(2공구)투찰_마현생창(동양고속)_왜관-태평건설" xfId="12834"/>
    <cellStyle name="_신태백(가실행)_안산부대(투찰)⑤_합덕-신례원(2공구)투찰_합덕-신례원(2공구)투찰_마현생창(동양고속)_왜관-태평건설 2" xfId="12835"/>
    <cellStyle name="_신태백(가실행)_안산부대(투찰)⑤_합덕-신례원(2공구)투찰_합덕-신례원(2공구)투찰_봉무지방산업단지도로(투찰)②" xfId="12836"/>
    <cellStyle name="_신태백(가실행)_안산부대(투찰)⑤_합덕-신례원(2공구)투찰_합덕-신례원(2공구)투찰_봉무지방산업단지도로(투찰)② 2" xfId="12837"/>
    <cellStyle name="_신태백(가실행)_안산부대(투찰)⑤_합덕-신례원(2공구)투찰_합덕-신례원(2공구)투찰_봉무지방산업단지도로(투찰)②_마현생창(동양고속)" xfId="12846"/>
    <cellStyle name="_신태백(가실행)_안산부대(투찰)⑤_합덕-신례원(2공구)투찰_합덕-신례원(2공구)투찰_봉무지방산업단지도로(투찰)②_마현생창(동양고속) 2" xfId="12847"/>
    <cellStyle name="_신태백(가실행)_안산부대(투찰)⑤_합덕-신례원(2공구)투찰_합덕-신례원(2공구)투찰_봉무지방산업단지도로(투찰)②_마현생창(동양고속)_왜관-태평건설" xfId="12848"/>
    <cellStyle name="_신태백(가실행)_안산부대(투찰)⑤_합덕-신례원(2공구)투찰_합덕-신례원(2공구)투찰_봉무지방산업단지도로(투찰)②_마현생창(동양고속)_왜관-태평건설 2" xfId="12849"/>
    <cellStyle name="_신태백(가실행)_안산부대(투찰)⑤_합덕-신례원(2공구)투찰_합덕-신례원(2공구)투찰_봉무지방산업단지도로(투찰)②_왜관-태평건설" xfId="12850"/>
    <cellStyle name="_신태백(가실행)_안산부대(투찰)⑤_합덕-신례원(2공구)투찰_합덕-신례원(2공구)투찰_봉무지방산업단지도로(투찰)②_왜관-태평건설 2" xfId="12851"/>
    <cellStyle name="_신태백(가실행)_안산부대(투찰)⑤_합덕-신례원(2공구)투찰_합덕-신례원(2공구)투찰_봉무지방산업단지도로(투찰)②+0.250%" xfId="12838"/>
    <cellStyle name="_신태백(가실행)_안산부대(투찰)⑤_합덕-신례원(2공구)투찰_합덕-신례원(2공구)투찰_봉무지방산업단지도로(투찰)②+0.250% 2" xfId="12839"/>
    <cellStyle name="_신태백(가실행)_안산부대(투찰)⑤_합덕-신례원(2공구)투찰_합덕-신례원(2공구)투찰_봉무지방산업단지도로(투찰)②+0.250%_마현생창(동양고속)" xfId="12840"/>
    <cellStyle name="_신태백(가실행)_안산부대(투찰)⑤_합덕-신례원(2공구)투찰_합덕-신례원(2공구)투찰_봉무지방산업단지도로(투찰)②+0.250%_마현생창(동양고속) 2" xfId="12841"/>
    <cellStyle name="_신태백(가실행)_안산부대(투찰)⑤_합덕-신례원(2공구)투찰_합덕-신례원(2공구)투찰_봉무지방산업단지도로(투찰)②+0.250%_마현생창(동양고속)_왜관-태평건설" xfId="12842"/>
    <cellStyle name="_신태백(가실행)_안산부대(투찰)⑤_합덕-신례원(2공구)투찰_합덕-신례원(2공구)투찰_봉무지방산업단지도로(투찰)②+0.250%_마현생창(동양고속)_왜관-태평건설 2" xfId="12843"/>
    <cellStyle name="_신태백(가실행)_안산부대(투찰)⑤_합덕-신례원(2공구)투찰_합덕-신례원(2공구)투찰_봉무지방산업단지도로(투찰)②+0.250%_왜관-태평건설" xfId="12844"/>
    <cellStyle name="_신태백(가실행)_안산부대(투찰)⑤_합덕-신례원(2공구)투찰_합덕-신례원(2공구)투찰_봉무지방산업단지도로(투찰)②+0.250%_왜관-태평건설 2" xfId="12845"/>
    <cellStyle name="_신태백(가실행)_안산부대(투찰)⑤_합덕-신례원(2공구)투찰_합덕-신례원(2공구)투찰_왜관-태평건설" xfId="12852"/>
    <cellStyle name="_신태백(가실행)_안산부대(투찰)⑤_합덕-신례원(2공구)투찰_합덕-신례원(2공구)투찰_왜관-태평건설 2" xfId="12853"/>
    <cellStyle name="_신태백(가실행)_양곡부두(투찰)-0.31%" xfId="12854"/>
    <cellStyle name="_신태백(가실행)_양곡부두(투찰)-0.31% 2" xfId="12855"/>
    <cellStyle name="_신태백(가실행)_양곡부두(투찰)-0.31%_경찰서-터미널간도로(투찰)②" xfId="12856"/>
    <cellStyle name="_신태백(가실행)_양곡부두(투찰)-0.31%_경찰서-터미널간도로(투찰)② 2" xfId="12857"/>
    <cellStyle name="_신태백(가실행)_양곡부두(투찰)-0.31%_경찰서-터미널간도로(투찰)②_마현생창(동양고속)" xfId="12858"/>
    <cellStyle name="_신태백(가실행)_양곡부두(투찰)-0.31%_경찰서-터미널간도로(투찰)②_마현생창(동양고속) 2" xfId="12859"/>
    <cellStyle name="_신태백(가실행)_양곡부두(투찰)-0.31%_경찰서-터미널간도로(투찰)②_마현생창(동양고속)_왜관-태평건설" xfId="12860"/>
    <cellStyle name="_신태백(가실행)_양곡부두(투찰)-0.31%_경찰서-터미널간도로(투찰)②_마현생창(동양고속)_왜관-태평건설 2" xfId="12861"/>
    <cellStyle name="_신태백(가실행)_양곡부두(투찰)-0.31%_경찰서-터미널간도로(투찰)②_왜관-태평건설" xfId="12862"/>
    <cellStyle name="_신태백(가실행)_양곡부두(투찰)-0.31%_경찰서-터미널간도로(투찰)②_왜관-태평건설 2" xfId="12863"/>
    <cellStyle name="_신태백(가실행)_양곡부두(투찰)-0.31%_마현생창(동양고속)" xfId="12864"/>
    <cellStyle name="_신태백(가실행)_양곡부두(투찰)-0.31%_마현생창(동양고속) 2" xfId="12865"/>
    <cellStyle name="_신태백(가실행)_양곡부두(투찰)-0.31%_마현생창(동양고속)_왜관-태평건설" xfId="12866"/>
    <cellStyle name="_신태백(가실행)_양곡부두(투찰)-0.31%_마현생창(동양고속)_왜관-태평건설 2" xfId="12867"/>
    <cellStyle name="_신태백(가실행)_양곡부두(투찰)-0.31%_봉무지방산업단지도로(투찰)②" xfId="12868"/>
    <cellStyle name="_신태백(가실행)_양곡부두(투찰)-0.31%_봉무지방산업단지도로(투찰)② 2" xfId="12869"/>
    <cellStyle name="_신태백(가실행)_양곡부두(투찰)-0.31%_봉무지방산업단지도로(투찰)②_마현생창(동양고속)" xfId="12878"/>
    <cellStyle name="_신태백(가실행)_양곡부두(투찰)-0.31%_봉무지방산업단지도로(투찰)②_마현생창(동양고속) 2" xfId="12879"/>
    <cellStyle name="_신태백(가실행)_양곡부두(투찰)-0.31%_봉무지방산업단지도로(투찰)②_마현생창(동양고속)_왜관-태평건설" xfId="12880"/>
    <cellStyle name="_신태백(가실행)_양곡부두(투찰)-0.31%_봉무지방산업단지도로(투찰)②_마현생창(동양고속)_왜관-태평건설 2" xfId="12881"/>
    <cellStyle name="_신태백(가실행)_양곡부두(투찰)-0.31%_봉무지방산업단지도로(투찰)②_왜관-태평건설" xfId="12882"/>
    <cellStyle name="_신태백(가실행)_양곡부두(투찰)-0.31%_봉무지방산업단지도로(투찰)②_왜관-태평건설 2" xfId="12883"/>
    <cellStyle name="_신태백(가실행)_양곡부두(투찰)-0.31%_봉무지방산업단지도로(투찰)②+0.250%" xfId="12870"/>
    <cellStyle name="_신태백(가실행)_양곡부두(투찰)-0.31%_봉무지방산업단지도로(투찰)②+0.250% 2" xfId="12871"/>
    <cellStyle name="_신태백(가실행)_양곡부두(투찰)-0.31%_봉무지방산업단지도로(투찰)②+0.250%_마현생창(동양고속)" xfId="12872"/>
    <cellStyle name="_신태백(가실행)_양곡부두(투찰)-0.31%_봉무지방산업단지도로(투찰)②+0.250%_마현생창(동양고속) 2" xfId="12873"/>
    <cellStyle name="_신태백(가실행)_양곡부두(투찰)-0.31%_봉무지방산업단지도로(투찰)②+0.250%_마현생창(동양고속)_왜관-태평건설" xfId="12874"/>
    <cellStyle name="_신태백(가실행)_양곡부두(투찰)-0.31%_봉무지방산업단지도로(투찰)②+0.250%_마현생창(동양고속)_왜관-태평건설 2" xfId="12875"/>
    <cellStyle name="_신태백(가실행)_양곡부두(투찰)-0.31%_봉무지방산업단지도로(투찰)②+0.250%_왜관-태평건설" xfId="12876"/>
    <cellStyle name="_신태백(가실행)_양곡부두(투찰)-0.31%_봉무지방산업단지도로(투찰)②+0.250%_왜관-태평건설 2" xfId="12877"/>
    <cellStyle name="_신태백(가실행)_양곡부두(투찰)-0.31%_왜관-태평건설" xfId="12884"/>
    <cellStyle name="_신태백(가실행)_양곡부두(투찰)-0.31%_왜관-태평건설 2" xfId="12885"/>
    <cellStyle name="_신태백(가실행)_양곡부두(투찰)-0.31%_합덕-신례원(2공구)투찰" xfId="12886"/>
    <cellStyle name="_신태백(가실행)_양곡부두(투찰)-0.31%_합덕-신례원(2공구)투찰 2" xfId="12887"/>
    <cellStyle name="_신태백(가실행)_양곡부두(투찰)-0.31%_합덕-신례원(2공구)투찰_경찰서-터미널간도로(투찰)②" xfId="12888"/>
    <cellStyle name="_신태백(가실행)_양곡부두(투찰)-0.31%_합덕-신례원(2공구)투찰_경찰서-터미널간도로(투찰)② 2" xfId="12889"/>
    <cellStyle name="_신태백(가실행)_양곡부두(투찰)-0.31%_합덕-신례원(2공구)투찰_경찰서-터미널간도로(투찰)②_마현생창(동양고속)" xfId="12890"/>
    <cellStyle name="_신태백(가실행)_양곡부두(투찰)-0.31%_합덕-신례원(2공구)투찰_경찰서-터미널간도로(투찰)②_마현생창(동양고속) 2" xfId="12891"/>
    <cellStyle name="_신태백(가실행)_양곡부두(투찰)-0.31%_합덕-신례원(2공구)투찰_경찰서-터미널간도로(투찰)②_마현생창(동양고속)_왜관-태평건설" xfId="12892"/>
    <cellStyle name="_신태백(가실행)_양곡부두(투찰)-0.31%_합덕-신례원(2공구)투찰_경찰서-터미널간도로(투찰)②_마현생창(동양고속)_왜관-태평건설 2" xfId="12893"/>
    <cellStyle name="_신태백(가실행)_양곡부두(투찰)-0.31%_합덕-신례원(2공구)투찰_경찰서-터미널간도로(투찰)②_왜관-태평건설" xfId="12894"/>
    <cellStyle name="_신태백(가실행)_양곡부두(투찰)-0.31%_합덕-신례원(2공구)투찰_경찰서-터미널간도로(투찰)②_왜관-태평건설 2" xfId="12895"/>
    <cellStyle name="_신태백(가실행)_양곡부두(투찰)-0.31%_합덕-신례원(2공구)투찰_마현생창(동양고속)" xfId="12896"/>
    <cellStyle name="_신태백(가실행)_양곡부두(투찰)-0.31%_합덕-신례원(2공구)투찰_마현생창(동양고속) 2" xfId="12897"/>
    <cellStyle name="_신태백(가실행)_양곡부두(투찰)-0.31%_합덕-신례원(2공구)투찰_마현생창(동양고속)_왜관-태평건설" xfId="12898"/>
    <cellStyle name="_신태백(가실행)_양곡부두(투찰)-0.31%_합덕-신례원(2공구)투찰_마현생창(동양고속)_왜관-태평건설 2" xfId="12899"/>
    <cellStyle name="_신태백(가실행)_양곡부두(투찰)-0.31%_합덕-신례원(2공구)투찰_봉무지방산업단지도로(투찰)②" xfId="12900"/>
    <cellStyle name="_신태백(가실행)_양곡부두(투찰)-0.31%_합덕-신례원(2공구)투찰_봉무지방산업단지도로(투찰)② 2" xfId="12901"/>
    <cellStyle name="_신태백(가실행)_양곡부두(투찰)-0.31%_합덕-신례원(2공구)투찰_봉무지방산업단지도로(투찰)②_마현생창(동양고속)" xfId="12910"/>
    <cellStyle name="_신태백(가실행)_양곡부두(투찰)-0.31%_합덕-신례원(2공구)투찰_봉무지방산업단지도로(투찰)②_마현생창(동양고속) 2" xfId="12911"/>
    <cellStyle name="_신태백(가실행)_양곡부두(투찰)-0.31%_합덕-신례원(2공구)투찰_봉무지방산업단지도로(투찰)②_마현생창(동양고속)_왜관-태평건설" xfId="12912"/>
    <cellStyle name="_신태백(가실행)_양곡부두(투찰)-0.31%_합덕-신례원(2공구)투찰_봉무지방산업단지도로(투찰)②_마현생창(동양고속)_왜관-태평건설 2" xfId="12913"/>
    <cellStyle name="_신태백(가실행)_양곡부두(투찰)-0.31%_합덕-신례원(2공구)투찰_봉무지방산업단지도로(투찰)②_왜관-태평건설" xfId="12914"/>
    <cellStyle name="_신태백(가실행)_양곡부두(투찰)-0.31%_합덕-신례원(2공구)투찰_봉무지방산업단지도로(투찰)②_왜관-태평건설 2" xfId="12915"/>
    <cellStyle name="_신태백(가실행)_양곡부두(투찰)-0.31%_합덕-신례원(2공구)투찰_봉무지방산업단지도로(투찰)②+0.250%" xfId="12902"/>
    <cellStyle name="_신태백(가실행)_양곡부두(투찰)-0.31%_합덕-신례원(2공구)투찰_봉무지방산업단지도로(투찰)②+0.250% 2" xfId="12903"/>
    <cellStyle name="_신태백(가실행)_양곡부두(투찰)-0.31%_합덕-신례원(2공구)투찰_봉무지방산업단지도로(투찰)②+0.250%_마현생창(동양고속)" xfId="12904"/>
    <cellStyle name="_신태백(가실행)_양곡부두(투찰)-0.31%_합덕-신례원(2공구)투찰_봉무지방산업단지도로(투찰)②+0.250%_마현생창(동양고속) 2" xfId="12905"/>
    <cellStyle name="_신태백(가실행)_양곡부두(투찰)-0.31%_합덕-신례원(2공구)투찰_봉무지방산업단지도로(투찰)②+0.250%_마현생창(동양고속)_왜관-태평건설" xfId="12906"/>
    <cellStyle name="_신태백(가실행)_양곡부두(투찰)-0.31%_합덕-신례원(2공구)투찰_봉무지방산업단지도로(투찰)②+0.250%_마현생창(동양고속)_왜관-태평건설 2" xfId="12907"/>
    <cellStyle name="_신태백(가실행)_양곡부두(투찰)-0.31%_합덕-신례원(2공구)투찰_봉무지방산업단지도로(투찰)②+0.250%_왜관-태평건설" xfId="12908"/>
    <cellStyle name="_신태백(가실행)_양곡부두(투찰)-0.31%_합덕-신례원(2공구)투찰_봉무지방산업단지도로(투찰)②+0.250%_왜관-태평건설 2" xfId="12909"/>
    <cellStyle name="_신태백(가실행)_양곡부두(투찰)-0.31%_합덕-신례원(2공구)투찰_왜관-태평건설" xfId="12916"/>
    <cellStyle name="_신태백(가실행)_양곡부두(투찰)-0.31%_합덕-신례원(2공구)투찰_왜관-태평건설 2" xfId="12917"/>
    <cellStyle name="_신태백(가실행)_양곡부두(투찰)-0.31%_합덕-신례원(2공구)투찰_합덕-신례원(2공구)투찰" xfId="12918"/>
    <cellStyle name="_신태백(가실행)_양곡부두(투찰)-0.31%_합덕-신례원(2공구)투찰_합덕-신례원(2공구)투찰 2" xfId="12919"/>
    <cellStyle name="_신태백(가실행)_양곡부두(투찰)-0.31%_합덕-신례원(2공구)투찰_합덕-신례원(2공구)투찰_경찰서-터미널간도로(투찰)②" xfId="12920"/>
    <cellStyle name="_신태백(가실행)_양곡부두(투찰)-0.31%_합덕-신례원(2공구)투찰_합덕-신례원(2공구)투찰_경찰서-터미널간도로(투찰)② 2" xfId="12921"/>
    <cellStyle name="_신태백(가실행)_양곡부두(투찰)-0.31%_합덕-신례원(2공구)투찰_합덕-신례원(2공구)투찰_경찰서-터미널간도로(투찰)②_마현생창(동양고속)" xfId="12922"/>
    <cellStyle name="_신태백(가실행)_양곡부두(투찰)-0.31%_합덕-신례원(2공구)투찰_합덕-신례원(2공구)투찰_경찰서-터미널간도로(투찰)②_마현생창(동양고속) 2" xfId="12923"/>
    <cellStyle name="_신태백(가실행)_양곡부두(투찰)-0.31%_합덕-신례원(2공구)투찰_합덕-신례원(2공구)투찰_경찰서-터미널간도로(투찰)②_마현생창(동양고속)_왜관-태평건설" xfId="12924"/>
    <cellStyle name="_신태백(가실행)_양곡부두(투찰)-0.31%_합덕-신례원(2공구)투찰_합덕-신례원(2공구)투찰_경찰서-터미널간도로(투찰)②_마현생창(동양고속)_왜관-태평건설 2" xfId="12925"/>
    <cellStyle name="_신태백(가실행)_양곡부두(투찰)-0.31%_합덕-신례원(2공구)투찰_합덕-신례원(2공구)투찰_경찰서-터미널간도로(투찰)②_왜관-태평건설" xfId="12926"/>
    <cellStyle name="_신태백(가실행)_양곡부두(투찰)-0.31%_합덕-신례원(2공구)투찰_합덕-신례원(2공구)투찰_경찰서-터미널간도로(투찰)②_왜관-태평건설 2" xfId="12927"/>
    <cellStyle name="_신태백(가실행)_양곡부두(투찰)-0.31%_합덕-신례원(2공구)투찰_합덕-신례원(2공구)투찰_마현생창(동양고속)" xfId="12928"/>
    <cellStyle name="_신태백(가실행)_양곡부두(투찰)-0.31%_합덕-신례원(2공구)투찰_합덕-신례원(2공구)투찰_마현생창(동양고속) 2" xfId="12929"/>
    <cellStyle name="_신태백(가실행)_양곡부두(투찰)-0.31%_합덕-신례원(2공구)투찰_합덕-신례원(2공구)투찰_마현생창(동양고속)_왜관-태평건설" xfId="12930"/>
    <cellStyle name="_신태백(가실행)_양곡부두(투찰)-0.31%_합덕-신례원(2공구)투찰_합덕-신례원(2공구)투찰_마현생창(동양고속)_왜관-태평건설 2" xfId="12931"/>
    <cellStyle name="_신태백(가실행)_양곡부두(투찰)-0.31%_합덕-신례원(2공구)투찰_합덕-신례원(2공구)투찰_봉무지방산업단지도로(투찰)②" xfId="12932"/>
    <cellStyle name="_신태백(가실행)_양곡부두(투찰)-0.31%_합덕-신례원(2공구)투찰_합덕-신례원(2공구)투찰_봉무지방산업단지도로(투찰)② 2" xfId="12933"/>
    <cellStyle name="_신태백(가실행)_양곡부두(투찰)-0.31%_합덕-신례원(2공구)투찰_합덕-신례원(2공구)투찰_봉무지방산업단지도로(투찰)②_마현생창(동양고속)" xfId="12942"/>
    <cellStyle name="_신태백(가실행)_양곡부두(투찰)-0.31%_합덕-신례원(2공구)투찰_합덕-신례원(2공구)투찰_봉무지방산업단지도로(투찰)②_마현생창(동양고속) 2" xfId="12943"/>
    <cellStyle name="_신태백(가실행)_양곡부두(투찰)-0.31%_합덕-신례원(2공구)투찰_합덕-신례원(2공구)투찰_봉무지방산업단지도로(투찰)②_마현생창(동양고속)_왜관-태평건설" xfId="12944"/>
    <cellStyle name="_신태백(가실행)_양곡부두(투찰)-0.31%_합덕-신례원(2공구)투찰_합덕-신례원(2공구)투찰_봉무지방산업단지도로(투찰)②_마현생창(동양고속)_왜관-태평건설 2" xfId="12945"/>
    <cellStyle name="_신태백(가실행)_양곡부두(투찰)-0.31%_합덕-신례원(2공구)투찰_합덕-신례원(2공구)투찰_봉무지방산업단지도로(투찰)②_왜관-태평건설" xfId="12946"/>
    <cellStyle name="_신태백(가실행)_양곡부두(투찰)-0.31%_합덕-신례원(2공구)투찰_합덕-신례원(2공구)투찰_봉무지방산업단지도로(투찰)②_왜관-태평건설 2" xfId="12947"/>
    <cellStyle name="_신태백(가실행)_양곡부두(투찰)-0.31%_합덕-신례원(2공구)투찰_합덕-신례원(2공구)투찰_봉무지방산업단지도로(투찰)②+0.250%" xfId="12934"/>
    <cellStyle name="_신태백(가실행)_양곡부두(투찰)-0.31%_합덕-신례원(2공구)투찰_합덕-신례원(2공구)투찰_봉무지방산업단지도로(투찰)②+0.250% 2" xfId="12935"/>
    <cellStyle name="_신태백(가실행)_양곡부두(투찰)-0.31%_합덕-신례원(2공구)투찰_합덕-신례원(2공구)투찰_봉무지방산업단지도로(투찰)②+0.250%_마현생창(동양고속)" xfId="12936"/>
    <cellStyle name="_신태백(가실행)_양곡부두(투찰)-0.31%_합덕-신례원(2공구)투찰_합덕-신례원(2공구)투찰_봉무지방산업단지도로(투찰)②+0.250%_마현생창(동양고속) 2" xfId="12937"/>
    <cellStyle name="_신태백(가실행)_양곡부두(투찰)-0.31%_합덕-신례원(2공구)투찰_합덕-신례원(2공구)투찰_봉무지방산업단지도로(투찰)②+0.250%_마현생창(동양고속)_왜관-태평건설" xfId="12938"/>
    <cellStyle name="_신태백(가실행)_양곡부두(투찰)-0.31%_합덕-신례원(2공구)투찰_합덕-신례원(2공구)투찰_봉무지방산업단지도로(투찰)②+0.250%_마현생창(동양고속)_왜관-태평건설 2" xfId="12939"/>
    <cellStyle name="_신태백(가실행)_양곡부두(투찰)-0.31%_합덕-신례원(2공구)투찰_합덕-신례원(2공구)투찰_봉무지방산업단지도로(투찰)②+0.250%_왜관-태평건설" xfId="12940"/>
    <cellStyle name="_신태백(가실행)_양곡부두(투찰)-0.31%_합덕-신례원(2공구)투찰_합덕-신례원(2공구)투찰_봉무지방산업단지도로(투찰)②+0.250%_왜관-태평건설 2" xfId="12941"/>
    <cellStyle name="_신태백(가실행)_양곡부두(투찰)-0.31%_합덕-신례원(2공구)투찰_합덕-신례원(2공구)투찰_왜관-태평건설" xfId="12948"/>
    <cellStyle name="_신태백(가실행)_양곡부두(투찰)-0.31%_합덕-신례원(2공구)투찰_합덕-신례원(2공구)투찰_왜관-태평건설 2" xfId="12949"/>
    <cellStyle name="_신태백(가실행)_왜관-태평건설" xfId="12950"/>
    <cellStyle name="_신태백(가실행)_왜관-태평건설 2" xfId="12951"/>
    <cellStyle name="_신태백(가실행)_창원상수도(토목)투찰" xfId="12952"/>
    <cellStyle name="_신태백(가실행)_창원상수도(토목)투찰 2" xfId="12953"/>
    <cellStyle name="_신태백(가실행)_창원상수도(토목)투찰_경찰서-터미널간도로(투찰)②" xfId="12954"/>
    <cellStyle name="_신태백(가실행)_창원상수도(토목)투찰_경찰서-터미널간도로(투찰)② 2" xfId="12955"/>
    <cellStyle name="_신태백(가실행)_창원상수도(토목)투찰_경찰서-터미널간도로(투찰)②_마현생창(동양고속)" xfId="12956"/>
    <cellStyle name="_신태백(가실행)_창원상수도(토목)투찰_경찰서-터미널간도로(투찰)②_마현생창(동양고속) 2" xfId="12957"/>
    <cellStyle name="_신태백(가실행)_창원상수도(토목)투찰_경찰서-터미널간도로(투찰)②_마현생창(동양고속)_왜관-태평건설" xfId="12958"/>
    <cellStyle name="_신태백(가실행)_창원상수도(토목)투찰_경찰서-터미널간도로(투찰)②_마현생창(동양고속)_왜관-태평건설 2" xfId="12959"/>
    <cellStyle name="_신태백(가실행)_창원상수도(토목)투찰_경찰서-터미널간도로(투찰)②_왜관-태평건설" xfId="12960"/>
    <cellStyle name="_신태백(가실행)_창원상수도(토목)투찰_경찰서-터미널간도로(투찰)②_왜관-태평건설 2" xfId="12961"/>
    <cellStyle name="_신태백(가실행)_창원상수도(토목)투찰_마현생창(동양고속)" xfId="12962"/>
    <cellStyle name="_신태백(가실행)_창원상수도(토목)투찰_마현생창(동양고속) 2" xfId="12963"/>
    <cellStyle name="_신태백(가실행)_창원상수도(토목)투찰_마현생창(동양고속)_왜관-태평건설" xfId="12964"/>
    <cellStyle name="_신태백(가실행)_창원상수도(토목)투찰_마현생창(동양고속)_왜관-태평건설 2" xfId="12965"/>
    <cellStyle name="_신태백(가실행)_창원상수도(토목)투찰_봉무지방산업단지도로(투찰)②" xfId="12966"/>
    <cellStyle name="_신태백(가실행)_창원상수도(토목)투찰_봉무지방산업단지도로(투찰)② 2" xfId="12967"/>
    <cellStyle name="_신태백(가실행)_창원상수도(토목)투찰_봉무지방산업단지도로(투찰)②_마현생창(동양고속)" xfId="12976"/>
    <cellStyle name="_신태백(가실행)_창원상수도(토목)투찰_봉무지방산업단지도로(투찰)②_마현생창(동양고속) 2" xfId="12977"/>
    <cellStyle name="_신태백(가실행)_창원상수도(토목)투찰_봉무지방산업단지도로(투찰)②_마현생창(동양고속)_왜관-태평건설" xfId="12978"/>
    <cellStyle name="_신태백(가실행)_창원상수도(토목)투찰_봉무지방산업단지도로(투찰)②_마현생창(동양고속)_왜관-태평건설 2" xfId="12979"/>
    <cellStyle name="_신태백(가실행)_창원상수도(토목)투찰_봉무지방산업단지도로(투찰)②_왜관-태평건설" xfId="12980"/>
    <cellStyle name="_신태백(가실행)_창원상수도(토목)투찰_봉무지방산업단지도로(투찰)②_왜관-태평건설 2" xfId="12981"/>
    <cellStyle name="_신태백(가실행)_창원상수도(토목)투찰_봉무지방산업단지도로(투찰)②+0.250%" xfId="12968"/>
    <cellStyle name="_신태백(가실행)_창원상수도(토목)투찰_봉무지방산업단지도로(투찰)②+0.250% 2" xfId="12969"/>
    <cellStyle name="_신태백(가실행)_창원상수도(토목)투찰_봉무지방산업단지도로(투찰)②+0.250%_마현생창(동양고속)" xfId="12970"/>
    <cellStyle name="_신태백(가실행)_창원상수도(토목)투찰_봉무지방산업단지도로(투찰)②+0.250%_마현생창(동양고속) 2" xfId="12971"/>
    <cellStyle name="_신태백(가실행)_창원상수도(토목)투찰_봉무지방산업단지도로(투찰)②+0.250%_마현생창(동양고속)_왜관-태평건설" xfId="12972"/>
    <cellStyle name="_신태백(가실행)_창원상수도(토목)투찰_봉무지방산업단지도로(투찰)②+0.250%_마현생창(동양고속)_왜관-태평건설 2" xfId="12973"/>
    <cellStyle name="_신태백(가실행)_창원상수도(토목)투찰_봉무지방산업단지도로(투찰)②+0.250%_왜관-태평건설" xfId="12974"/>
    <cellStyle name="_신태백(가실행)_창원상수도(토목)투찰_봉무지방산업단지도로(투찰)②+0.250%_왜관-태평건설 2" xfId="12975"/>
    <cellStyle name="_신태백(가실행)_창원상수도(토목)투찰_왜관-태평건설" xfId="12982"/>
    <cellStyle name="_신태백(가실행)_창원상수도(토목)투찰_왜관-태평건설 2" xfId="12983"/>
    <cellStyle name="_신태백(가실행)_창원상수도(토목)투찰_합덕-신례원(2공구)투찰" xfId="12984"/>
    <cellStyle name="_신태백(가실행)_창원상수도(토목)투찰_합덕-신례원(2공구)투찰 2" xfId="12985"/>
    <cellStyle name="_신태백(가실행)_창원상수도(토목)투찰_합덕-신례원(2공구)투찰_경찰서-터미널간도로(투찰)②" xfId="12986"/>
    <cellStyle name="_신태백(가실행)_창원상수도(토목)투찰_합덕-신례원(2공구)투찰_경찰서-터미널간도로(투찰)② 2" xfId="12987"/>
    <cellStyle name="_신태백(가실행)_창원상수도(토목)투찰_합덕-신례원(2공구)투찰_경찰서-터미널간도로(투찰)②_마현생창(동양고속)" xfId="12988"/>
    <cellStyle name="_신태백(가실행)_창원상수도(토목)투찰_합덕-신례원(2공구)투찰_경찰서-터미널간도로(투찰)②_마현생창(동양고속) 2" xfId="12989"/>
    <cellStyle name="_신태백(가실행)_창원상수도(토목)투찰_합덕-신례원(2공구)투찰_경찰서-터미널간도로(투찰)②_마현생창(동양고속)_왜관-태평건설" xfId="12990"/>
    <cellStyle name="_신태백(가실행)_창원상수도(토목)투찰_합덕-신례원(2공구)투찰_경찰서-터미널간도로(투찰)②_마현생창(동양고속)_왜관-태평건설 2" xfId="12991"/>
    <cellStyle name="_신태백(가실행)_창원상수도(토목)투찰_합덕-신례원(2공구)투찰_경찰서-터미널간도로(투찰)②_왜관-태평건설" xfId="12992"/>
    <cellStyle name="_신태백(가실행)_창원상수도(토목)투찰_합덕-신례원(2공구)투찰_경찰서-터미널간도로(투찰)②_왜관-태평건설 2" xfId="12993"/>
    <cellStyle name="_신태백(가실행)_창원상수도(토목)투찰_합덕-신례원(2공구)투찰_마현생창(동양고속)" xfId="12994"/>
    <cellStyle name="_신태백(가실행)_창원상수도(토목)투찰_합덕-신례원(2공구)투찰_마현생창(동양고속) 2" xfId="12995"/>
    <cellStyle name="_신태백(가실행)_창원상수도(토목)투찰_합덕-신례원(2공구)투찰_마현생창(동양고속)_왜관-태평건설" xfId="12996"/>
    <cellStyle name="_신태백(가실행)_창원상수도(토목)투찰_합덕-신례원(2공구)투찰_마현생창(동양고속)_왜관-태평건설 2" xfId="12997"/>
    <cellStyle name="_신태백(가실행)_창원상수도(토목)투찰_합덕-신례원(2공구)투찰_봉무지방산업단지도로(투찰)②" xfId="12998"/>
    <cellStyle name="_신태백(가실행)_창원상수도(토목)투찰_합덕-신례원(2공구)투찰_봉무지방산업단지도로(투찰)② 2" xfId="12999"/>
    <cellStyle name="_신태백(가실행)_창원상수도(토목)투찰_합덕-신례원(2공구)투찰_봉무지방산업단지도로(투찰)②_마현생창(동양고속)" xfId="13008"/>
    <cellStyle name="_신태백(가실행)_창원상수도(토목)투찰_합덕-신례원(2공구)투찰_봉무지방산업단지도로(투찰)②_마현생창(동양고속) 2" xfId="13009"/>
    <cellStyle name="_신태백(가실행)_창원상수도(토목)투찰_합덕-신례원(2공구)투찰_봉무지방산업단지도로(투찰)②_마현생창(동양고속)_왜관-태평건설" xfId="13010"/>
    <cellStyle name="_신태백(가실행)_창원상수도(토목)투찰_합덕-신례원(2공구)투찰_봉무지방산업단지도로(투찰)②_마현생창(동양고속)_왜관-태평건설 2" xfId="13011"/>
    <cellStyle name="_신태백(가실행)_창원상수도(토목)투찰_합덕-신례원(2공구)투찰_봉무지방산업단지도로(투찰)②_왜관-태평건설" xfId="13012"/>
    <cellStyle name="_신태백(가실행)_창원상수도(토목)투찰_합덕-신례원(2공구)투찰_봉무지방산업단지도로(투찰)②_왜관-태평건설 2" xfId="13013"/>
    <cellStyle name="_신태백(가실행)_창원상수도(토목)투찰_합덕-신례원(2공구)투찰_봉무지방산업단지도로(투찰)②+0.250%" xfId="13000"/>
    <cellStyle name="_신태백(가실행)_창원상수도(토목)투찰_합덕-신례원(2공구)투찰_봉무지방산업단지도로(투찰)②+0.250% 2" xfId="13001"/>
    <cellStyle name="_신태백(가실행)_창원상수도(토목)투찰_합덕-신례원(2공구)투찰_봉무지방산업단지도로(투찰)②+0.250%_마현생창(동양고속)" xfId="13002"/>
    <cellStyle name="_신태백(가실행)_창원상수도(토목)투찰_합덕-신례원(2공구)투찰_봉무지방산업단지도로(투찰)②+0.250%_마현생창(동양고속) 2" xfId="13003"/>
    <cellStyle name="_신태백(가실행)_창원상수도(토목)투찰_합덕-신례원(2공구)투찰_봉무지방산업단지도로(투찰)②+0.250%_마현생창(동양고속)_왜관-태평건설" xfId="13004"/>
    <cellStyle name="_신태백(가실행)_창원상수도(토목)투찰_합덕-신례원(2공구)투찰_봉무지방산업단지도로(투찰)②+0.250%_마현생창(동양고속)_왜관-태평건설 2" xfId="13005"/>
    <cellStyle name="_신태백(가실행)_창원상수도(토목)투찰_합덕-신례원(2공구)투찰_봉무지방산업단지도로(투찰)②+0.250%_왜관-태평건설" xfId="13006"/>
    <cellStyle name="_신태백(가실행)_창원상수도(토목)투찰_합덕-신례원(2공구)투찰_봉무지방산업단지도로(투찰)②+0.250%_왜관-태평건설 2" xfId="13007"/>
    <cellStyle name="_신태백(가실행)_창원상수도(토목)투찰_합덕-신례원(2공구)투찰_왜관-태평건설" xfId="13014"/>
    <cellStyle name="_신태백(가실행)_창원상수도(토목)투찰_합덕-신례원(2공구)투찰_왜관-태평건설 2" xfId="13015"/>
    <cellStyle name="_신태백(가실행)_창원상수도(토목)투찰_합덕-신례원(2공구)투찰_합덕-신례원(2공구)투찰" xfId="13016"/>
    <cellStyle name="_신태백(가실행)_창원상수도(토목)투찰_합덕-신례원(2공구)투찰_합덕-신례원(2공구)투찰 2" xfId="13017"/>
    <cellStyle name="_신태백(가실행)_창원상수도(토목)투찰_합덕-신례원(2공구)투찰_합덕-신례원(2공구)투찰_경찰서-터미널간도로(투찰)②" xfId="13018"/>
    <cellStyle name="_신태백(가실행)_창원상수도(토목)투찰_합덕-신례원(2공구)투찰_합덕-신례원(2공구)투찰_경찰서-터미널간도로(투찰)② 2" xfId="13019"/>
    <cellStyle name="_신태백(가실행)_창원상수도(토목)투찰_합덕-신례원(2공구)투찰_합덕-신례원(2공구)투찰_경찰서-터미널간도로(투찰)②_마현생창(동양고속)" xfId="13020"/>
    <cellStyle name="_신태백(가실행)_창원상수도(토목)투찰_합덕-신례원(2공구)투찰_합덕-신례원(2공구)투찰_경찰서-터미널간도로(투찰)②_마현생창(동양고속) 2" xfId="13021"/>
    <cellStyle name="_신태백(가실행)_창원상수도(토목)투찰_합덕-신례원(2공구)투찰_합덕-신례원(2공구)투찰_경찰서-터미널간도로(투찰)②_마현생창(동양고속)_왜관-태평건설" xfId="13022"/>
    <cellStyle name="_신태백(가실행)_창원상수도(토목)투찰_합덕-신례원(2공구)투찰_합덕-신례원(2공구)투찰_경찰서-터미널간도로(투찰)②_마현생창(동양고속)_왜관-태평건설 2" xfId="13023"/>
    <cellStyle name="_신태백(가실행)_창원상수도(토목)투찰_합덕-신례원(2공구)투찰_합덕-신례원(2공구)투찰_경찰서-터미널간도로(투찰)②_왜관-태평건설" xfId="13024"/>
    <cellStyle name="_신태백(가실행)_창원상수도(토목)투찰_합덕-신례원(2공구)투찰_합덕-신례원(2공구)투찰_경찰서-터미널간도로(투찰)②_왜관-태평건설 2" xfId="13025"/>
    <cellStyle name="_신태백(가실행)_창원상수도(토목)투찰_합덕-신례원(2공구)투찰_합덕-신례원(2공구)투찰_마현생창(동양고속)" xfId="13026"/>
    <cellStyle name="_신태백(가실행)_창원상수도(토목)투찰_합덕-신례원(2공구)투찰_합덕-신례원(2공구)투찰_마현생창(동양고속) 2" xfId="13027"/>
    <cellStyle name="_신태백(가실행)_창원상수도(토목)투찰_합덕-신례원(2공구)투찰_합덕-신례원(2공구)투찰_마현생창(동양고속)_왜관-태평건설" xfId="13028"/>
    <cellStyle name="_신태백(가실행)_창원상수도(토목)투찰_합덕-신례원(2공구)투찰_합덕-신례원(2공구)투찰_마현생창(동양고속)_왜관-태평건설 2" xfId="13029"/>
    <cellStyle name="_신태백(가실행)_창원상수도(토목)투찰_합덕-신례원(2공구)투찰_합덕-신례원(2공구)투찰_봉무지방산업단지도로(투찰)②" xfId="13030"/>
    <cellStyle name="_신태백(가실행)_창원상수도(토목)투찰_합덕-신례원(2공구)투찰_합덕-신례원(2공구)투찰_봉무지방산업단지도로(투찰)② 2" xfId="13031"/>
    <cellStyle name="_신태백(가실행)_창원상수도(토목)투찰_합덕-신례원(2공구)투찰_합덕-신례원(2공구)투찰_봉무지방산업단지도로(투찰)②_마현생창(동양고속)" xfId="13040"/>
    <cellStyle name="_신태백(가실행)_창원상수도(토목)투찰_합덕-신례원(2공구)투찰_합덕-신례원(2공구)투찰_봉무지방산업단지도로(투찰)②_마현생창(동양고속) 2" xfId="13041"/>
    <cellStyle name="_신태백(가실행)_창원상수도(토목)투찰_합덕-신례원(2공구)투찰_합덕-신례원(2공구)투찰_봉무지방산업단지도로(투찰)②_마현생창(동양고속)_왜관-태평건설" xfId="13042"/>
    <cellStyle name="_신태백(가실행)_창원상수도(토목)투찰_합덕-신례원(2공구)투찰_합덕-신례원(2공구)투찰_봉무지방산업단지도로(투찰)②_마현생창(동양고속)_왜관-태평건설 2" xfId="13043"/>
    <cellStyle name="_신태백(가실행)_창원상수도(토목)투찰_합덕-신례원(2공구)투찰_합덕-신례원(2공구)투찰_봉무지방산업단지도로(투찰)②_왜관-태평건설" xfId="13044"/>
    <cellStyle name="_신태백(가실행)_창원상수도(토목)투찰_합덕-신례원(2공구)투찰_합덕-신례원(2공구)투찰_봉무지방산업단지도로(투찰)②_왜관-태평건설 2" xfId="13045"/>
    <cellStyle name="_신태백(가실행)_창원상수도(토목)투찰_합덕-신례원(2공구)투찰_합덕-신례원(2공구)투찰_봉무지방산업단지도로(투찰)②+0.250%" xfId="13032"/>
    <cellStyle name="_신태백(가실행)_창원상수도(토목)투찰_합덕-신례원(2공구)투찰_합덕-신례원(2공구)투찰_봉무지방산업단지도로(투찰)②+0.250% 2" xfId="13033"/>
    <cellStyle name="_신태백(가실행)_창원상수도(토목)투찰_합덕-신례원(2공구)투찰_합덕-신례원(2공구)투찰_봉무지방산업단지도로(투찰)②+0.250%_마현생창(동양고속)" xfId="13034"/>
    <cellStyle name="_신태백(가실행)_창원상수도(토목)투찰_합덕-신례원(2공구)투찰_합덕-신례원(2공구)투찰_봉무지방산업단지도로(투찰)②+0.250%_마현생창(동양고속) 2" xfId="13035"/>
    <cellStyle name="_신태백(가실행)_창원상수도(토목)투찰_합덕-신례원(2공구)투찰_합덕-신례원(2공구)투찰_봉무지방산업단지도로(투찰)②+0.250%_마현생창(동양고속)_왜관-태평건설" xfId="13036"/>
    <cellStyle name="_신태백(가실행)_창원상수도(토목)투찰_합덕-신례원(2공구)투찰_합덕-신례원(2공구)투찰_봉무지방산업단지도로(투찰)②+0.250%_마현생창(동양고속)_왜관-태평건설 2" xfId="13037"/>
    <cellStyle name="_신태백(가실행)_창원상수도(토목)투찰_합덕-신례원(2공구)투찰_합덕-신례원(2공구)투찰_봉무지방산업단지도로(투찰)②+0.250%_왜관-태평건설" xfId="13038"/>
    <cellStyle name="_신태백(가실행)_창원상수도(토목)투찰_합덕-신례원(2공구)투찰_합덕-신례원(2공구)투찰_봉무지방산업단지도로(투찰)②+0.250%_왜관-태평건설 2" xfId="13039"/>
    <cellStyle name="_신태백(가실행)_창원상수도(토목)투찰_합덕-신례원(2공구)투찰_합덕-신례원(2공구)투찰_왜관-태평건설" xfId="13046"/>
    <cellStyle name="_신태백(가실행)_창원상수도(토목)투찰_합덕-신례원(2공구)투찰_합덕-신례원(2공구)투찰_왜관-태평건설 2" xfId="13047"/>
    <cellStyle name="_신태백(가실행)_합덕-신례원(2공구)투찰" xfId="13048"/>
    <cellStyle name="_신태백(가실행)_합덕-신례원(2공구)투찰 2" xfId="13049"/>
    <cellStyle name="_신태백(가실행)_합덕-신례원(2공구)투찰_경찰서-터미널간도로(투찰)②" xfId="13050"/>
    <cellStyle name="_신태백(가실행)_합덕-신례원(2공구)투찰_경찰서-터미널간도로(투찰)② 2" xfId="13051"/>
    <cellStyle name="_신태백(가실행)_합덕-신례원(2공구)투찰_경찰서-터미널간도로(투찰)②_마현생창(동양고속)" xfId="13052"/>
    <cellStyle name="_신태백(가실행)_합덕-신례원(2공구)투찰_경찰서-터미널간도로(투찰)②_마현생창(동양고속) 2" xfId="13053"/>
    <cellStyle name="_신태백(가실행)_합덕-신례원(2공구)투찰_경찰서-터미널간도로(투찰)②_마현생창(동양고속)_왜관-태평건설" xfId="13054"/>
    <cellStyle name="_신태백(가실행)_합덕-신례원(2공구)투찰_경찰서-터미널간도로(투찰)②_마현생창(동양고속)_왜관-태평건설 2" xfId="13055"/>
    <cellStyle name="_신태백(가실행)_합덕-신례원(2공구)투찰_경찰서-터미널간도로(투찰)②_왜관-태평건설" xfId="13056"/>
    <cellStyle name="_신태백(가실행)_합덕-신례원(2공구)투찰_경찰서-터미널간도로(투찰)②_왜관-태평건설 2" xfId="13057"/>
    <cellStyle name="_신태백(가실행)_합덕-신례원(2공구)투찰_마현생창(동양고속)" xfId="13058"/>
    <cellStyle name="_신태백(가실행)_합덕-신례원(2공구)투찰_마현생창(동양고속) 2" xfId="13059"/>
    <cellStyle name="_신태백(가실행)_합덕-신례원(2공구)투찰_마현생창(동양고속)_왜관-태평건설" xfId="13060"/>
    <cellStyle name="_신태백(가실행)_합덕-신례원(2공구)투찰_마현생창(동양고속)_왜관-태평건설 2" xfId="13061"/>
    <cellStyle name="_신태백(가실행)_합덕-신례원(2공구)투찰_봉무지방산업단지도로(투찰)②" xfId="13062"/>
    <cellStyle name="_신태백(가실행)_합덕-신례원(2공구)투찰_봉무지방산업단지도로(투찰)② 2" xfId="13063"/>
    <cellStyle name="_신태백(가실행)_합덕-신례원(2공구)투찰_봉무지방산업단지도로(투찰)②_마현생창(동양고속)" xfId="13072"/>
    <cellStyle name="_신태백(가실행)_합덕-신례원(2공구)투찰_봉무지방산업단지도로(투찰)②_마현생창(동양고속) 2" xfId="13073"/>
    <cellStyle name="_신태백(가실행)_합덕-신례원(2공구)투찰_봉무지방산업단지도로(투찰)②_마현생창(동양고속)_왜관-태평건설" xfId="13074"/>
    <cellStyle name="_신태백(가실행)_합덕-신례원(2공구)투찰_봉무지방산업단지도로(투찰)②_마현생창(동양고속)_왜관-태평건설 2" xfId="13075"/>
    <cellStyle name="_신태백(가실행)_합덕-신례원(2공구)투찰_봉무지방산업단지도로(투찰)②_왜관-태평건설" xfId="13076"/>
    <cellStyle name="_신태백(가실행)_합덕-신례원(2공구)투찰_봉무지방산업단지도로(투찰)②_왜관-태평건설 2" xfId="13077"/>
    <cellStyle name="_신태백(가실행)_합덕-신례원(2공구)투찰_봉무지방산업단지도로(투찰)②+0.250%" xfId="13064"/>
    <cellStyle name="_신태백(가실행)_합덕-신례원(2공구)투찰_봉무지방산업단지도로(투찰)②+0.250% 2" xfId="13065"/>
    <cellStyle name="_신태백(가실행)_합덕-신례원(2공구)투찰_봉무지방산업단지도로(투찰)②+0.250%_마현생창(동양고속)" xfId="13066"/>
    <cellStyle name="_신태백(가실행)_합덕-신례원(2공구)투찰_봉무지방산업단지도로(투찰)②+0.250%_마현생창(동양고속) 2" xfId="13067"/>
    <cellStyle name="_신태백(가실행)_합덕-신례원(2공구)투찰_봉무지방산업단지도로(투찰)②+0.250%_마현생창(동양고속)_왜관-태평건설" xfId="13068"/>
    <cellStyle name="_신태백(가실행)_합덕-신례원(2공구)투찰_봉무지방산업단지도로(투찰)②+0.250%_마현생창(동양고속)_왜관-태평건설 2" xfId="13069"/>
    <cellStyle name="_신태백(가실행)_합덕-신례원(2공구)투찰_봉무지방산업단지도로(투찰)②+0.250%_왜관-태평건설" xfId="13070"/>
    <cellStyle name="_신태백(가실행)_합덕-신례원(2공구)투찰_봉무지방산업단지도로(투찰)②+0.250%_왜관-태평건설 2" xfId="13071"/>
    <cellStyle name="_신태백(가실행)_합덕-신례원(2공구)투찰_왜관-태평건설" xfId="13078"/>
    <cellStyle name="_신태백(가실행)_합덕-신례원(2공구)투찰_왜관-태평건설 2" xfId="13079"/>
    <cellStyle name="_신태백(가실행)_합덕-신례원(2공구)투찰_합덕-신례원(2공구)투찰" xfId="13080"/>
    <cellStyle name="_신태백(가실행)_합덕-신례원(2공구)투찰_합덕-신례원(2공구)투찰 2" xfId="13081"/>
    <cellStyle name="_신태백(가실행)_합덕-신례원(2공구)투찰_합덕-신례원(2공구)투찰_경찰서-터미널간도로(투찰)②" xfId="13082"/>
    <cellStyle name="_신태백(가실행)_합덕-신례원(2공구)투찰_합덕-신례원(2공구)투찰_경찰서-터미널간도로(투찰)② 2" xfId="13083"/>
    <cellStyle name="_신태백(가실행)_합덕-신례원(2공구)투찰_합덕-신례원(2공구)투찰_경찰서-터미널간도로(투찰)②_마현생창(동양고속)" xfId="13084"/>
    <cellStyle name="_신태백(가실행)_합덕-신례원(2공구)투찰_합덕-신례원(2공구)투찰_경찰서-터미널간도로(투찰)②_마현생창(동양고속) 2" xfId="13085"/>
    <cellStyle name="_신태백(가실행)_합덕-신례원(2공구)투찰_합덕-신례원(2공구)투찰_경찰서-터미널간도로(투찰)②_마현생창(동양고속)_왜관-태평건설" xfId="13086"/>
    <cellStyle name="_신태백(가실행)_합덕-신례원(2공구)투찰_합덕-신례원(2공구)투찰_경찰서-터미널간도로(투찰)②_마현생창(동양고속)_왜관-태평건설 2" xfId="13087"/>
    <cellStyle name="_신태백(가실행)_합덕-신례원(2공구)투찰_합덕-신례원(2공구)투찰_경찰서-터미널간도로(투찰)②_왜관-태평건설" xfId="13088"/>
    <cellStyle name="_신태백(가실행)_합덕-신례원(2공구)투찰_합덕-신례원(2공구)투찰_경찰서-터미널간도로(투찰)②_왜관-태평건설 2" xfId="13089"/>
    <cellStyle name="_신태백(가실행)_합덕-신례원(2공구)투찰_합덕-신례원(2공구)투찰_마현생창(동양고속)" xfId="13090"/>
    <cellStyle name="_신태백(가실행)_합덕-신례원(2공구)투찰_합덕-신례원(2공구)투찰_마현생창(동양고속) 2" xfId="13091"/>
    <cellStyle name="_신태백(가실행)_합덕-신례원(2공구)투찰_합덕-신례원(2공구)투찰_마현생창(동양고속)_왜관-태평건설" xfId="13092"/>
    <cellStyle name="_신태백(가실행)_합덕-신례원(2공구)투찰_합덕-신례원(2공구)투찰_마현생창(동양고속)_왜관-태평건설 2" xfId="13093"/>
    <cellStyle name="_신태백(가실행)_합덕-신례원(2공구)투찰_합덕-신례원(2공구)투찰_봉무지방산업단지도로(투찰)②" xfId="13094"/>
    <cellStyle name="_신태백(가실행)_합덕-신례원(2공구)투찰_합덕-신례원(2공구)투찰_봉무지방산업단지도로(투찰)② 2" xfId="13095"/>
    <cellStyle name="_신태백(가실행)_합덕-신례원(2공구)투찰_합덕-신례원(2공구)투찰_봉무지방산업단지도로(투찰)②_마현생창(동양고속)" xfId="13104"/>
    <cellStyle name="_신태백(가실행)_합덕-신례원(2공구)투찰_합덕-신례원(2공구)투찰_봉무지방산업단지도로(투찰)②_마현생창(동양고속) 2" xfId="13105"/>
    <cellStyle name="_신태백(가실행)_합덕-신례원(2공구)투찰_합덕-신례원(2공구)투찰_봉무지방산업단지도로(투찰)②_마현생창(동양고속)_왜관-태평건설" xfId="13106"/>
    <cellStyle name="_신태백(가실행)_합덕-신례원(2공구)투찰_합덕-신례원(2공구)투찰_봉무지방산업단지도로(투찰)②_마현생창(동양고속)_왜관-태평건설 2" xfId="13107"/>
    <cellStyle name="_신태백(가실행)_합덕-신례원(2공구)투찰_합덕-신례원(2공구)투찰_봉무지방산업단지도로(투찰)②_왜관-태평건설" xfId="13108"/>
    <cellStyle name="_신태백(가실행)_합덕-신례원(2공구)투찰_합덕-신례원(2공구)투찰_봉무지방산업단지도로(투찰)②_왜관-태평건설 2" xfId="13109"/>
    <cellStyle name="_신태백(가실행)_합덕-신례원(2공구)투찰_합덕-신례원(2공구)투찰_봉무지방산업단지도로(투찰)②+0.250%" xfId="13096"/>
    <cellStyle name="_신태백(가실행)_합덕-신례원(2공구)투찰_합덕-신례원(2공구)투찰_봉무지방산업단지도로(투찰)②+0.250% 2" xfId="13097"/>
    <cellStyle name="_신태백(가실행)_합덕-신례원(2공구)투찰_합덕-신례원(2공구)투찰_봉무지방산업단지도로(투찰)②+0.250%_마현생창(동양고속)" xfId="13098"/>
    <cellStyle name="_신태백(가실행)_합덕-신례원(2공구)투찰_합덕-신례원(2공구)투찰_봉무지방산업단지도로(투찰)②+0.250%_마현생창(동양고속) 2" xfId="13099"/>
    <cellStyle name="_신태백(가실행)_합덕-신례원(2공구)투찰_합덕-신례원(2공구)투찰_봉무지방산업단지도로(투찰)②+0.250%_마현생창(동양고속)_왜관-태평건설" xfId="13100"/>
    <cellStyle name="_신태백(가실행)_합덕-신례원(2공구)투찰_합덕-신례원(2공구)투찰_봉무지방산업단지도로(투찰)②+0.250%_마현생창(동양고속)_왜관-태평건설 2" xfId="13101"/>
    <cellStyle name="_신태백(가실행)_합덕-신례원(2공구)투찰_합덕-신례원(2공구)투찰_봉무지방산업단지도로(투찰)②+0.250%_왜관-태평건설" xfId="13102"/>
    <cellStyle name="_신태백(가실행)_합덕-신례원(2공구)투찰_합덕-신례원(2공구)투찰_봉무지방산업단지도로(투찰)②+0.250%_왜관-태평건설 2" xfId="13103"/>
    <cellStyle name="_신태백(가실행)_합덕-신례원(2공구)투찰_합덕-신례원(2공구)투찰_왜관-태평건설" xfId="13110"/>
    <cellStyle name="_신태백(가실행)_합덕-신례원(2공구)투찰_합덕-신례원(2공구)투찰_왜관-태평건설 2" xfId="13111"/>
    <cellStyle name="_신태백(투찰내역)2" xfId="13112"/>
    <cellStyle name="_신태백(투찰내역)2 2" xfId="13113"/>
    <cellStyle name="_신효아산공장-갑" xfId="13114"/>
    <cellStyle name="_신흥기아모레퍼시픽대전물류창고증설_翩_-12-12(라이드)" xfId="13115"/>
    <cellStyle name="_신흥기아모레퍼시픽대전물류창고증설_翩_-12-12(라이드) 2" xfId="13116"/>
    <cellStyle name="_실적3" xfId="13117"/>
    <cellStyle name="_실적3 2" xfId="13118"/>
    <cellStyle name="_실적보고5" xfId="13119"/>
    <cellStyle name="_실적보고5 2" xfId="13120"/>
    <cellStyle name="_실정보고(사고석포장위치비교)" xfId="13121"/>
    <cellStyle name="_실정보고(사고석포장위치비교) 2" xfId="13122"/>
    <cellStyle name="_실정보고제3회(랙커외)" xfId="13123"/>
    <cellStyle name="_실정보고제3회(랙커외) 2" xfId="13124"/>
    <cellStyle name="_실행경비456" xfId="13125"/>
    <cellStyle name="_실행경비456 2" xfId="13126"/>
    <cellStyle name="_실행경비567" xfId="13127"/>
    <cellStyle name="_실행경비567 2" xfId="13128"/>
    <cellStyle name="_썬프라자신축공사실행공정표" xfId="13129"/>
    <cellStyle name="_썬프라자신축공사실행공정표 2" xfId="13130"/>
    <cellStyle name="_아미고터워 리모델링공사(계약,실행내역)9월.3일 " xfId="13131"/>
    <cellStyle name="_아미고터워 리모델링공사(계약,실행내역)9월.3일  2" xfId="13132"/>
    <cellStyle name="_아미고터워 리모델링공사(계약,실행내역)9월.3일  2 2" xfId="13133"/>
    <cellStyle name="_아미고터워 리모델링공사(계약,실행내역)9월.3일  3" xfId="13134"/>
    <cellStyle name="_아미고터워 리모델링공사(계약,실행내역)9월.3일  3 2" xfId="13135"/>
    <cellStyle name="_아미고터워 리모델링공사(계약,실행내역)9월.3일  4" xfId="13136"/>
    <cellStyle name="_아미고터워 리모델링공사(계약,실행내역)9월.3일  4 2" xfId="13137"/>
    <cellStyle name="_아미고터워 리모델링공사(계약,실행내역)9월.3일  5" xfId="13138"/>
    <cellStyle name="_아미고터워 리모델링공사(계약,실행내역)9월.3일  5 2" xfId="13139"/>
    <cellStyle name="_아미고터워 리모델링공사(계약,실행내역)9월.3일  6" xfId="13140"/>
    <cellStyle name="_아미고터워 리모델링공사(계약,실행내역)9월.3일  6 2" xfId="13141"/>
    <cellStyle name="_아미고터워 리모델링공사(계약,실행내역)9월.3일  7" xfId="13142"/>
    <cellStyle name="_아미고터워 리모델링공사(계약,실행내역)9월.3일  7 2" xfId="13143"/>
    <cellStyle name="_아미고터워 리모델링공사(계약,실행내역)9월.3일  8" xfId="13144"/>
    <cellStyle name="_아파트(일위대가)" xfId="13145"/>
    <cellStyle name="_아파트(일위대가) 2" xfId="13146"/>
    <cellStyle name="_안동최종정산" xfId="13147"/>
    <cellStyle name="_안동최종정산 2" xfId="13148"/>
    <cellStyle name="_안산 홈플러스 건축 가실행(0301-최종)" xfId="13149"/>
    <cellStyle name="_안산 홈플러스 건축 가실행(0301-최종) 2" xfId="13150"/>
    <cellStyle name="_안산부대(투찰)⑤" xfId="13151"/>
    <cellStyle name="_안산부대(투찰)⑤ 2" xfId="13152"/>
    <cellStyle name="_안산부대(투찰)⑤_경찰서-터미널간도로(투찰)②" xfId="13153"/>
    <cellStyle name="_안산부대(투찰)⑤_경찰서-터미널간도로(투찰)② 2" xfId="13154"/>
    <cellStyle name="_안산부대(투찰)⑤_경찰서-터미널간도로(투찰)②_마현생창(동양고속)" xfId="13155"/>
    <cellStyle name="_안산부대(투찰)⑤_경찰서-터미널간도로(투찰)②_마현생창(동양고속) 2" xfId="13156"/>
    <cellStyle name="_안산부대(투찰)⑤_경찰서-터미널간도로(투찰)②_마현생창(동양고속)_왜관-태평건설" xfId="13157"/>
    <cellStyle name="_안산부대(투찰)⑤_경찰서-터미널간도로(투찰)②_마현생창(동양고속)_왜관-태평건설 2" xfId="13158"/>
    <cellStyle name="_안산부대(투찰)⑤_경찰서-터미널간도로(투찰)②_왜관-태평건설" xfId="13159"/>
    <cellStyle name="_안산부대(투찰)⑤_경찰서-터미널간도로(투찰)②_왜관-태평건설 2" xfId="13160"/>
    <cellStyle name="_안산부대(투찰)⑤_마현생창(동양고속)" xfId="13161"/>
    <cellStyle name="_안산부대(투찰)⑤_마현생창(동양고속) 2" xfId="13162"/>
    <cellStyle name="_안산부대(투찰)⑤_마현생창(동양고속)_왜관-태평건설" xfId="13163"/>
    <cellStyle name="_안산부대(투찰)⑤_마현생창(동양고속)_왜관-태평건설 2" xfId="13164"/>
    <cellStyle name="_안산부대(투찰)⑤_봉무지방산업단지도로(투찰)②" xfId="13165"/>
    <cellStyle name="_안산부대(투찰)⑤_봉무지방산업단지도로(투찰)② 2" xfId="13166"/>
    <cellStyle name="_안산부대(투찰)⑤_봉무지방산업단지도로(투찰)②_마현생창(동양고속)" xfId="13175"/>
    <cellStyle name="_안산부대(투찰)⑤_봉무지방산업단지도로(투찰)②_마현생창(동양고속) 2" xfId="13176"/>
    <cellStyle name="_안산부대(투찰)⑤_봉무지방산업단지도로(투찰)②_마현생창(동양고속)_왜관-태평건설" xfId="13177"/>
    <cellStyle name="_안산부대(투찰)⑤_봉무지방산업단지도로(투찰)②_마현생창(동양고속)_왜관-태평건설 2" xfId="13178"/>
    <cellStyle name="_안산부대(투찰)⑤_봉무지방산업단지도로(투찰)②_왜관-태평건설" xfId="13179"/>
    <cellStyle name="_안산부대(투찰)⑤_봉무지방산업단지도로(투찰)②_왜관-태평건설 2" xfId="13180"/>
    <cellStyle name="_안산부대(투찰)⑤_봉무지방산업단지도로(투찰)②+0.250%" xfId="13167"/>
    <cellStyle name="_안산부대(투찰)⑤_봉무지방산업단지도로(투찰)②+0.250% 2" xfId="13168"/>
    <cellStyle name="_안산부대(투찰)⑤_봉무지방산업단지도로(투찰)②+0.250%_마현생창(동양고속)" xfId="13169"/>
    <cellStyle name="_안산부대(투찰)⑤_봉무지방산업단지도로(투찰)②+0.250%_마현생창(동양고속) 2" xfId="13170"/>
    <cellStyle name="_안산부대(투찰)⑤_봉무지방산업단지도로(투찰)②+0.250%_마현생창(동양고속)_왜관-태평건설" xfId="13171"/>
    <cellStyle name="_안산부대(투찰)⑤_봉무지방산업단지도로(투찰)②+0.250%_마현생창(동양고속)_왜관-태평건설 2" xfId="13172"/>
    <cellStyle name="_안산부대(투찰)⑤_봉무지방산업단지도로(투찰)②+0.250%_왜관-태평건설" xfId="13173"/>
    <cellStyle name="_안산부대(투찰)⑤_봉무지방산업단지도로(투찰)②+0.250%_왜관-태평건설 2" xfId="13174"/>
    <cellStyle name="_안산부대(투찰)⑤_왜관-태평건설" xfId="13181"/>
    <cellStyle name="_안산부대(투찰)⑤_왜관-태평건설 2" xfId="13182"/>
    <cellStyle name="_안산부대(투찰)⑤_합덕-신례원(2공구)투찰" xfId="13183"/>
    <cellStyle name="_안산부대(투찰)⑤_합덕-신례원(2공구)투찰 2" xfId="13184"/>
    <cellStyle name="_안산부대(투찰)⑤_합덕-신례원(2공구)투찰_경찰서-터미널간도로(투찰)②" xfId="13185"/>
    <cellStyle name="_안산부대(투찰)⑤_합덕-신례원(2공구)투찰_경찰서-터미널간도로(투찰)② 2" xfId="13186"/>
    <cellStyle name="_안산부대(투찰)⑤_합덕-신례원(2공구)투찰_경찰서-터미널간도로(투찰)②_마현생창(동양고속)" xfId="13187"/>
    <cellStyle name="_안산부대(투찰)⑤_합덕-신례원(2공구)투찰_경찰서-터미널간도로(투찰)②_마현생창(동양고속) 2" xfId="13188"/>
    <cellStyle name="_안산부대(투찰)⑤_합덕-신례원(2공구)투찰_경찰서-터미널간도로(투찰)②_마현생창(동양고속)_왜관-태평건설" xfId="13189"/>
    <cellStyle name="_안산부대(투찰)⑤_합덕-신례원(2공구)투찰_경찰서-터미널간도로(투찰)②_마현생창(동양고속)_왜관-태평건설 2" xfId="13190"/>
    <cellStyle name="_안산부대(투찰)⑤_합덕-신례원(2공구)투찰_경찰서-터미널간도로(투찰)②_왜관-태평건설" xfId="13191"/>
    <cellStyle name="_안산부대(투찰)⑤_합덕-신례원(2공구)투찰_경찰서-터미널간도로(투찰)②_왜관-태평건설 2" xfId="13192"/>
    <cellStyle name="_안산부대(투찰)⑤_합덕-신례원(2공구)투찰_마현생창(동양고속)" xfId="13193"/>
    <cellStyle name="_안산부대(투찰)⑤_합덕-신례원(2공구)투찰_마현생창(동양고속) 2" xfId="13194"/>
    <cellStyle name="_안산부대(투찰)⑤_합덕-신례원(2공구)투찰_마현생창(동양고속)_왜관-태평건설" xfId="13195"/>
    <cellStyle name="_안산부대(투찰)⑤_합덕-신례원(2공구)투찰_마현생창(동양고속)_왜관-태평건설 2" xfId="13196"/>
    <cellStyle name="_안산부대(투찰)⑤_합덕-신례원(2공구)투찰_봉무지방산업단지도로(투찰)②" xfId="13197"/>
    <cellStyle name="_안산부대(투찰)⑤_합덕-신례원(2공구)투찰_봉무지방산업단지도로(투찰)② 2" xfId="13198"/>
    <cellStyle name="_안산부대(투찰)⑤_합덕-신례원(2공구)투찰_봉무지방산업단지도로(투찰)②_마현생창(동양고속)" xfId="13207"/>
    <cellStyle name="_안산부대(투찰)⑤_합덕-신례원(2공구)투찰_봉무지방산업단지도로(투찰)②_마현생창(동양고속) 2" xfId="13208"/>
    <cellStyle name="_안산부대(투찰)⑤_합덕-신례원(2공구)투찰_봉무지방산업단지도로(투찰)②_마현생창(동양고속)_왜관-태평건설" xfId="13209"/>
    <cellStyle name="_안산부대(투찰)⑤_합덕-신례원(2공구)투찰_봉무지방산업단지도로(투찰)②_마현생창(동양고속)_왜관-태평건설 2" xfId="13210"/>
    <cellStyle name="_안산부대(투찰)⑤_합덕-신례원(2공구)투찰_봉무지방산업단지도로(투찰)②_왜관-태평건설" xfId="13211"/>
    <cellStyle name="_안산부대(투찰)⑤_합덕-신례원(2공구)투찰_봉무지방산업단지도로(투찰)②_왜관-태평건설 2" xfId="13212"/>
    <cellStyle name="_안산부대(투찰)⑤_합덕-신례원(2공구)투찰_봉무지방산업단지도로(투찰)②+0.250%" xfId="13199"/>
    <cellStyle name="_안산부대(투찰)⑤_합덕-신례원(2공구)투찰_봉무지방산업단지도로(투찰)②+0.250% 2" xfId="13200"/>
    <cellStyle name="_안산부대(투찰)⑤_합덕-신례원(2공구)투찰_봉무지방산업단지도로(투찰)②+0.250%_마현생창(동양고속)" xfId="13201"/>
    <cellStyle name="_안산부대(투찰)⑤_합덕-신례원(2공구)투찰_봉무지방산업단지도로(투찰)②+0.250%_마현생창(동양고속) 2" xfId="13202"/>
    <cellStyle name="_안산부대(투찰)⑤_합덕-신례원(2공구)투찰_봉무지방산업단지도로(투찰)②+0.250%_마현생창(동양고속)_왜관-태평건설" xfId="13203"/>
    <cellStyle name="_안산부대(투찰)⑤_합덕-신례원(2공구)투찰_봉무지방산업단지도로(투찰)②+0.250%_마현생창(동양고속)_왜관-태평건설 2" xfId="13204"/>
    <cellStyle name="_안산부대(투찰)⑤_합덕-신례원(2공구)투찰_봉무지방산업단지도로(투찰)②+0.250%_왜관-태평건설" xfId="13205"/>
    <cellStyle name="_안산부대(투찰)⑤_합덕-신례원(2공구)투찰_봉무지방산업단지도로(투찰)②+0.250%_왜관-태평건설 2" xfId="13206"/>
    <cellStyle name="_안산부대(투찰)⑤_합덕-신례원(2공구)투찰_왜관-태평건설" xfId="13213"/>
    <cellStyle name="_안산부대(투찰)⑤_합덕-신례원(2공구)투찰_왜관-태평건설 2" xfId="13214"/>
    <cellStyle name="_안산부대(투찰)⑤_합덕-신례원(2공구)투찰_합덕-신례원(2공구)투찰" xfId="13215"/>
    <cellStyle name="_안산부대(투찰)⑤_합덕-신례원(2공구)투찰_합덕-신례원(2공구)투찰 2" xfId="13216"/>
    <cellStyle name="_안산부대(투찰)⑤_합덕-신례원(2공구)투찰_합덕-신례원(2공구)투찰_경찰서-터미널간도로(투찰)②" xfId="13217"/>
    <cellStyle name="_안산부대(투찰)⑤_합덕-신례원(2공구)투찰_합덕-신례원(2공구)투찰_경찰서-터미널간도로(투찰)② 2" xfId="13218"/>
    <cellStyle name="_안산부대(투찰)⑤_합덕-신례원(2공구)투찰_합덕-신례원(2공구)투찰_경찰서-터미널간도로(투찰)②_마현생창(동양고속)" xfId="13219"/>
    <cellStyle name="_안산부대(투찰)⑤_합덕-신례원(2공구)투찰_합덕-신례원(2공구)투찰_경찰서-터미널간도로(투찰)②_마현생창(동양고속) 2" xfId="13220"/>
    <cellStyle name="_안산부대(투찰)⑤_합덕-신례원(2공구)투찰_합덕-신례원(2공구)투찰_경찰서-터미널간도로(투찰)②_마현생창(동양고속)_왜관-태평건설" xfId="13221"/>
    <cellStyle name="_안산부대(투찰)⑤_합덕-신례원(2공구)투찰_합덕-신례원(2공구)투찰_경찰서-터미널간도로(투찰)②_마현생창(동양고속)_왜관-태평건설 2" xfId="13222"/>
    <cellStyle name="_안산부대(투찰)⑤_합덕-신례원(2공구)투찰_합덕-신례원(2공구)투찰_경찰서-터미널간도로(투찰)②_왜관-태평건설" xfId="13223"/>
    <cellStyle name="_안산부대(투찰)⑤_합덕-신례원(2공구)투찰_합덕-신례원(2공구)투찰_경찰서-터미널간도로(투찰)②_왜관-태평건설 2" xfId="13224"/>
    <cellStyle name="_안산부대(투찰)⑤_합덕-신례원(2공구)투찰_합덕-신례원(2공구)투찰_마현생창(동양고속)" xfId="13225"/>
    <cellStyle name="_안산부대(투찰)⑤_합덕-신례원(2공구)투찰_합덕-신례원(2공구)투찰_마현생창(동양고속) 2" xfId="13226"/>
    <cellStyle name="_안산부대(투찰)⑤_합덕-신례원(2공구)투찰_합덕-신례원(2공구)투찰_마현생창(동양고속)_왜관-태평건설" xfId="13227"/>
    <cellStyle name="_안산부대(투찰)⑤_합덕-신례원(2공구)투찰_합덕-신례원(2공구)투찰_마현생창(동양고속)_왜관-태평건설 2" xfId="13228"/>
    <cellStyle name="_안산부대(투찰)⑤_합덕-신례원(2공구)투찰_합덕-신례원(2공구)투찰_봉무지방산업단지도로(투찰)②" xfId="13229"/>
    <cellStyle name="_안산부대(투찰)⑤_합덕-신례원(2공구)투찰_합덕-신례원(2공구)투찰_봉무지방산업단지도로(투찰)② 2" xfId="13230"/>
    <cellStyle name="_안산부대(투찰)⑤_합덕-신례원(2공구)투찰_합덕-신례원(2공구)투찰_봉무지방산업단지도로(투찰)②_마현생창(동양고속)" xfId="13239"/>
    <cellStyle name="_안산부대(투찰)⑤_합덕-신례원(2공구)투찰_합덕-신례원(2공구)투찰_봉무지방산업단지도로(투찰)②_마현생창(동양고속) 2" xfId="13240"/>
    <cellStyle name="_안산부대(투찰)⑤_합덕-신례원(2공구)투찰_합덕-신례원(2공구)투찰_봉무지방산업단지도로(투찰)②_마현생창(동양고속)_왜관-태평건설" xfId="13241"/>
    <cellStyle name="_안산부대(투찰)⑤_합덕-신례원(2공구)투찰_합덕-신례원(2공구)투찰_봉무지방산업단지도로(투찰)②_마현생창(동양고속)_왜관-태평건설 2" xfId="13242"/>
    <cellStyle name="_안산부대(투찰)⑤_합덕-신례원(2공구)투찰_합덕-신례원(2공구)투찰_봉무지방산업단지도로(투찰)②_왜관-태평건설" xfId="13243"/>
    <cellStyle name="_안산부대(투찰)⑤_합덕-신례원(2공구)투찰_합덕-신례원(2공구)투찰_봉무지방산업단지도로(투찰)②_왜관-태평건설 2" xfId="13244"/>
    <cellStyle name="_안산부대(투찰)⑤_합덕-신례원(2공구)투찰_합덕-신례원(2공구)투찰_봉무지방산업단지도로(투찰)②+0.250%" xfId="13231"/>
    <cellStyle name="_안산부대(투찰)⑤_합덕-신례원(2공구)투찰_합덕-신례원(2공구)투찰_봉무지방산업단지도로(투찰)②+0.250% 2" xfId="13232"/>
    <cellStyle name="_안산부대(투찰)⑤_합덕-신례원(2공구)투찰_합덕-신례원(2공구)투찰_봉무지방산업단지도로(투찰)②+0.250%_마현생창(동양고속)" xfId="13233"/>
    <cellStyle name="_안산부대(투찰)⑤_합덕-신례원(2공구)투찰_합덕-신례원(2공구)투찰_봉무지방산업단지도로(투찰)②+0.250%_마현생창(동양고속) 2" xfId="13234"/>
    <cellStyle name="_안산부대(투찰)⑤_합덕-신례원(2공구)투찰_합덕-신례원(2공구)투찰_봉무지방산업단지도로(투찰)②+0.250%_마현생창(동양고속)_왜관-태평건설" xfId="13235"/>
    <cellStyle name="_안산부대(투찰)⑤_합덕-신례원(2공구)투찰_합덕-신례원(2공구)투찰_봉무지방산업단지도로(투찰)②+0.250%_마현생창(동양고속)_왜관-태평건설 2" xfId="13236"/>
    <cellStyle name="_안산부대(투찰)⑤_합덕-신례원(2공구)투찰_합덕-신례원(2공구)투찰_봉무지방산업단지도로(투찰)②+0.250%_왜관-태평건설" xfId="13237"/>
    <cellStyle name="_안산부대(투찰)⑤_합덕-신례원(2공구)투찰_합덕-신례원(2공구)투찰_봉무지방산업단지도로(투찰)②+0.250%_왜관-태평건설 2" xfId="13238"/>
    <cellStyle name="_안산부대(투찰)⑤_합덕-신례원(2공구)투찰_합덕-신례원(2공구)투찰_왜관-태평건설" xfId="13245"/>
    <cellStyle name="_안산부대(투찰)⑤_합덕-신례원(2공구)투찰_합덕-신례원(2공구)투찰_왜관-태평건설 2" xfId="13246"/>
    <cellStyle name="_안전관리비(거제1부문)" xfId="13247"/>
    <cellStyle name="_안전관리비(거제1부문) 2" xfId="13248"/>
    <cellStyle name="_안전보건11대 기본수칙" xfId="13249"/>
    <cellStyle name="_안전보건11대 기본수칙 2" xfId="13250"/>
    <cellStyle name="_알루미늄중량(삼정)1" xfId="13251"/>
    <cellStyle name="_알루미늄중량(삼정)1 2" xfId="13252"/>
    <cellStyle name="_앙성수량총괄(관수정)" xfId="13253"/>
    <cellStyle name="_앙성수량총괄(관수정) 2" xfId="13254"/>
    <cellStyle name="_앙성수량총괄(관수정)_1" xfId="13255"/>
    <cellStyle name="_앙성수량총괄(관수정)_1 2" xfId="13256"/>
    <cellStyle name="_앙성수량총괄(관수정)_2" xfId="13257"/>
    <cellStyle name="_앙성수량총괄(관수정)_2 2" xfId="13258"/>
    <cellStyle name="_약전설비년간단가" xfId="13259"/>
    <cellStyle name="_약전설비년간단가 2" xfId="13260"/>
    <cellStyle name="_양곡부두(투찰)+0.30%" xfId="13261"/>
    <cellStyle name="_양곡부두(투찰)+0.30% 2" xfId="13262"/>
    <cellStyle name="_양식" xfId="13263"/>
    <cellStyle name="_양식 2" xfId="13264"/>
    <cellStyle name="_양식_1" xfId="13265"/>
    <cellStyle name="_양식_1 2" xfId="13266"/>
    <cellStyle name="_양식_2" xfId="13267"/>
    <cellStyle name="_양식_2 2" xfId="13268"/>
    <cellStyle name="_양재 HUB PRIMO 발코니 확장공사" xfId="13269"/>
    <cellStyle name="_양재 HUB PRIMO 발코니 확장공사 2" xfId="13270"/>
    <cellStyle name="_양지 자립보안등4.17설계" xfId="13271"/>
    <cellStyle name="_양지 자립보안등4.17설계 2" xfId="13272"/>
    <cellStyle name="_양지 자립보안등4.17설계_가로등계약6.14" xfId="13273"/>
    <cellStyle name="_양지 자립보안등4.17설계_가로등계약6.14 2" xfId="13274"/>
    <cellStyle name="_양지 자립보안등4.17설계_보안등계약8.09" xfId="13275"/>
    <cellStyle name="_양지 자립보안등4.17설계_보안등계약8.09 2" xfId="13276"/>
    <cellStyle name="_양지 자립보안등4.17설계_양지면관내가로등설계" xfId="13277"/>
    <cellStyle name="_양지 자립보안등4.17설계_양지면관내가로등설계 2" xfId="13278"/>
    <cellStyle name="_양지 자립보안등4.17설계_양지면관내보안등설계" xfId="13279"/>
    <cellStyle name="_양지 자립보안등4.17설계_양지면관내보안등설계 2" xfId="13280"/>
    <cellStyle name="_양지면관내가로등설계" xfId="13281"/>
    <cellStyle name="_양지면관내가로등설계 2" xfId="13282"/>
    <cellStyle name="_양지면관내보안등설계" xfId="13283"/>
    <cellStyle name="_양지면관내보안등설계 2" xfId="13284"/>
    <cellStyle name="_양평동-결재" xfId="13285"/>
    <cellStyle name="_양평동-결재 2" xfId="13286"/>
    <cellStyle name="_양평동-결재(도급50)" xfId="13287"/>
    <cellStyle name="_양평동-결재(도급50) 2" xfId="13288"/>
    <cellStyle name="_양평동-결재(도급50)_내역서(건설사)" xfId="13289"/>
    <cellStyle name="_양평동-결재(도급50)_내역서(건설사) 2" xfId="13290"/>
    <cellStyle name="_양평동-결재(도급50)_내역서(작업)" xfId="13291"/>
    <cellStyle name="_양평동-결재(도급50)_내역서(작업) 2" xfId="13292"/>
    <cellStyle name="_양평동-결재(도급50)_휴게소-결재" xfId="13293"/>
    <cellStyle name="_양평동-결재(도급50)_휴게소-결재 2" xfId="13294"/>
    <cellStyle name="_양평동-결재(도급50)_휴게소-결재_내역서(건설사)" xfId="13295"/>
    <cellStyle name="_양평동-결재(도급50)_휴게소-결재_내역서(건설사) 2" xfId="13296"/>
    <cellStyle name="_양평동-결재(도급50)_휴게소-결재_내역서(작업)" xfId="13297"/>
    <cellStyle name="_양평동-결재(도급50)_휴게소-결재_내역서(작업) 2" xfId="13298"/>
    <cellStyle name="_양평동-결재_내역서(건설사)" xfId="13299"/>
    <cellStyle name="_양평동-결재_내역서(건설사) 2" xfId="13300"/>
    <cellStyle name="_양평동-결재_내역서(작업)" xfId="13301"/>
    <cellStyle name="_양평동-결재_내역서(작업) 2" xfId="13302"/>
    <cellStyle name="_양평동-결재_휴게소-결재" xfId="13303"/>
    <cellStyle name="_양평동-결재_휴게소-결재 2" xfId="13304"/>
    <cellStyle name="_양평동-결재_휴게소-결재_내역서(건설사)" xfId="13305"/>
    <cellStyle name="_양평동-결재_휴게소-결재_내역서(건설사) 2" xfId="13306"/>
    <cellStyle name="_양평동-결재_휴게소-결재_내역서(작업)" xfId="13307"/>
    <cellStyle name="_양평동-결재_휴게소-결재_내역서(작업) 2" xfId="13308"/>
    <cellStyle name="_언주중-1" xfId="13309"/>
    <cellStyle name="_언주중-1 2" xfId="13310"/>
    <cellStyle name="_업무연락" xfId="13311"/>
    <cellStyle name="_업무연락 (2)" xfId="13312"/>
    <cellStyle name="_업무연락 (2) 2" xfId="13313"/>
    <cellStyle name="_업무연락 2" xfId="13314"/>
    <cellStyle name="_업체별 견적대비표" xfId="13315"/>
    <cellStyle name="_업체별 견적대비표 2" xfId="13316"/>
    <cellStyle name="_에너지운영원가-시설관리" xfId="13317"/>
    <cellStyle name="_에너지운영원가-시설관리 2" xfId="13318"/>
    <cellStyle name="_에너지운영원가-시설관리_08신발장_설계가(LPM,포름)_2구손잡이_원본tool_최종_지급자재_작성용" xfId="13319"/>
    <cellStyle name="_에너지운영원가-시설관리_08신발장_설계가(LPM,포름)_2구손잡이_원본tool_최종_지급자재_작성용 2" xfId="13320"/>
    <cellStyle name="_에스콰이어 수량산출 " xfId="13321"/>
    <cellStyle name="_에스콰이어 수량산출  2" xfId="13322"/>
    <cellStyle name="_에스콰이어 수량산출  2 2" xfId="13323"/>
    <cellStyle name="_에스콰이어 수량산출  3" xfId="13324"/>
    <cellStyle name="_에스콰이어 수량산출  3 2" xfId="13325"/>
    <cellStyle name="_에스콰이어 수량산출  4" xfId="13326"/>
    <cellStyle name="_에스콰이어 수량산출  4 2" xfId="13327"/>
    <cellStyle name="_에스콰이어 수량산출  5" xfId="13328"/>
    <cellStyle name="_에스콰이어 수량산출  5 2" xfId="13329"/>
    <cellStyle name="_에스콰이어 수량산출  6" xfId="13330"/>
    <cellStyle name="_에스콰이어 수량산출  6 2" xfId="13331"/>
    <cellStyle name="_에스콰이어 수량산출  7" xfId="13332"/>
    <cellStyle name="_에스콰이어 수량산출  7 2" xfId="13333"/>
    <cellStyle name="_에스콰이어 수량산출  8" xfId="13334"/>
    <cellStyle name="_엑셀양식수정" xfId="13335"/>
    <cellStyle name="_엑셀양식수정 2" xfId="13336"/>
    <cellStyle name="_엘리베이터" xfId="13337"/>
    <cellStyle name="_여과시설 수량산출(1004)" xfId="13338"/>
    <cellStyle name="_여수죽림 아파트-일위대가(공용)" xfId="13339"/>
    <cellStyle name="_여수죽림 아파트-일위대가(공용) 2" xfId="13340"/>
    <cellStyle name="_역삼 까르띠에 주차장 균열 보수" xfId="13341"/>
    <cellStyle name="_역삼 까르띠에 주차장 균열 보수 2" xfId="13342"/>
    <cellStyle name="_역삼성진" xfId="13343"/>
    <cellStyle name="_역삼성진 2" xfId="13344"/>
    <cellStyle name="_연간단가VOL3" xfId="13345"/>
    <cellStyle name="_연간단가VOL3 2" xfId="13346"/>
    <cellStyle name="_연수전기BM" xfId="13347"/>
    <cellStyle name="_염경초(토목)" xfId="13348"/>
    <cellStyle name="_염경초(토목) 2" xfId="13349"/>
    <cellStyle name="_염경초공내역서(건축,토목,조경,기계)" xfId="13350"/>
    <cellStyle name="_염경초공내역서(건축,토목,조경,기계) 2" xfId="13351"/>
    <cellStyle name="_영남대-중강당1" xfId="13352"/>
    <cellStyle name="_영남대-중강당1 2" xfId="13353"/>
    <cellStyle name="_영남대-중강당1(수정)" xfId="13354"/>
    <cellStyle name="_영남대-중강당1(수정) 2" xfId="13355"/>
    <cellStyle name="_영남대-최종안-1" xfId="13356"/>
    <cellStyle name="_영남대-최종안-1 2" xfId="13357"/>
    <cellStyle name="_영등포점 영화관" xfId="13358"/>
    <cellStyle name="_영등포점 영화관 2" xfId="13359"/>
    <cellStyle name="_영등포점 정산내역서" xfId="13360"/>
    <cellStyle name="_영등포점약전내역(자재부제출)" xfId="13361"/>
    <cellStyle name="_영등포점약전내역(자재부제출) 2" xfId="13362"/>
    <cellStyle name="_영등포지하1층_곡물선식근거리배송_3공구공사 정산서-0506" xfId="13363"/>
    <cellStyle name="_영등포지하1층_곡물선식근거리배송_3공구공사 정산서-0506 2" xfId="13364"/>
    <cellStyle name="_영상" xfId="13365"/>
    <cellStyle name="_영상 2" xfId="13366"/>
    <cellStyle name="_영업외수지집계-1025" xfId="13367"/>
    <cellStyle name="_영업외수지집계-1025 2" xfId="13368"/>
    <cellStyle name="_영조 부산 일반가구 보고" xfId="13369"/>
    <cellStyle name="_영조 부산 일반가구 보고 2" xfId="13370"/>
    <cellStyle name="_예상12속" xfId="13371"/>
    <cellStyle name="_예상12속 2" xfId="13372"/>
    <cellStyle name="_오공본드" xfId="13373"/>
    <cellStyle name="_오투자1" xfId="13374"/>
    <cellStyle name="_오투자1 2" xfId="13375"/>
    <cellStyle name="_옥련고총괄(100%)" xfId="13376"/>
    <cellStyle name="_옥련고총괄(100%) 2" xfId="13377"/>
    <cellStyle name="_온양용화중하도급작업" xfId="13378"/>
    <cellStyle name="_온양용화중하도급작업 2" xfId="13379"/>
    <cellStyle name="_옹벽H=6.0M" xfId="13380"/>
    <cellStyle name="_옹벽수량(8-23)" xfId="13381"/>
    <cellStyle name="_옹벽수량(8-23) 2" xfId="13382"/>
    <cellStyle name="_옹벽수량산출서(견적)" xfId="13383"/>
    <cellStyle name="_옹벽수량산출서(견적) 2" xfId="13384"/>
    <cellStyle name="_왕가봉정비공사" xfId="13385"/>
    <cellStyle name="_왕가봉정비공사 2" xfId="13386"/>
    <cellStyle name="_요약BS" xfId="13387"/>
    <cellStyle name="_요약BS 2" xfId="13388"/>
    <cellStyle name="_요율" xfId="13389"/>
    <cellStyle name="_요율 2" xfId="13390"/>
    <cellStyle name="_용산 외국인학교 인테리어공사 " xfId="13391"/>
    <cellStyle name="_용인동백공사비분석" xfId="13392"/>
    <cellStyle name="_용인동백공사비분석 2" xfId="13393"/>
    <cellStyle name="_용인동백공사비분석_내역서(건설사)" xfId="13394"/>
    <cellStyle name="_용인동백공사비분석_내역서(건설사) 2" xfId="13395"/>
    <cellStyle name="_용인동백공사비분석_내역서(작업)" xfId="13396"/>
    <cellStyle name="_용인동백공사비분석_내역서(작업) 2" xfId="13397"/>
    <cellStyle name="_용인동천APT" xfId="13398"/>
    <cellStyle name="_용인동천APT 2" xfId="13399"/>
    <cellStyle name="_용현점변경계약내역" xfId="13400"/>
    <cellStyle name="_용화고등학교연습" xfId="13401"/>
    <cellStyle name="_용화고등학교연습 2" xfId="13402"/>
    <cellStyle name="_용화고등학교하도급(명신)" xfId="13403"/>
    <cellStyle name="_용화고등학교하도급(명신) 2" xfId="13404"/>
    <cellStyle name="_우수관단위수량 " xfId="13405"/>
    <cellStyle name="_우수관단위수량  2" xfId="13406"/>
    <cellStyle name="_우수관로-1" xfId="13407"/>
    <cellStyle name="_우수관로-1 2" xfId="13408"/>
    <cellStyle name="_우수관설계변경" xfId="13409"/>
    <cellStyle name="_우수관설계변경 2" xfId="13410"/>
    <cellStyle name="_우수맨홀" xfId="13411"/>
    <cellStyle name="_우수맨홀 2" xfId="13412"/>
    <cellStyle name="_우수맨홀-1" xfId="13413"/>
    <cellStyle name="_우수맨홀-1 2" xfId="13414"/>
    <cellStyle name="_우신건설 해운대주상복합2" xfId="13415"/>
    <cellStyle name="_우신건설 해운대주상복합2 2" xfId="13416"/>
    <cellStyle name="_우신건설 해운대주상복합2_2007현황보고양식" xfId="13417"/>
    <cellStyle name="_우신건설 해운대주상복합2_2007현황보고양식 2" xfId="13418"/>
    <cellStyle name="_운북교(수정4월24일)" xfId="13419"/>
    <cellStyle name="_운북교(수정4월24일)_운북교(수정4월24일)" xfId="13420"/>
    <cellStyle name="_운북교(수정4월24일)_운북교(수정4월24일)_횡천교 교각수량" xfId="13421"/>
    <cellStyle name="_운북교(수정4월24일)_운북교(수정4월24일)_횡천교 교각수량 산출 및 집계" xfId="13422"/>
    <cellStyle name="_운북교(수정4월24일)_운북교(수정4월24일)_횡천교 교대 수량산출" xfId="13423"/>
    <cellStyle name="_운북교(수정4월24일)_횡천교 교각수량" xfId="13424"/>
    <cellStyle name="_운북교(수정4월24일)_횡천교 교각수량 산출 및 집계" xfId="13425"/>
    <cellStyle name="_운북교(수정4월24일)_횡천교 교대 수량산출" xfId="13426"/>
    <cellStyle name="_울산A" xfId="13427"/>
    <cellStyle name="_울산롯데호텔소방전기견적서" xfId="13428"/>
    <cellStyle name="_울산롯데호텔소방전기견적서 2" xfId="13429"/>
    <cellStyle name="_울산백화점 발의내역(계약단가적용)" xfId="13430"/>
    <cellStyle name="_울산점 영화관" xfId="13431"/>
    <cellStyle name="_울산점 영화관 2" xfId="13432"/>
    <cellStyle name="_울산점소방전기공사(발주)" xfId="13433"/>
    <cellStyle name="_울산점소방전기공사(발주) 2" xfId="13434"/>
    <cellStyle name="_울산증축마그넷약전내역" xfId="13435"/>
    <cellStyle name="_울산지방경찰청(토목조경완료林)" xfId="13436"/>
    <cellStyle name="_울진고등학교B동교사증축 내역서" xfId="13437"/>
    <cellStyle name="_울진고등학교B동교사증축 내역서 2" xfId="13438"/>
    <cellStyle name="_울진고등학교B동교사증축 내역서_서울숲교회 02-15" xfId="13439"/>
    <cellStyle name="_울진고등학교B동교사증축 내역서_서울숲교회 02-15 2" xfId="13440"/>
    <cellStyle name="_울진고등학교B동교사증축 내역서_서울숲교회01-19" xfId="13441"/>
    <cellStyle name="_울진고등학교B동교사증축 내역서_서울숲교회01-19 2" xfId="13442"/>
    <cellStyle name="_울진고등학교B동교사증축 내역서_서울숲교회02-07" xfId="13443"/>
    <cellStyle name="_울진고등학교B동교사증축 내역서_서울숲교회02-07 2" xfId="13444"/>
    <cellStyle name="_울진고등학교B동교사증축 내역서_서울숲교회부속실02-07" xfId="13445"/>
    <cellStyle name="_울진고등학교B동교사증축 내역서_서울숲교회부속실02-07 2" xfId="13446"/>
    <cellStyle name="_울진고등학교B동교사증축 내역서_서울숲교회부속실영상2-7" xfId="13447"/>
    <cellStyle name="_울진고등학교B동교사증축 내역서_서울숲교회부속실영상2-7 2" xfId="13448"/>
    <cellStyle name="_울진고등학교B동교사증축 내역서_효성교회견적계약" xfId="13449"/>
    <cellStyle name="_울진고등학교B동교사증축 내역서_효성교회견적계약 2" xfId="13450"/>
    <cellStyle name="_울진군폐기물처리시설" xfId="13451"/>
    <cellStyle name="_울진군폐기물처리시설 2" xfId="13452"/>
    <cellStyle name="_울타리및차량방호책" xfId="13453"/>
    <cellStyle name="_울타리및차량방호책_031)길내기" xfId="13454"/>
    <cellStyle name="_울타리및차량방호책_1-1도로" xfId="13455"/>
    <cellStyle name="_울타리및차량방호책_31길내기" xfId="13456"/>
    <cellStyle name="_울타리및차량방호책_Book1" xfId="13457"/>
    <cellStyle name="_울타리및차량방호책_Book2" xfId="13458"/>
    <cellStyle name="_울타리및차량방호책_Book3" xfId="13459"/>
    <cellStyle name="_울타리및차량방호책_경서정거장도로" xfId="13460"/>
    <cellStyle name="_울타리및차량방호책_길내기33702.88" xfId="13461"/>
    <cellStyle name="_울타리및차량방호책_도로" xfId="13462"/>
    <cellStyle name="_울타리및차량방호책_사본 - 031)길내기" xfId="13463"/>
    <cellStyle name="_울타리및차량방호책_차도부현황" xfId="13464"/>
    <cellStyle name="_울타리및차량방호책_토공자재집계" xfId="13465"/>
    <cellStyle name="_원가계산" xfId="13466"/>
    <cellStyle name="_원가계산 2" xfId="13467"/>
    <cellStyle name="_원가계산서" xfId="13468"/>
    <cellStyle name="_원가계산서 2" xfId="13469"/>
    <cellStyle name="_원가계산서양식(1)" xfId="13470"/>
    <cellStyle name="_원가계산서양식(1) 2" xfId="13471"/>
    <cellStyle name="_원가분석(1217)" xfId="13472"/>
    <cellStyle name="_원가분석(1217) 2" xfId="13473"/>
    <cellStyle name="_원가분석(아이0208)" xfId="13474"/>
    <cellStyle name="_원가분석(아이0208) 2" xfId="13475"/>
    <cellStyle name="_원석학원본관개축견적" xfId="13476"/>
    <cellStyle name="_원석학원작업" xfId="13477"/>
    <cellStyle name="_유강초수배전" xfId="13478"/>
    <cellStyle name="_유강초수배전 2" xfId="13479"/>
    <cellStyle name="_유강초수배전_서울숲교회 02-15" xfId="13480"/>
    <cellStyle name="_유강초수배전_서울숲교회 02-15 2" xfId="13481"/>
    <cellStyle name="_유강초수배전_서울숲교회01-19" xfId="13482"/>
    <cellStyle name="_유강초수배전_서울숲교회01-19 2" xfId="13483"/>
    <cellStyle name="_유강초수배전_서울숲교회02-07" xfId="13484"/>
    <cellStyle name="_유강초수배전_서울숲교회02-07 2" xfId="13485"/>
    <cellStyle name="_유강초수배전_서울숲교회부속실02-07" xfId="13486"/>
    <cellStyle name="_유강초수배전_서울숲교회부속실02-07 2" xfId="13487"/>
    <cellStyle name="_유강초수배전_서울숲교회부속실영상2-7" xfId="13488"/>
    <cellStyle name="_유강초수배전_서울숲교회부속실영상2-7 2" xfId="13489"/>
    <cellStyle name="_유강초수배전_효성교회견적계약" xfId="13490"/>
    <cellStyle name="_유강초수배전_효성교회견적계약 2" xfId="13491"/>
    <cellStyle name="_유기전기1(동영ENG내역)" xfId="13492"/>
    <cellStyle name="_유기전기1(동영ENG내역) 2" xfId="13493"/>
    <cellStyle name="_유기전기1(동영ENG내역)_서울숲교회 02-15" xfId="13494"/>
    <cellStyle name="_유기전기1(동영ENG내역)_서울숲교회 02-15 2" xfId="13495"/>
    <cellStyle name="_유기전기1(동영ENG내역)_서울숲교회01-19" xfId="13496"/>
    <cellStyle name="_유기전기1(동영ENG내역)_서울숲교회01-19 2" xfId="13497"/>
    <cellStyle name="_유기전기1(동영ENG내역)_서울숲교회02-07" xfId="13498"/>
    <cellStyle name="_유기전기1(동영ENG내역)_서울숲교회02-07 2" xfId="13499"/>
    <cellStyle name="_유기전기1(동영ENG내역)_서울숲교회부속실02-07" xfId="13500"/>
    <cellStyle name="_유기전기1(동영ENG내역)_서울숲교회부속실02-07 2" xfId="13501"/>
    <cellStyle name="_유기전기1(동영ENG내역)_서울숲교회부속실영상2-7" xfId="13502"/>
    <cellStyle name="_유기전기1(동영ENG내역)_서울숲교회부속실영상2-7 2" xfId="13503"/>
    <cellStyle name="_유기전기1(동영ENG내역)_효성교회견적계약" xfId="13504"/>
    <cellStyle name="_유기전기1(동영ENG내역)_효성교회견적계약 2" xfId="13505"/>
    <cellStyle name="_유대환결재" xfId="13506"/>
    <cellStyle name="_유대환결재 2" xfId="13507"/>
    <cellStyle name="_유대환결재_내역서(건설사)" xfId="13508"/>
    <cellStyle name="_유대환결재_내역서(건설사) 2" xfId="13509"/>
    <cellStyle name="_유대환결재_내역서(작업)" xfId="13510"/>
    <cellStyle name="_유대환결재_내역서(작업) 2" xfId="13511"/>
    <cellStyle name="_유대환결재_휴게소-결재" xfId="13512"/>
    <cellStyle name="_유대환결재_휴게소-결재 2" xfId="13513"/>
    <cellStyle name="_유대환결재_휴게소-결재_내역서(건설사)" xfId="13514"/>
    <cellStyle name="_유대환결재_휴게소-결재_내역서(건설사) 2" xfId="13515"/>
    <cellStyle name="_유대환결재_휴게소-결재_내역서(작업)" xfId="13516"/>
    <cellStyle name="_유대환결재_휴게소-결재_내역서(작업) 2" xfId="13517"/>
    <cellStyle name="_유성점단가계약(N0)" xfId="13518"/>
    <cellStyle name="_유성점단가계약(N0) 2" xfId="13519"/>
    <cellStyle name="_유첨3(서식)" xfId="13520"/>
    <cellStyle name="_유첨3(서식) 2" xfId="13521"/>
    <cellStyle name="_유첨3(서식)_1" xfId="13522"/>
    <cellStyle name="_유첨3(서식)_1 2" xfId="13523"/>
    <cellStyle name="_유치투찰" xfId="13524"/>
    <cellStyle name="_유치투찰 2" xfId="13525"/>
    <cellStyle name="_유치투찰_왜관-태평건설" xfId="13526"/>
    <cellStyle name="_유치투찰_왜관-태평건설 2" xfId="13527"/>
    <cellStyle name="_육안벽부대공견적1" xfId="13528"/>
    <cellStyle name="_육안벽부대공견적1 2" xfId="13529"/>
    <cellStyle name="_은평공원테니스장정비공사" xfId="13530"/>
    <cellStyle name="_은평공원테니스장정비공사 2" xfId="13531"/>
    <cellStyle name="_음식물수거차(1)-한국경제조사연구원" xfId="13532"/>
    <cellStyle name="_음식물수거차(1)-한국경제조사연구원 2" xfId="13533"/>
    <cellStyle name="_음향" xfId="13534"/>
    <cellStyle name="_음향 2" xfId="13535"/>
    <cellStyle name="_의정부 정산내역서" xfId="13536"/>
    <cellStyle name="_의정부 정산내역서 2" xfId="13537"/>
    <cellStyle name="_이천일아울렛부산점천정보강(060120)내역서" xfId="13538"/>
    <cellStyle name="_이천일아울렛부산점천정보강(060120)내역서 2" xfId="13539"/>
    <cellStyle name="_익산모현 도서관 내역서(전기)" xfId="13540"/>
    <cellStyle name="_익산모현 도서관 내역서(전기) 2" xfId="13541"/>
    <cellStyle name="_익산모현 도서관 내역서(통신)" xfId="13542"/>
    <cellStyle name="_익산모현 도서관 내역서(통신) 2" xfId="13543"/>
    <cellStyle name="_익산점내역" xfId="13544"/>
    <cellStyle name="_익산점내역 2" xfId="13545"/>
    <cellStyle name="_익산점일반전기정산내역서(자재부)" xfId="13546"/>
    <cellStyle name="_인계동철거(견적)" xfId="13547"/>
    <cellStyle name="_인계동철거(견적) 2" xfId="13548"/>
    <cellStyle name="_인수인계" xfId="13549"/>
    <cellStyle name="_인수인계 2" xfId="13550"/>
    <cellStyle name="_인수인계 및 완료확인서" xfId="13551"/>
    <cellStyle name="_인수인계_2007현황보고양식" xfId="13552"/>
    <cellStyle name="_인수인계_2007현황보고양식 2" xfId="13553"/>
    <cellStyle name="_인원계획표 " xfId="13554"/>
    <cellStyle name="_인원계획표  2" xfId="13555"/>
    <cellStyle name="_인원계획표  2 2" xfId="13556"/>
    <cellStyle name="_인원계획표  3" xfId="13557"/>
    <cellStyle name="_인원계획표  3 2" xfId="13558"/>
    <cellStyle name="_인원계획표  4" xfId="13559"/>
    <cellStyle name="_인원계획표  4 2" xfId="13560"/>
    <cellStyle name="_인원계획표  5" xfId="13561"/>
    <cellStyle name="_인원계획표  5 2" xfId="13562"/>
    <cellStyle name="_인원계획표  6" xfId="13563"/>
    <cellStyle name="_인원계획표  6 2" xfId="13564"/>
    <cellStyle name="_인원계획표  7" xfId="13565"/>
    <cellStyle name="_인원계획표  7 2" xfId="13566"/>
    <cellStyle name="_인원계획표  8" xfId="13567"/>
    <cellStyle name="_인원계획표 _1.방수공사" xfId="13568"/>
    <cellStyle name="_인원계획표 _1.방수공사 2" xfId="13569"/>
    <cellStyle name="_인원계획표 _1.방수공사_1.흙막이공사 - 견적대비조서(입찰)" xfId="13570"/>
    <cellStyle name="_인원계획표 _1.방수공사_1.흙막이공사 - 견적대비조서(입찰) 2" xfId="13571"/>
    <cellStyle name="_인원계획표 _1.흙막이공사 - 견적대비조서(입찰)" xfId="13572"/>
    <cellStyle name="_인원계획표 _1.흙막이공사 - 견적대비조서(입찰) 2" xfId="13573"/>
    <cellStyle name="_인원계획표 _2000TMP-POW2" xfId="13574"/>
    <cellStyle name="_인원계획표 _2000TMP-POW2 2" xfId="13575"/>
    <cellStyle name="_인원계획표 _2000TMP-POW2_서초풍림아이원플러스(0723)(2)" xfId="13576"/>
    <cellStyle name="_인원계획표 _2000TMP-POW2_서초풍림아이원플러스(0723)(2) 2" xfId="13577"/>
    <cellStyle name="_인원계획표 _2000TMP-POW2_파주시금촌(2)지구C2BL풍림APT(1001)-공" xfId="13578"/>
    <cellStyle name="_인원계획표 _2000TMP-POW2_파주시금촌(2)지구C2BL풍림APT(1001)-공 2" xfId="13579"/>
    <cellStyle name="_인원계획표 _2001TMP-POW2" xfId="13580"/>
    <cellStyle name="_인원계획표 _2001TMP-POW2 2" xfId="13581"/>
    <cellStyle name="_인원계획표 _2001TMP-POW2_서초풍림아이원플러스(0723)(2)" xfId="13582"/>
    <cellStyle name="_인원계획표 _2001TMP-POW2_서초풍림아이원플러스(0723)(2) 2" xfId="13583"/>
    <cellStyle name="_인원계획표 _2001TMP-POW2_파주시금촌(2)지구C2BL풍림APT(1001)-공" xfId="13584"/>
    <cellStyle name="_인원계획표 _2001TMP-POW2_파주시금촌(2)지구C2BL풍림APT(1001)-공 2" xfId="13585"/>
    <cellStyle name="_인원계획표 _2003TMP-POW0" xfId="13586"/>
    <cellStyle name="_인원계획표 _2003TMP-POW0 2" xfId="13587"/>
    <cellStyle name="_인원계획표 _2003TMP-POW0_2003TMP-POW1" xfId="13588"/>
    <cellStyle name="_인원계획표 _2003TMP-POW0_2003TMP-POW1 2" xfId="13589"/>
    <cellStyle name="_인원계획표 _2003TMP-POW0_2003TMP-POW1_2003TMP-POW1" xfId="13590"/>
    <cellStyle name="_인원계획표 _2003TMP-POW0_2003TMP-POW1_2003TMP-POW1 2" xfId="13591"/>
    <cellStyle name="_인원계획표 _2003TMP-POW0_2003TMP-POW1_2003TMP-POW1_2003TMP-POW1" xfId="13592"/>
    <cellStyle name="_인원계획표 _2003TMP-POW0_2003TMP-POW1_2003TMP-POW1_2003TMP-POW1 2" xfId="13593"/>
    <cellStyle name="_인원계획표 _2003TMP-POW0_2003TMP-POW1_2003TMP-POW1_2003TMP-POW1_2003TMP-POW1" xfId="13594"/>
    <cellStyle name="_인원계획표 _2003TMP-POW0_2003TMP-POW1_2003TMP-POW1_2003TMP-POW1_2003TMP-POW1 2" xfId="13595"/>
    <cellStyle name="_인원계획표 _2003TMP-POW0_2003TMP-POW1_2003TMP-POW1_2003TMP-POW1_2003TMP-POW1_2004TMP-POW0" xfId="13596"/>
    <cellStyle name="_인원계획표 _2003TMP-POW0_2003TMP-POW1_2003TMP-POW1_2003TMP-POW1_2003TMP-POW1_2004TMP-POW0 2" xfId="13597"/>
    <cellStyle name="_인원계획표 _2003TMP-POW0_2003TMP-POW1_2003TMP-POW1_2003TMP-POW1_2003TMP-POW1_2004TMP-POW0_2004TMP-POW0" xfId="13598"/>
    <cellStyle name="_인원계획표 _2003TMP-POW0_2003TMP-POW1_2003TMP-POW1_2003TMP-POW1_2003TMP-POW1_2004TMP-POW0_2004TMP-POW0 2" xfId="13599"/>
    <cellStyle name="_인원계획표 _2003TMP-POW0_2003TMP-POW1_2003TMP-POW1_2003TMP-POW1_2003TMP-POW1_2004TMP-POW0_2004TMP-POW0_2004TMP-POW0" xfId="13600"/>
    <cellStyle name="_인원계획표 _2003TMP-POW0_2003TMP-POW1_2003TMP-POW1_2003TMP-POW1_2003TMP-POW1_2004TMP-POW0_2004TMP-POW0_2004TMP-POW0 2" xfId="13601"/>
    <cellStyle name="_인원계획표 _2003TMP-POW0_2003TMP-POW1_2003TMP-POW1_2003TMP-POW1_2003TMP-POW1_2004TMP-POW0_2004TMP-POW0_2004TMP-POW0_2004TMP-POW0" xfId="13602"/>
    <cellStyle name="_인원계획표 _2003TMP-POW0_2003TMP-POW1_2003TMP-POW1_2003TMP-POW1_2003TMP-POW1_2004TMP-POW0_2004TMP-POW0_2004TMP-POW0_2004TMP-POW0 2" xfId="13603"/>
    <cellStyle name="_인원계획표 _2003TMP-POW0_2003TMP-POW1_2003TMP-POW1_2003TMP-POW1_2004TMP-POW0" xfId="13604"/>
    <cellStyle name="_인원계획표 _2003TMP-POW0_2003TMP-POW1_2003TMP-POW1_2003TMP-POW1_2004TMP-POW0 2" xfId="13605"/>
    <cellStyle name="_인원계획표 _2003TMP-POW0_2003TMP-POW1_2003TMP-POW1_2003TMP-POW1_2004TMP-POW0_2004TMP-POW0" xfId="13606"/>
    <cellStyle name="_인원계획표 _2003TMP-POW0_2003TMP-POW1_2003TMP-POW1_2003TMP-POW1_2004TMP-POW0_2004TMP-POW0 2" xfId="13607"/>
    <cellStyle name="_인원계획표 _2003TMP-POW0_2003TMP-POW1_2003TMP-POW1_2003TMP-POW1_2004TMP-POW0_2004TMP-POW0_2004TMP-POW0" xfId="13608"/>
    <cellStyle name="_인원계획표 _2003TMP-POW0_2003TMP-POW1_2003TMP-POW1_2003TMP-POW1_2004TMP-POW0_2004TMP-POW0_2004TMP-POW0 2" xfId="13609"/>
    <cellStyle name="_인원계획표 _2003TMP-POW0_2003TMP-POW1_2003TMP-POW1_2004TMP-POW0" xfId="13610"/>
    <cellStyle name="_인원계획표 _2003TMP-POW0_2003TMP-POW1_2003TMP-POW1_2004TMP-POW0 2" xfId="13611"/>
    <cellStyle name="_인원계획표 _2003TMP-POW0_2003TMP-POW1_2003TMP-POW1_2004TMP-POW0_2004TMP-POW0" xfId="13612"/>
    <cellStyle name="_인원계획표 _2003TMP-POW0_2003TMP-POW1_2003TMP-POW1_2004TMP-POW0_2004TMP-POW0 2" xfId="13613"/>
    <cellStyle name="_인원계획표 _2003TMP-POW0_2003TMP-POW1_2003TMP-POW1_2004TMP-POW0_2004TMP-POW0_2004TMP-POW0" xfId="13614"/>
    <cellStyle name="_인원계획표 _2003TMP-POW0_2003TMP-POW1_2003TMP-POW1_2004TMP-POW0_2004TMP-POW0_2004TMP-POW0 2" xfId="13615"/>
    <cellStyle name="_인원계획표 _2003TMP-POW0_2003TMP-POW1_2003TMP-POW1_2004TMP-POW0_2004TMP-POW0_2004TMP-POW0_2004TMP-POW0" xfId="13616"/>
    <cellStyle name="_인원계획표 _2003TMP-POW0_2003TMP-POW1_2003TMP-POW1_2004TMP-POW0_2004TMP-POW0_2004TMP-POW0_2004TMP-POW0 2" xfId="13617"/>
    <cellStyle name="_인원계획표 _2003TMP-POW0_2003TMP-POW1_2003TMP-POW1_Book2" xfId="13618"/>
    <cellStyle name="_인원계획표 _2003TMP-POW0_2003TMP-POW1_2003TMP-POW1_Book2 2" xfId="13619"/>
    <cellStyle name="_인원계획표 _2003TMP-POW0_2003TMP-POW1_2003TMP-POW1_Book4" xfId="13620"/>
    <cellStyle name="_인원계획표 _2003TMP-POW0_2003TMP-POW1_2003TMP-POW1_Book4 2" xfId="13621"/>
    <cellStyle name="_인원계획표 _2003TMP-POW0_2003TMP-POW1_2004TMP-POW0" xfId="13622"/>
    <cellStyle name="_인원계획표 _2003TMP-POW0_2003TMP-POW1_2004TMP-POW0 2" xfId="13623"/>
    <cellStyle name="_인원계획표 _2003TMP-POW0_2003TMP-POW1_2004TMP-POW0_2004TMP-POW0" xfId="13624"/>
    <cellStyle name="_인원계획표 _2003TMP-POW0_2003TMP-POW1_2004TMP-POW0_2004TMP-POW0 2" xfId="13625"/>
    <cellStyle name="_인원계획표 _2003TMP-POW0_2003TMP-POW1_2004TMP-POW0_2004TMP-POW0_2004TMP-POW0" xfId="13626"/>
    <cellStyle name="_인원계획표 _2003TMP-POW0_2003TMP-POW1_2004TMP-POW0_2004TMP-POW0_2004TMP-POW0 2" xfId="13627"/>
    <cellStyle name="_인원계획표 _2003TMP-POW0_2003TMP-POW1_Book2" xfId="13628"/>
    <cellStyle name="_인원계획표 _2003TMP-POW0_2003TMP-POW1_Book2 2" xfId="13629"/>
    <cellStyle name="_인원계획표 _2003TMP-POW0_2003TMP-POW1_Book4" xfId="13630"/>
    <cellStyle name="_인원계획표 _2003TMP-POW0_2003TMP-POW1_Book4 2" xfId="13631"/>
    <cellStyle name="_인원계획표 _2003TMP-POW0_2004TMP-POW0" xfId="13632"/>
    <cellStyle name="_인원계획표 _2003TMP-POW0_2004TMP-POW0 2" xfId="13633"/>
    <cellStyle name="_인원계획표 _2003TMP-POW0_2004TMP-POW0_2004TMP-POW0" xfId="13634"/>
    <cellStyle name="_인원계획표 _2003TMP-POW0_2004TMP-POW0_2004TMP-POW0 2" xfId="13635"/>
    <cellStyle name="_인원계획표 _2003TMP-POW0_2004TMP-POW0_2004TMP-POW0_2004TMP-POW0" xfId="13636"/>
    <cellStyle name="_인원계획표 _2003TMP-POW0_2004TMP-POW0_2004TMP-POW0_2004TMP-POW0 2" xfId="13637"/>
    <cellStyle name="_인원계획표 _2003TMP-POW0_2004TMP-POW0_2004TMP-POW0_2004TMP-POW0_2004TMP-POW0" xfId="13638"/>
    <cellStyle name="_인원계획표 _2003TMP-POW0_2004TMP-POW0_2004TMP-POW0_2004TMP-POW0_2004TMP-POW0 2" xfId="13639"/>
    <cellStyle name="_인원계획표 _2003TMP-POW0_Book2" xfId="13640"/>
    <cellStyle name="_인원계획표 _2003TMP-POW0_Book2 2" xfId="13641"/>
    <cellStyle name="_인원계획표 _2003TMP-POW0_Book4" xfId="13642"/>
    <cellStyle name="_인원계획표 _2003TMP-POW0_Book4 2" xfId="13643"/>
    <cellStyle name="_인원계획표 _2003TMP-POW1" xfId="13644"/>
    <cellStyle name="_인원계획표 _2003TMP-POW1 2" xfId="13645"/>
    <cellStyle name="_인원계획표 _2003TMP-POW1_2003TMP-POW1" xfId="13704"/>
    <cellStyle name="_인원계획표 _2003TMP-POW1_2003TMP-POW1 2" xfId="13705"/>
    <cellStyle name="_인원계획표 _2003TMP-POW1_2003TMP-POW1_2003TMP-POW1" xfId="13706"/>
    <cellStyle name="_인원계획표 _2003TMP-POW1_2003TMP-POW1_2003TMP-POW1 2" xfId="13707"/>
    <cellStyle name="_인원계획표 _2003TMP-POW1_2003TMP-POW1_2003TMP-POW1_2003TMP-POW1" xfId="13708"/>
    <cellStyle name="_인원계획표 _2003TMP-POW1_2003TMP-POW1_2003TMP-POW1_2003TMP-POW1 2" xfId="13709"/>
    <cellStyle name="_인원계획표 _2003TMP-POW1_2003TMP-POW1_2003TMP-POW1_2003TMP-POW1_2003TMP-POW1" xfId="13710"/>
    <cellStyle name="_인원계획표 _2003TMP-POW1_2003TMP-POW1_2003TMP-POW1_2003TMP-POW1_2003TMP-POW1 2" xfId="13711"/>
    <cellStyle name="_인원계획표 _2003TMP-POW1_2003TMP-POW1_2003TMP-POW1_2003TMP-POW1_2003TMP-POW1_2004TMP-POW0" xfId="13712"/>
    <cellStyle name="_인원계획표 _2003TMP-POW1_2003TMP-POW1_2003TMP-POW1_2003TMP-POW1_2003TMP-POW1_2004TMP-POW0 2" xfId="13713"/>
    <cellStyle name="_인원계획표 _2003TMP-POW1_2003TMP-POW1_2003TMP-POW1_2003TMP-POW1_2003TMP-POW1_2004TMP-POW0_2004TMP-POW0" xfId="13714"/>
    <cellStyle name="_인원계획표 _2003TMP-POW1_2003TMP-POW1_2003TMP-POW1_2003TMP-POW1_2003TMP-POW1_2004TMP-POW0_2004TMP-POW0 2" xfId="13715"/>
    <cellStyle name="_인원계획표 _2003TMP-POW1_2003TMP-POW1_2003TMP-POW1_2003TMP-POW1_2003TMP-POW1_2004TMP-POW0_2004TMP-POW0_2004TMP-POW0" xfId="13716"/>
    <cellStyle name="_인원계획표 _2003TMP-POW1_2003TMP-POW1_2003TMP-POW1_2003TMP-POW1_2003TMP-POW1_2004TMP-POW0_2004TMP-POW0_2004TMP-POW0 2" xfId="13717"/>
    <cellStyle name="_인원계획표 _2003TMP-POW1_2003TMP-POW1_2003TMP-POW1_2003TMP-POW1_2003TMP-POW1_2004TMP-POW0_2004TMP-POW0_2004TMP-POW0_2004TMP-POW0" xfId="13718"/>
    <cellStyle name="_인원계획표 _2003TMP-POW1_2003TMP-POW1_2003TMP-POW1_2003TMP-POW1_2003TMP-POW1_2004TMP-POW0_2004TMP-POW0_2004TMP-POW0_2004TMP-POW0 2" xfId="13719"/>
    <cellStyle name="_인원계획표 _2003TMP-POW1_2003TMP-POW1_2003TMP-POW1_2003TMP-POW1_2004TMP-POW0" xfId="13720"/>
    <cellStyle name="_인원계획표 _2003TMP-POW1_2003TMP-POW1_2003TMP-POW1_2003TMP-POW1_2004TMP-POW0 2" xfId="13721"/>
    <cellStyle name="_인원계획표 _2003TMP-POW1_2003TMP-POW1_2003TMP-POW1_2003TMP-POW1_2004TMP-POW0_2004TMP-POW0" xfId="13722"/>
    <cellStyle name="_인원계획표 _2003TMP-POW1_2003TMP-POW1_2003TMP-POW1_2003TMP-POW1_2004TMP-POW0_2004TMP-POW0 2" xfId="13723"/>
    <cellStyle name="_인원계획표 _2003TMP-POW1_2003TMP-POW1_2003TMP-POW1_2003TMP-POW1_2004TMP-POW0_2004TMP-POW0_2004TMP-POW0" xfId="13724"/>
    <cellStyle name="_인원계획표 _2003TMP-POW1_2003TMP-POW1_2003TMP-POW1_2003TMP-POW1_2004TMP-POW0_2004TMP-POW0_2004TMP-POW0 2" xfId="13725"/>
    <cellStyle name="_인원계획표 _2003TMP-POW1_2003TMP-POW1_2003TMP-POW1_2004TMP-POW0" xfId="13726"/>
    <cellStyle name="_인원계획표 _2003TMP-POW1_2003TMP-POW1_2003TMP-POW1_2004TMP-POW0 2" xfId="13727"/>
    <cellStyle name="_인원계획표 _2003TMP-POW1_2003TMP-POW1_2003TMP-POW1_2004TMP-POW0_2004TMP-POW0" xfId="13728"/>
    <cellStyle name="_인원계획표 _2003TMP-POW1_2003TMP-POW1_2003TMP-POW1_2004TMP-POW0_2004TMP-POW0 2" xfId="13729"/>
    <cellStyle name="_인원계획표 _2003TMP-POW1_2003TMP-POW1_2003TMP-POW1_2004TMP-POW0_2004TMP-POW0_2004TMP-POW0" xfId="13730"/>
    <cellStyle name="_인원계획표 _2003TMP-POW1_2003TMP-POW1_2003TMP-POW1_2004TMP-POW0_2004TMP-POW0_2004TMP-POW0 2" xfId="13731"/>
    <cellStyle name="_인원계획표 _2003TMP-POW1_2003TMP-POW1_2003TMP-POW1_2004TMP-POW0_2004TMP-POW0_2004TMP-POW0_2004TMP-POW0" xfId="13732"/>
    <cellStyle name="_인원계획표 _2003TMP-POW1_2003TMP-POW1_2003TMP-POW1_2004TMP-POW0_2004TMP-POW0_2004TMP-POW0_2004TMP-POW0 2" xfId="13733"/>
    <cellStyle name="_인원계획표 _2003TMP-POW1_2003TMP-POW1_2003TMP-POW1_Book2" xfId="13734"/>
    <cellStyle name="_인원계획표 _2003TMP-POW1_2003TMP-POW1_2003TMP-POW1_Book2 2" xfId="13735"/>
    <cellStyle name="_인원계획표 _2003TMP-POW1_2003TMP-POW1_2003TMP-POW1_Book4" xfId="13736"/>
    <cellStyle name="_인원계획표 _2003TMP-POW1_2003TMP-POW1_2003TMP-POW1_Book4 2" xfId="13737"/>
    <cellStyle name="_인원계획표 _2003TMP-POW1_2003TMP-POW1_2004TMP-POW0" xfId="13738"/>
    <cellStyle name="_인원계획표 _2003TMP-POW1_2003TMP-POW1_2004TMP-POW0 2" xfId="13739"/>
    <cellStyle name="_인원계획표 _2003TMP-POW1_2003TMP-POW1_2004TMP-POW0_2004TMP-POW0" xfId="13740"/>
    <cellStyle name="_인원계획표 _2003TMP-POW1_2003TMP-POW1_2004TMP-POW0_2004TMP-POW0 2" xfId="13741"/>
    <cellStyle name="_인원계획표 _2003TMP-POW1_2003TMP-POW1_2004TMP-POW0_2004TMP-POW0_2004TMP-POW0" xfId="13742"/>
    <cellStyle name="_인원계획표 _2003TMP-POW1_2003TMP-POW1_2004TMP-POW0_2004TMP-POW0_2004TMP-POW0 2" xfId="13743"/>
    <cellStyle name="_인원계획표 _2003TMP-POW1_2003TMP-POW1_Book2" xfId="13744"/>
    <cellStyle name="_인원계획표 _2003TMP-POW1_2003TMP-POW1_Book2 2" xfId="13745"/>
    <cellStyle name="_인원계획표 _2003TMP-POW1_2003TMP-POW1_Book4" xfId="13746"/>
    <cellStyle name="_인원계획표 _2003TMP-POW1_2003TMP-POW1_Book4 2" xfId="13747"/>
    <cellStyle name="_인원계획표 _2003TMP-POW1_2004TMP-POW0" xfId="13748"/>
    <cellStyle name="_인원계획표 _2003TMP-POW1_2004TMP-POW0 2" xfId="13749"/>
    <cellStyle name="_인원계획표 _2003TMP-POW1_2004TMP-POW0_2004TMP-POW0" xfId="13750"/>
    <cellStyle name="_인원계획표 _2003TMP-POW1_2004TMP-POW0_2004TMP-POW0 2" xfId="13751"/>
    <cellStyle name="_인원계획표 _2003TMP-POW1_2004TMP-POW0_2004TMP-POW0_2004TMP-POW0" xfId="13752"/>
    <cellStyle name="_인원계획표 _2003TMP-POW1_2004TMP-POW0_2004TMP-POW0_2004TMP-POW0 2" xfId="13753"/>
    <cellStyle name="_인원계획표 _2003TMP-POW1_2004TMP-POW0_2004TMP-POW0_2004TMP-POW0_2004TMP-POW0" xfId="13754"/>
    <cellStyle name="_인원계획표 _2003TMP-POW1_2004TMP-POW0_2004TMP-POW0_2004TMP-POW0_2004TMP-POW0 2" xfId="13755"/>
    <cellStyle name="_인원계획표 _2003TMP-POW1_Book2" xfId="13756"/>
    <cellStyle name="_인원계획표 _2003TMP-POW1_Book2 2" xfId="13757"/>
    <cellStyle name="_인원계획표 _2003TMP-POW1_Book4" xfId="13758"/>
    <cellStyle name="_인원계획표 _2003TMP-POW1_Book4 2" xfId="13759"/>
    <cellStyle name="_인원계획표 _2003TMP-POW1-1" xfId="13646"/>
    <cellStyle name="_인원계획표 _2003TMP-POW1-1 2" xfId="13647"/>
    <cellStyle name="_인원계획표 _2003TMP-POW1-1_2003TMP-POW1" xfId="13648"/>
    <cellStyle name="_인원계획표 _2003TMP-POW1-1_2003TMP-POW1 2" xfId="13649"/>
    <cellStyle name="_인원계획표 _2003TMP-POW1-1_2003TMP-POW1_2003TMP-POW1" xfId="13650"/>
    <cellStyle name="_인원계획표 _2003TMP-POW1-1_2003TMP-POW1_2003TMP-POW1 2" xfId="13651"/>
    <cellStyle name="_인원계획표 _2003TMP-POW1-1_2003TMP-POW1_2003TMP-POW1_2003TMP-POW1" xfId="13652"/>
    <cellStyle name="_인원계획표 _2003TMP-POW1-1_2003TMP-POW1_2003TMP-POW1_2003TMP-POW1 2" xfId="13653"/>
    <cellStyle name="_인원계획표 _2003TMP-POW1-1_2003TMP-POW1_2003TMP-POW1_2003TMP-POW1_2003TMP-POW1" xfId="13654"/>
    <cellStyle name="_인원계획표 _2003TMP-POW1-1_2003TMP-POW1_2003TMP-POW1_2003TMP-POW1_2003TMP-POW1 2" xfId="13655"/>
    <cellStyle name="_인원계획표 _2003TMP-POW1-1_2003TMP-POW1_2003TMP-POW1_2003TMP-POW1_2003TMP-POW1_2004TMP-POW0" xfId="13656"/>
    <cellStyle name="_인원계획표 _2003TMP-POW1-1_2003TMP-POW1_2003TMP-POW1_2003TMP-POW1_2003TMP-POW1_2004TMP-POW0 2" xfId="13657"/>
    <cellStyle name="_인원계획표 _2003TMP-POW1-1_2003TMP-POW1_2003TMP-POW1_2003TMP-POW1_2003TMP-POW1_2004TMP-POW0_2004TMP-POW0" xfId="13658"/>
    <cellStyle name="_인원계획표 _2003TMP-POW1-1_2003TMP-POW1_2003TMP-POW1_2003TMP-POW1_2003TMP-POW1_2004TMP-POW0_2004TMP-POW0 2" xfId="13659"/>
    <cellStyle name="_인원계획표 _2003TMP-POW1-1_2003TMP-POW1_2003TMP-POW1_2003TMP-POW1_2003TMP-POW1_2004TMP-POW0_2004TMP-POW0_2004TMP-POW0" xfId="13660"/>
    <cellStyle name="_인원계획표 _2003TMP-POW1-1_2003TMP-POW1_2003TMP-POW1_2003TMP-POW1_2003TMP-POW1_2004TMP-POW0_2004TMP-POW0_2004TMP-POW0 2" xfId="13661"/>
    <cellStyle name="_인원계획표 _2003TMP-POW1-1_2003TMP-POW1_2003TMP-POW1_2003TMP-POW1_2003TMP-POW1_2004TMP-POW0_2004TMP-POW0_2004TMP-POW0_2004TMP-POW0" xfId="13662"/>
    <cellStyle name="_인원계획표 _2003TMP-POW1-1_2003TMP-POW1_2003TMP-POW1_2003TMP-POW1_2003TMP-POW1_2004TMP-POW0_2004TMP-POW0_2004TMP-POW0_2004TMP-POW0 2" xfId="13663"/>
    <cellStyle name="_인원계획표 _2003TMP-POW1-1_2003TMP-POW1_2003TMP-POW1_2003TMP-POW1_2004TMP-POW0" xfId="13664"/>
    <cellStyle name="_인원계획표 _2003TMP-POW1-1_2003TMP-POW1_2003TMP-POW1_2003TMP-POW1_2004TMP-POW0 2" xfId="13665"/>
    <cellStyle name="_인원계획표 _2003TMP-POW1-1_2003TMP-POW1_2003TMP-POW1_2003TMP-POW1_2004TMP-POW0_2004TMP-POW0" xfId="13666"/>
    <cellStyle name="_인원계획표 _2003TMP-POW1-1_2003TMP-POW1_2003TMP-POW1_2003TMP-POW1_2004TMP-POW0_2004TMP-POW0 2" xfId="13667"/>
    <cellStyle name="_인원계획표 _2003TMP-POW1-1_2003TMP-POW1_2003TMP-POW1_2003TMP-POW1_2004TMP-POW0_2004TMP-POW0_2004TMP-POW0" xfId="13668"/>
    <cellStyle name="_인원계획표 _2003TMP-POW1-1_2003TMP-POW1_2003TMP-POW1_2003TMP-POW1_2004TMP-POW0_2004TMP-POW0_2004TMP-POW0 2" xfId="13669"/>
    <cellStyle name="_인원계획표 _2003TMP-POW1-1_2003TMP-POW1_2003TMP-POW1_2004TMP-POW0" xfId="13670"/>
    <cellStyle name="_인원계획표 _2003TMP-POW1-1_2003TMP-POW1_2003TMP-POW1_2004TMP-POW0 2" xfId="13671"/>
    <cellStyle name="_인원계획표 _2003TMP-POW1-1_2003TMP-POW1_2003TMP-POW1_2004TMP-POW0_2004TMP-POW0" xfId="13672"/>
    <cellStyle name="_인원계획표 _2003TMP-POW1-1_2003TMP-POW1_2003TMP-POW1_2004TMP-POW0_2004TMP-POW0 2" xfId="13673"/>
    <cellStyle name="_인원계획표 _2003TMP-POW1-1_2003TMP-POW1_2003TMP-POW1_2004TMP-POW0_2004TMP-POW0_2004TMP-POW0" xfId="13674"/>
    <cellStyle name="_인원계획표 _2003TMP-POW1-1_2003TMP-POW1_2003TMP-POW1_2004TMP-POW0_2004TMP-POW0_2004TMP-POW0 2" xfId="13675"/>
    <cellStyle name="_인원계획표 _2003TMP-POW1-1_2003TMP-POW1_2003TMP-POW1_2004TMP-POW0_2004TMP-POW0_2004TMP-POW0_2004TMP-POW0" xfId="13676"/>
    <cellStyle name="_인원계획표 _2003TMP-POW1-1_2003TMP-POW1_2003TMP-POW1_2004TMP-POW0_2004TMP-POW0_2004TMP-POW0_2004TMP-POW0 2" xfId="13677"/>
    <cellStyle name="_인원계획표 _2003TMP-POW1-1_2003TMP-POW1_2003TMP-POW1_Book2" xfId="13678"/>
    <cellStyle name="_인원계획표 _2003TMP-POW1-1_2003TMP-POW1_2003TMP-POW1_Book2 2" xfId="13679"/>
    <cellStyle name="_인원계획표 _2003TMP-POW1-1_2003TMP-POW1_2003TMP-POW1_Book4" xfId="13680"/>
    <cellStyle name="_인원계획표 _2003TMP-POW1-1_2003TMP-POW1_2003TMP-POW1_Book4 2" xfId="13681"/>
    <cellStyle name="_인원계획표 _2003TMP-POW1-1_2003TMP-POW1_2004TMP-POW0" xfId="13682"/>
    <cellStyle name="_인원계획표 _2003TMP-POW1-1_2003TMP-POW1_2004TMP-POW0 2" xfId="13683"/>
    <cellStyle name="_인원계획표 _2003TMP-POW1-1_2003TMP-POW1_2004TMP-POW0_2004TMP-POW0" xfId="13684"/>
    <cellStyle name="_인원계획표 _2003TMP-POW1-1_2003TMP-POW1_2004TMP-POW0_2004TMP-POW0 2" xfId="13685"/>
    <cellStyle name="_인원계획표 _2003TMP-POW1-1_2003TMP-POW1_2004TMP-POW0_2004TMP-POW0_2004TMP-POW0" xfId="13686"/>
    <cellStyle name="_인원계획표 _2003TMP-POW1-1_2003TMP-POW1_2004TMP-POW0_2004TMP-POW0_2004TMP-POW0 2" xfId="13687"/>
    <cellStyle name="_인원계획표 _2003TMP-POW1-1_2003TMP-POW1_Book2" xfId="13688"/>
    <cellStyle name="_인원계획표 _2003TMP-POW1-1_2003TMP-POW1_Book2 2" xfId="13689"/>
    <cellStyle name="_인원계획표 _2003TMP-POW1-1_2003TMP-POW1_Book4" xfId="13690"/>
    <cellStyle name="_인원계획표 _2003TMP-POW1-1_2003TMP-POW1_Book4 2" xfId="13691"/>
    <cellStyle name="_인원계획표 _2003TMP-POW1-1_2004TMP-POW0" xfId="13692"/>
    <cellStyle name="_인원계획표 _2003TMP-POW1-1_2004TMP-POW0 2" xfId="13693"/>
    <cellStyle name="_인원계획표 _2003TMP-POW1-1_2004TMP-POW0_2004TMP-POW0" xfId="13694"/>
    <cellStyle name="_인원계획표 _2003TMP-POW1-1_2004TMP-POW0_2004TMP-POW0 2" xfId="13695"/>
    <cellStyle name="_인원계획표 _2003TMP-POW1-1_2004TMP-POW0_2004TMP-POW0_2004TMP-POW0" xfId="13696"/>
    <cellStyle name="_인원계획표 _2003TMP-POW1-1_2004TMP-POW0_2004TMP-POW0_2004TMP-POW0 2" xfId="13697"/>
    <cellStyle name="_인원계획표 _2003TMP-POW1-1_2004TMP-POW0_2004TMP-POW0_2004TMP-POW0_2004TMP-POW0" xfId="13698"/>
    <cellStyle name="_인원계획표 _2003TMP-POW1-1_2004TMP-POW0_2004TMP-POW0_2004TMP-POW0_2004TMP-POW0 2" xfId="13699"/>
    <cellStyle name="_인원계획표 _2003TMP-POW1-1_Book2" xfId="13700"/>
    <cellStyle name="_인원계획표 _2003TMP-POW1-1_Book2 2" xfId="13701"/>
    <cellStyle name="_인원계획표 _2003TMP-POW1-1_Book4" xfId="13702"/>
    <cellStyle name="_인원계획표 _2003TMP-POW1-1_Book4 2" xfId="13703"/>
    <cellStyle name="_인원계획표 _2003TMP-POWER" xfId="13760"/>
    <cellStyle name="_인원계획표 _2003TMP-POWER 2" xfId="13761"/>
    <cellStyle name="_인원계획표 _2003TMP-POWER_2003TMP-POW1" xfId="13762"/>
    <cellStyle name="_인원계획표 _2003TMP-POWER_2003TMP-POW1 2" xfId="13763"/>
    <cellStyle name="_인원계획표 _2003TMP-POWER_2003TMP-POW1_2003TMP-POW1" xfId="13764"/>
    <cellStyle name="_인원계획표 _2003TMP-POWER_2003TMP-POW1_2003TMP-POW1 2" xfId="13765"/>
    <cellStyle name="_인원계획표 _2003TMP-POWER_2003TMP-POW1_2003TMP-POW1_2003TMP-POW1" xfId="13766"/>
    <cellStyle name="_인원계획표 _2003TMP-POWER_2003TMP-POW1_2003TMP-POW1_2003TMP-POW1 2" xfId="13767"/>
    <cellStyle name="_인원계획표 _2003TMP-POWER_2003TMP-POW1_2003TMP-POW1_2003TMP-POW1_2003TMP-POW1" xfId="13768"/>
    <cellStyle name="_인원계획표 _2003TMP-POWER_2003TMP-POW1_2003TMP-POW1_2003TMP-POW1_2003TMP-POW1 2" xfId="13769"/>
    <cellStyle name="_인원계획표 _2003TMP-POWER_2003TMP-POW1_2003TMP-POW1_2003TMP-POW1_2003TMP-POW1_2004TMP-POW0" xfId="13770"/>
    <cellStyle name="_인원계획표 _2003TMP-POWER_2003TMP-POW1_2003TMP-POW1_2003TMP-POW1_2003TMP-POW1_2004TMP-POW0 2" xfId="13771"/>
    <cellStyle name="_인원계획표 _2003TMP-POWER_2003TMP-POW1_2003TMP-POW1_2003TMP-POW1_2003TMP-POW1_2004TMP-POW0_2004TMP-POW0" xfId="13772"/>
    <cellStyle name="_인원계획표 _2003TMP-POWER_2003TMP-POW1_2003TMP-POW1_2003TMP-POW1_2003TMP-POW1_2004TMP-POW0_2004TMP-POW0 2" xfId="13773"/>
    <cellStyle name="_인원계획표 _2003TMP-POWER_2003TMP-POW1_2003TMP-POW1_2003TMP-POW1_2003TMP-POW1_2004TMP-POW0_2004TMP-POW0_2004TMP-POW0" xfId="13774"/>
    <cellStyle name="_인원계획표 _2003TMP-POWER_2003TMP-POW1_2003TMP-POW1_2003TMP-POW1_2003TMP-POW1_2004TMP-POW0_2004TMP-POW0_2004TMP-POW0 2" xfId="13775"/>
    <cellStyle name="_인원계획표 _2003TMP-POWER_2003TMP-POW1_2003TMP-POW1_2003TMP-POW1_2003TMP-POW1_2004TMP-POW0_2004TMP-POW0_2004TMP-POW0_2004TMP-POW0" xfId="13776"/>
    <cellStyle name="_인원계획표 _2003TMP-POWER_2003TMP-POW1_2003TMP-POW1_2003TMP-POW1_2003TMP-POW1_2004TMP-POW0_2004TMP-POW0_2004TMP-POW0_2004TMP-POW0 2" xfId="13777"/>
    <cellStyle name="_인원계획표 _2003TMP-POWER_2003TMP-POW1_2003TMP-POW1_2003TMP-POW1_2004TMP-POW0" xfId="13778"/>
    <cellStyle name="_인원계획표 _2003TMP-POWER_2003TMP-POW1_2003TMP-POW1_2003TMP-POW1_2004TMP-POW0 2" xfId="13779"/>
    <cellStyle name="_인원계획표 _2003TMP-POWER_2003TMP-POW1_2003TMP-POW1_2003TMP-POW1_2004TMP-POW0_2004TMP-POW0" xfId="13780"/>
    <cellStyle name="_인원계획표 _2003TMP-POWER_2003TMP-POW1_2003TMP-POW1_2003TMP-POW1_2004TMP-POW0_2004TMP-POW0 2" xfId="13781"/>
    <cellStyle name="_인원계획표 _2003TMP-POWER_2003TMP-POW1_2003TMP-POW1_2003TMP-POW1_2004TMP-POW0_2004TMP-POW0_2004TMP-POW0" xfId="13782"/>
    <cellStyle name="_인원계획표 _2003TMP-POWER_2003TMP-POW1_2003TMP-POW1_2003TMP-POW1_2004TMP-POW0_2004TMP-POW0_2004TMP-POW0 2" xfId="13783"/>
    <cellStyle name="_인원계획표 _2003TMP-POWER_2003TMP-POW1_2003TMP-POW1_2004TMP-POW0" xfId="13784"/>
    <cellStyle name="_인원계획표 _2003TMP-POWER_2003TMP-POW1_2003TMP-POW1_2004TMP-POW0 2" xfId="13785"/>
    <cellStyle name="_인원계획표 _2003TMP-POWER_2003TMP-POW1_2003TMP-POW1_2004TMP-POW0_2004TMP-POW0" xfId="13786"/>
    <cellStyle name="_인원계획표 _2003TMP-POWER_2003TMP-POW1_2003TMP-POW1_2004TMP-POW0_2004TMP-POW0 2" xfId="13787"/>
    <cellStyle name="_인원계획표 _2003TMP-POWER_2003TMP-POW1_2003TMP-POW1_2004TMP-POW0_2004TMP-POW0_2004TMP-POW0" xfId="13788"/>
    <cellStyle name="_인원계획표 _2003TMP-POWER_2003TMP-POW1_2003TMP-POW1_2004TMP-POW0_2004TMP-POW0_2004TMP-POW0 2" xfId="13789"/>
    <cellStyle name="_인원계획표 _2003TMP-POWER_2003TMP-POW1_2003TMP-POW1_2004TMP-POW0_2004TMP-POW0_2004TMP-POW0_2004TMP-POW0" xfId="13790"/>
    <cellStyle name="_인원계획표 _2003TMP-POWER_2003TMP-POW1_2003TMP-POW1_2004TMP-POW0_2004TMP-POW0_2004TMP-POW0_2004TMP-POW0 2" xfId="13791"/>
    <cellStyle name="_인원계획표 _2003TMP-POWER_2003TMP-POW1_2003TMP-POW1_Book2" xfId="13792"/>
    <cellStyle name="_인원계획표 _2003TMP-POWER_2003TMP-POW1_2003TMP-POW1_Book2 2" xfId="13793"/>
    <cellStyle name="_인원계획표 _2003TMP-POWER_2003TMP-POW1_2003TMP-POW1_Book4" xfId="13794"/>
    <cellStyle name="_인원계획표 _2003TMP-POWER_2003TMP-POW1_2003TMP-POW1_Book4 2" xfId="13795"/>
    <cellStyle name="_인원계획표 _2003TMP-POWER_2003TMP-POW1_2004TMP-POW0" xfId="13796"/>
    <cellStyle name="_인원계획표 _2003TMP-POWER_2003TMP-POW1_2004TMP-POW0 2" xfId="13797"/>
    <cellStyle name="_인원계획표 _2003TMP-POWER_2003TMP-POW1_2004TMP-POW0_2004TMP-POW0" xfId="13798"/>
    <cellStyle name="_인원계획표 _2003TMP-POWER_2003TMP-POW1_2004TMP-POW0_2004TMP-POW0 2" xfId="13799"/>
    <cellStyle name="_인원계획표 _2003TMP-POWER_2003TMP-POW1_2004TMP-POW0_2004TMP-POW0_2004TMP-POW0" xfId="13800"/>
    <cellStyle name="_인원계획표 _2003TMP-POWER_2003TMP-POW1_2004TMP-POW0_2004TMP-POW0_2004TMP-POW0 2" xfId="13801"/>
    <cellStyle name="_인원계획표 _2003TMP-POWER_2003TMP-POW1_Book2" xfId="13802"/>
    <cellStyle name="_인원계획표 _2003TMP-POWER_2003TMP-POW1_Book2 2" xfId="13803"/>
    <cellStyle name="_인원계획표 _2003TMP-POWER_2003TMP-POW1_Book4" xfId="13804"/>
    <cellStyle name="_인원계획표 _2003TMP-POWER_2003TMP-POW1_Book4 2" xfId="13805"/>
    <cellStyle name="_인원계획표 _2003TMP-POWER_2004TMP-POW0" xfId="13806"/>
    <cellStyle name="_인원계획표 _2003TMP-POWER_2004TMP-POW0 2" xfId="13807"/>
    <cellStyle name="_인원계획표 _2003TMP-POWER_2004TMP-POW0_2004TMP-POW0" xfId="13808"/>
    <cellStyle name="_인원계획표 _2003TMP-POWER_2004TMP-POW0_2004TMP-POW0 2" xfId="13809"/>
    <cellStyle name="_인원계획표 _2003TMP-POWER_2004TMP-POW0_2004TMP-POW0_2004TMP-POW0" xfId="13810"/>
    <cellStyle name="_인원계획표 _2003TMP-POWER_2004TMP-POW0_2004TMP-POW0_2004TMP-POW0 2" xfId="13811"/>
    <cellStyle name="_인원계획표 _2003TMP-POWER_2004TMP-POW0_2004TMP-POW0_2004TMP-POW0_2004TMP-POW0" xfId="13812"/>
    <cellStyle name="_인원계획표 _2003TMP-POWER_2004TMP-POW0_2004TMP-POW0_2004TMP-POW0_2004TMP-POW0 2" xfId="13813"/>
    <cellStyle name="_인원계획표 _2003TMP-POWER_Book2" xfId="13814"/>
    <cellStyle name="_인원계획표 _2003TMP-POWER_Book2 2" xfId="13815"/>
    <cellStyle name="_인원계획표 _2003TMP-POWER_Book4" xfId="13816"/>
    <cellStyle name="_인원계획표 _2003TMP-POWER_Book4 2" xfId="13817"/>
    <cellStyle name="_인원계획표 _2004TMP-POW0" xfId="13818"/>
    <cellStyle name="_인원계획표 _2004TMP-POW0 2" xfId="13819"/>
    <cellStyle name="_인원계획표 _2004TMP-POW0_2004TMP-POW0" xfId="13820"/>
    <cellStyle name="_인원계획표 _2004TMP-POW0_2004TMP-POW0 2" xfId="13821"/>
    <cellStyle name="_인원계획표 _2004TMP-POW0_2004TMP-POW0_2004TMP-POW0" xfId="13822"/>
    <cellStyle name="_인원계획표 _2004TMP-POW0_2004TMP-POW0_2004TMP-POW0 2" xfId="13823"/>
    <cellStyle name="_인원계획표 _2007현황보고양식" xfId="13824"/>
    <cellStyle name="_인원계획표 _2007현황보고양식 2" xfId="13825"/>
    <cellStyle name="_인원계획표 _3-1(금강)-여의도 세우회관 철거공사" xfId="13826"/>
    <cellStyle name="_인원계획표 _3-1(금강)-여의도 세우회관 철거공사_24-1(동부)-두능-연곡 도로건설공사 중 기존교량철거" xfId="13827"/>
    <cellStyle name="_인원계획표 _3-1(금강)-여의도 세우회관 철거공사_견적1" xfId="13828"/>
    <cellStyle name="_인원계획표 _3-1(금강)-여의도 세우회관 철거공사_견적1_28-3-2 삼환-대한생명 63빌딩 현장 철거공사 (재노경)" xfId="13829"/>
    <cellStyle name="_인원계획표 _35호(기숙사)" xfId="13830"/>
    <cellStyle name="_인원계획표 _35호(기숙사) 2" xfId="13831"/>
    <cellStyle name="_인원계획표 _35호(기숙사)_53호견적최종" xfId="13832"/>
    <cellStyle name="_인원계획표 _35호(기숙사)_53호견적최종 2" xfId="13833"/>
    <cellStyle name="_인원계획표 _35호(기숙사)_R-0053" xfId="13834"/>
    <cellStyle name="_인원계획표 _35호(기숙사)_R-0053 2" xfId="13835"/>
    <cellStyle name="_인원계획표 _35호(기숙사)_R-0053ELEC대" xfId="13836"/>
    <cellStyle name="_인원계획표 _35호(기숙사)_R-0053ELEC대 2" xfId="13837"/>
    <cellStyle name="_인원계획표 _35호(기숙사)_R-0053SITE" xfId="13838"/>
    <cellStyle name="_인원계획표 _35호(기숙사)_R-0053SITE 2" xfId="13839"/>
    <cellStyle name="_인원계획표 _35호(기숙사)POO" xfId="13840"/>
    <cellStyle name="_인원계획표 _35호(기숙사)POO 2" xfId="13841"/>
    <cellStyle name="_인원계획표 _35호(기숙사)POO_53호견적최종" xfId="13842"/>
    <cellStyle name="_인원계획표 _35호(기숙사)POO_53호견적최종 2" xfId="13843"/>
    <cellStyle name="_인원계획표 _35호(기숙사)POO_R-0053" xfId="13844"/>
    <cellStyle name="_인원계획표 _35호(기숙사)POO_R-0053 2" xfId="13845"/>
    <cellStyle name="_인원계획표 _35호(기숙사)POO_R-0053ELEC대" xfId="13846"/>
    <cellStyle name="_인원계획표 _35호(기숙사)POO_R-0053ELEC대 2" xfId="13847"/>
    <cellStyle name="_인원계획표 _35호(기숙사)POO_R-0053SITE" xfId="13848"/>
    <cellStyle name="_인원계획표 _35호(기숙사)POO_R-0053SITE 2" xfId="13849"/>
    <cellStyle name="_인원계획표 _38고대리" xfId="13850"/>
    <cellStyle name="_인원계획표 _38고대리 2" xfId="13851"/>
    <cellStyle name="_인원계획표 _38고대리_53호견적최종" xfId="13852"/>
    <cellStyle name="_인원계획표 _38고대리_53호견적최종 2" xfId="13853"/>
    <cellStyle name="_인원계획표 _38고대리_R-0053" xfId="13854"/>
    <cellStyle name="_인원계획표 _38고대리_R-0053 2" xfId="13855"/>
    <cellStyle name="_인원계획표 _38고대리_R-0053ELEC대" xfId="13856"/>
    <cellStyle name="_인원계획표 _38고대리_R-0053ELEC대 2" xfId="13857"/>
    <cellStyle name="_인원계획표 _38고대리_R-0053SITE" xfId="13858"/>
    <cellStyle name="_인원계획표 _38고대리_R-0053SITE 2" xfId="13859"/>
    <cellStyle name="_인원계획표 _38호" xfId="13860"/>
    <cellStyle name="_인원계획표 _38호 2" xfId="13861"/>
    <cellStyle name="_인원계획표 _38호_53호견적최종" xfId="13862"/>
    <cellStyle name="_인원계획표 _38호_53호견적최종 2" xfId="13863"/>
    <cellStyle name="_인원계획표 _38호_R-0053" xfId="13864"/>
    <cellStyle name="_인원계획표 _38호_R-0053 2" xfId="13865"/>
    <cellStyle name="_인원계획표 _38호_R-0053ELEC대" xfId="13866"/>
    <cellStyle name="_인원계획표 _38호_R-0053ELEC대 2" xfId="13867"/>
    <cellStyle name="_인원계획표 _38호_R-0053SITE" xfId="13868"/>
    <cellStyle name="_인원계획표 _38호_R-0053SITE 2" xfId="13869"/>
    <cellStyle name="_인원계획표 _53호견적최종" xfId="13870"/>
    <cellStyle name="_인원계획표 _53호견적최종 2" xfId="13871"/>
    <cellStyle name="_인원계획표 _8-2(삼성)-김해공항 국제청 화물청사 세관창고철거" xfId="13872"/>
    <cellStyle name="_인원계획표 _8-2(삼성)-김해공항 국제청 화물청사 세관창고철거_24-1(동부)-두능-연곡 도로건설공사 중 기존교량철거" xfId="13873"/>
    <cellStyle name="_인원계획표 _8-2(삼성)-김해공항 국제청 화물청사 세관창고철거_견적1" xfId="13874"/>
    <cellStyle name="_인원계획표 _8-2(삼성)-김해공항 국제청 화물청사 세관창고철거_견적1_28-3-2 삼환-대한생명 63빌딩 현장 철거공사 (재노경)" xfId="13875"/>
    <cellStyle name="_인원계획표 _B-2-b(1).부대입찰 공내역" xfId="13876"/>
    <cellStyle name="_인원계획표 _B-2-b(1).부대입찰 공내역 2" xfId="13877"/>
    <cellStyle name="_인원계획표 _Book1" xfId="13878"/>
    <cellStyle name="_인원계획표 _Book1 2" xfId="13879"/>
    <cellStyle name="_인원계획표 _Book1_내역서(최초)" xfId="13880"/>
    <cellStyle name="_인원계획표 _Book1_내역서(최초) 2" xfId="13881"/>
    <cellStyle name="_인원계획표 _Book1_설계내역서" xfId="13882"/>
    <cellStyle name="_인원계획표 _Book1_설계내역서 2" xfId="13883"/>
    <cellStyle name="_인원계획표 _Book1_설계내역서(2차)" xfId="13884"/>
    <cellStyle name="_인원계획표 _Book1_설계내역서(2차) 2" xfId="13885"/>
    <cellStyle name="_인원계획표 _Book2" xfId="13886"/>
    <cellStyle name="_인원계획표 _Book2 2" xfId="13887"/>
    <cellStyle name="_인원계획표 _Book2_Book2" xfId="13888"/>
    <cellStyle name="_인원계획표 _Book2_Book2 2" xfId="13889"/>
    <cellStyle name="_인원계획표 _Book2_Book4" xfId="13890"/>
    <cellStyle name="_인원계획표 _Book2_Book4 2" xfId="13891"/>
    <cellStyle name="_인원계획표 _IMSI-POW1" xfId="13892"/>
    <cellStyle name="_인원계획표 _IMSI-POW1 2" xfId="13893"/>
    <cellStyle name="_인원계획표 _IMSI-POW1_서초풍림아이원플러스(0723)(2)" xfId="13894"/>
    <cellStyle name="_인원계획표 _IMSI-POW1_서초풍림아이원플러스(0723)(2) 2" xfId="13895"/>
    <cellStyle name="_인원계획표 _IMSI-POW1_파주시금촌(2)지구C2BL풍림APT(1001)-공" xfId="13896"/>
    <cellStyle name="_인원계획표 _IMSI-POW1_파주시금촌(2)지구C2BL풍림APT(1001)-공 2" xfId="13897"/>
    <cellStyle name="_인원계획표 _nafkp5-02-r-0014" xfId="13898"/>
    <cellStyle name="_인원계획표 _nafkp5-02-r-0014 2" xfId="13899"/>
    <cellStyle name="_인원계획표 _nafkp5-02-r-0014_53호견적최종" xfId="13900"/>
    <cellStyle name="_인원계획표 _nafkp5-02-r-0014_53호견적최종 2" xfId="13901"/>
    <cellStyle name="_인원계획표 _nafkp5-02-r-0014_R-0053" xfId="13902"/>
    <cellStyle name="_인원계획표 _nafkp5-02-r-0014_R-0053 2" xfId="13903"/>
    <cellStyle name="_인원계획표 _nafkp5-02-r-0014_R-0053ELEC대" xfId="13904"/>
    <cellStyle name="_인원계획표 _nafkp5-02-r-0014_R-0053ELEC대 2" xfId="13905"/>
    <cellStyle name="_인원계획표 _nafkp5-02-r-0014_R-0053SITE" xfId="13906"/>
    <cellStyle name="_인원계획표 _nafkp5-02-r-0014_R-0053SITE 2" xfId="13907"/>
    <cellStyle name="_인원계획표 _P-(현리-신팔)" xfId="13908"/>
    <cellStyle name="_인원계획표 _P-(현리-신팔) 2" xfId="13909"/>
    <cellStyle name="_인원계획표 _P-(현리-신팔)_내역서(최초)" xfId="13910"/>
    <cellStyle name="_인원계획표 _P-(현리-신팔)_내역서(최초) 2" xfId="13911"/>
    <cellStyle name="_인원계획표 _P-(현리-신팔)_설계내역서" xfId="13912"/>
    <cellStyle name="_인원계획표 _P-(현리-신팔)_설계내역서 2" xfId="13913"/>
    <cellStyle name="_인원계획표 _P-(현리-신팔)_설계내역서(2차)" xfId="13914"/>
    <cellStyle name="_인원계획표 _P-(현리-신팔)_설계내역서(2차) 2" xfId="13915"/>
    <cellStyle name="_인원계획표 _p-하남강일1" xfId="13916"/>
    <cellStyle name="_인원계획표 _p-하남강일1 2" xfId="13917"/>
    <cellStyle name="_인원계획표 _p-하남강일1_내역서(최초)" xfId="13918"/>
    <cellStyle name="_인원계획표 _p-하남강일1_내역서(최초) 2" xfId="13919"/>
    <cellStyle name="_인원계획표 _p-하남강일1_설계내역서" xfId="13920"/>
    <cellStyle name="_인원계획표 _p-하남강일1_설계내역서 2" xfId="13921"/>
    <cellStyle name="_인원계획표 _p-하남강일1_설계내역서(2차)" xfId="13922"/>
    <cellStyle name="_인원계획표 _p-하남강일1_설계내역서(2차) 2" xfId="13923"/>
    <cellStyle name="_인원계획표 _R0003CostBD원본261" xfId="13960"/>
    <cellStyle name="_인원계획표 _R0003CostBD원본261 2" xfId="13961"/>
    <cellStyle name="_인원계획표 _R0003CostBD원본261_53호견적최종" xfId="13962"/>
    <cellStyle name="_인원계획표 _R0003CostBD원본261_53호견적최종 2" xfId="13963"/>
    <cellStyle name="_인원계획표 _R0003CostBD원본261_R-0053" xfId="13964"/>
    <cellStyle name="_인원계획표 _R0003CostBD원본261_R-0053 2" xfId="13965"/>
    <cellStyle name="_인원계획표 _R0003CostBD원본261_R-0053ELEC대" xfId="13966"/>
    <cellStyle name="_인원계획표 _R0003CostBD원본261_R-0053ELEC대 2" xfId="13967"/>
    <cellStyle name="_인원계획표 _R0003CostBD원본261_R-0053SITE" xfId="13968"/>
    <cellStyle name="_인원계획표 _R0003CostBD원본261_R-0053SITE 2" xfId="13969"/>
    <cellStyle name="_인원계획표 _R-0003입찰내역" xfId="13924"/>
    <cellStyle name="_인원계획표 _R-0003입찰내역 2" xfId="13925"/>
    <cellStyle name="_인원계획표 _R-0003입찰내역_53호견적최종" xfId="13926"/>
    <cellStyle name="_인원계획표 _R-0003입찰내역_53호견적최종 2" xfId="13927"/>
    <cellStyle name="_인원계획표 _R-0003입찰내역_R-0053" xfId="13928"/>
    <cellStyle name="_인원계획표 _R-0003입찰내역_R-0053 2" xfId="13929"/>
    <cellStyle name="_인원계획표 _R-0003입찰내역_R-0053ELEC대" xfId="13930"/>
    <cellStyle name="_인원계획표 _R-0003입찰내역_R-0053ELEC대 2" xfId="13931"/>
    <cellStyle name="_인원계획표 _R-0003입찰내역_R-0053SITE" xfId="13932"/>
    <cellStyle name="_인원계획표 _R-0003입찰내역_R-0053SITE 2" xfId="13933"/>
    <cellStyle name="_인원계획표 _R0038CostBD(version2)" xfId="13970"/>
    <cellStyle name="_인원계획표 _R0038CostBD(version2) 2" xfId="13971"/>
    <cellStyle name="_인원계획표 _R0038CostBD(version2)_53호견적최종" xfId="13972"/>
    <cellStyle name="_인원계획표 _R0038CostBD(version2)_53호견적최종 2" xfId="13973"/>
    <cellStyle name="_인원계획표 _R0038CostBD(version2)_R-0053" xfId="13974"/>
    <cellStyle name="_인원계획표 _R0038CostBD(version2)_R-0053 2" xfId="13975"/>
    <cellStyle name="_인원계획표 _R0038CostBD(version2)_R-0053ELEC대" xfId="13976"/>
    <cellStyle name="_인원계획표 _R0038CostBD(version2)_R-0053ELEC대 2" xfId="13977"/>
    <cellStyle name="_인원계획표 _R0038CostBD(version2)_R-0053SITE" xfId="13978"/>
    <cellStyle name="_인원계획표 _R0038CostBD(version2)_R-0053SITE 2" xfId="13979"/>
    <cellStyle name="_인원계획표 _R0038CostBD(화인)" xfId="13980"/>
    <cellStyle name="_인원계획표 _R0038CostBD(화인) 2" xfId="13981"/>
    <cellStyle name="_인원계획표 _R0038CostBD(화인)_53호견적최종" xfId="13982"/>
    <cellStyle name="_인원계획표 _R0038CostBD(화인)_53호견적최종 2" xfId="13983"/>
    <cellStyle name="_인원계획표 _R0038CostBD(화인)_R-0053" xfId="13984"/>
    <cellStyle name="_인원계획표 _R0038CostBD(화인)_R-0053 2" xfId="13985"/>
    <cellStyle name="_인원계획표 _R0038CostBD(화인)_R-0053ELEC대" xfId="13986"/>
    <cellStyle name="_인원계획표 _R0038CostBD(화인)_R-0053ELEC대 2" xfId="13987"/>
    <cellStyle name="_인원계획표 _R0038CostBD(화인)_R-0053SITE" xfId="13988"/>
    <cellStyle name="_인원계획표 _R0038CostBD(화인)_R-0053SITE 2" xfId="13989"/>
    <cellStyle name="_인원계획표 _R-0053" xfId="13934"/>
    <cellStyle name="_인원계획표 _R-0053 2" xfId="13935"/>
    <cellStyle name="_인원계획표 _R0053CostBD-건축-김이사님" xfId="13990"/>
    <cellStyle name="_인원계획표 _R0053CostBD-건축-김이사님 2" xfId="13991"/>
    <cellStyle name="_인원계획표 _R0053CostBD-건축-김이사님_53호견적최종" xfId="13992"/>
    <cellStyle name="_인원계획표 _R0053CostBD-건축-김이사님_53호견적최종 2" xfId="13993"/>
    <cellStyle name="_인원계획표 _R0053CostBD-건축-김이사님_R-0053" xfId="13994"/>
    <cellStyle name="_인원계획표 _R0053CostBD-건축-김이사님_R-0053 2" xfId="13995"/>
    <cellStyle name="_인원계획표 _R0053CostBD-건축-김이사님_R-0053ELEC대" xfId="13996"/>
    <cellStyle name="_인원계획표 _R0053CostBD-건축-김이사님_R-0053ELEC대 2" xfId="13997"/>
    <cellStyle name="_인원계획표 _R0053CostBD-건축-김이사님_R-0053SITE" xfId="13998"/>
    <cellStyle name="_인원계획표 _R0053CostBD-건축-김이사님_R-0053SITE 2" xfId="13999"/>
    <cellStyle name="_인원계획표 _R-0053ELEC대" xfId="13936"/>
    <cellStyle name="_인원계획표 _R-0053ELEC대 2" xfId="13937"/>
    <cellStyle name="_인원계획표 _R-0053SITE" xfId="13938"/>
    <cellStyle name="_인원계획표 _R-0053SITE 2" xfId="13939"/>
    <cellStyle name="_인원계획표 _R-0053건축" xfId="13940"/>
    <cellStyle name="_인원계획표 _R-0053건축 2" xfId="13941"/>
    <cellStyle name="_인원계획표 _R-0053건축_53호견적최종" xfId="13942"/>
    <cellStyle name="_인원계획표 _R-0053건축_53호견적최종 2" xfId="13943"/>
    <cellStyle name="_인원계획표 _R-0053건축_R-0053" xfId="13944"/>
    <cellStyle name="_인원계획표 _R-0053건축_R-0053 2" xfId="13945"/>
    <cellStyle name="_인원계획표 _R-0053건축_R-0053ELEC대" xfId="13946"/>
    <cellStyle name="_인원계획표 _R-0053건축_R-0053ELEC대 2" xfId="13947"/>
    <cellStyle name="_인원계획표 _R-0053건축_R-0053SITE" xfId="13948"/>
    <cellStyle name="_인원계획표 _R-0053건축_R-0053SITE 2" xfId="13949"/>
    <cellStyle name="_인원계획표 _R-0053입찰내역" xfId="13950"/>
    <cellStyle name="_인원계획표 _R-0053입찰내역 2" xfId="13951"/>
    <cellStyle name="_인원계획표 _R-0053입찰내역_53호견적최종" xfId="13952"/>
    <cellStyle name="_인원계획표 _R-0053입찰내역_53호견적최종 2" xfId="13953"/>
    <cellStyle name="_인원계획표 _R-0053입찰내역_R-0053" xfId="13954"/>
    <cellStyle name="_인원계획표 _R-0053입찰내역_R-0053 2" xfId="13955"/>
    <cellStyle name="_인원계획표 _R-0053입찰내역_R-0053ELEC대" xfId="13956"/>
    <cellStyle name="_인원계획표 _R-0053입찰내역_R-0053ELEC대 2" xfId="13957"/>
    <cellStyle name="_인원계획표 _R-0053입찰내역_R-0053SITE" xfId="13958"/>
    <cellStyle name="_인원계획표 _R-0053입찰내역_R-0053SITE 2" xfId="13959"/>
    <cellStyle name="_인원계획표 _TMP-POW1" xfId="14000"/>
    <cellStyle name="_인원계획표 _TMP-POW1 2" xfId="14001"/>
    <cellStyle name="_인원계획표 _TMP-POW1_서초풍림아이원플러스(0723)(2)" xfId="14002"/>
    <cellStyle name="_인원계획표 _TMP-POW1_서초풍림아이원플러스(0723)(2) 2" xfId="14003"/>
    <cellStyle name="_인원계획표 _TMP-POW1_파주시금촌(2)지구C2BL풍림APT(1001)-공" xfId="14004"/>
    <cellStyle name="_인원계획표 _TMP-POW1_파주시금촌(2)지구C2BL풍림APT(1001)-공 2" xfId="14005"/>
    <cellStyle name="_인원계획표 _TMP-POW2" xfId="14006"/>
    <cellStyle name="_인원계획표 _TMP-POW2 2" xfId="14007"/>
    <cellStyle name="_인원계획표 _TMP-POW2_서초풍림아이원플러스(0723)(2)" xfId="14008"/>
    <cellStyle name="_인원계획표 _TMP-POW2_서초풍림아이원플러스(0723)(2) 2" xfId="14009"/>
    <cellStyle name="_인원계획표 _TMP-POW2_파주시금촌(2)지구C2BL풍림APT(1001)-공" xfId="14010"/>
    <cellStyle name="_인원계획표 _TMP-POW2_파주시금촌(2)지구C2BL풍림APT(1001)-공 2" xfId="14011"/>
    <cellStyle name="_인원계획표 _V-M-0001AB1216" xfId="14012"/>
    <cellStyle name="_인원계획표 _V-M-0001AB1216 2" xfId="14013"/>
    <cellStyle name="_인원계획표 _V-M-0001AB1216_53호견적최종" xfId="14014"/>
    <cellStyle name="_인원계획표 _V-M-0001AB1216_53호견적최종 2" xfId="14015"/>
    <cellStyle name="_인원계획표 _V-M-0001AB1216_R-0053" xfId="14016"/>
    <cellStyle name="_인원계획표 _V-M-0001AB1216_R-0053 2" xfId="14017"/>
    <cellStyle name="_인원계획표 _V-M-0001AB1216_R-0053ELEC대" xfId="14018"/>
    <cellStyle name="_인원계획표 _V-M-0001AB1216_R-0053ELEC대 2" xfId="14019"/>
    <cellStyle name="_인원계획표 _V-M-0001AB1216_R-0053SITE" xfId="14020"/>
    <cellStyle name="_인원계획표 _V-M-0001AB1216_R-0053SITE 2" xfId="14021"/>
    <cellStyle name="_인원계획표 _V-M-0001AC1217" xfId="14022"/>
    <cellStyle name="_인원계획표 _V-M-0001AC1217 2" xfId="14023"/>
    <cellStyle name="_인원계획표 _V-M-0001AC1217_53호견적최종" xfId="14024"/>
    <cellStyle name="_인원계획표 _V-M-0001AC1217_53호견적최종 2" xfId="14025"/>
    <cellStyle name="_인원계획표 _V-M-0001AC1217_R-0053" xfId="14026"/>
    <cellStyle name="_인원계획표 _V-M-0001AC1217_R-0053 2" xfId="14027"/>
    <cellStyle name="_인원계획표 _V-M-0001AC1217_R-0053ELEC대" xfId="14028"/>
    <cellStyle name="_인원계획표 _V-M-0001AC1217_R-0053ELEC대 2" xfId="14029"/>
    <cellStyle name="_인원계획표 _V-M-0001AC1217_R-0053SITE" xfId="14030"/>
    <cellStyle name="_인원계획표 _V-M-0001AC1217_R-0053SITE 2" xfId="14031"/>
    <cellStyle name="_인원계획표 _V-M-0001AD2460" xfId="14032"/>
    <cellStyle name="_인원계획표 _V-M-0001AD2460 2" xfId="14033"/>
    <cellStyle name="_인원계획표 _V-M-0001AD2460_53호견적최종" xfId="14034"/>
    <cellStyle name="_인원계획표 _V-M-0001AD2460_53호견적최종 2" xfId="14035"/>
    <cellStyle name="_인원계획표 _V-M-0001AD2460_R-0053" xfId="14036"/>
    <cellStyle name="_인원계획표 _V-M-0001AD2460_R-0053 2" xfId="14037"/>
    <cellStyle name="_인원계획표 _V-M-0001AD2460_R-0053ELEC대" xfId="14038"/>
    <cellStyle name="_인원계획표 _V-M-0001AD2460_R-0053ELEC대 2" xfId="14039"/>
    <cellStyle name="_인원계획표 _V-M-0001AD2460_R-0053SITE" xfId="14040"/>
    <cellStyle name="_인원계획표 _V-M-0001AD2460_R-0053SITE 2" xfId="14041"/>
    <cellStyle name="_인원계획표 _V-M-0001AE RENOVATE BLDG1216" xfId="14042"/>
    <cellStyle name="_인원계획표 _V-M-0001AE RENOVATE BLDG1216 2" xfId="14043"/>
    <cellStyle name="_인원계획표 _V-M-0001AE RENOVATE BLDG1216_53호견적최종" xfId="14044"/>
    <cellStyle name="_인원계획표 _V-M-0001AE RENOVATE BLDG1216_53호견적최종 2" xfId="14045"/>
    <cellStyle name="_인원계획표 _V-M-0001AE RENOVATE BLDG1216_R-0053" xfId="14046"/>
    <cellStyle name="_인원계획표 _V-M-0001AE RENOVATE BLDG1216_R-0053 2" xfId="14047"/>
    <cellStyle name="_인원계획표 _V-M-0001AE RENOVATE BLDG1216_R-0053ELEC대" xfId="14048"/>
    <cellStyle name="_인원계획표 _V-M-0001AE RENOVATE BLDG1216_R-0053ELEC대 2" xfId="14049"/>
    <cellStyle name="_인원계획표 _V-M-0001AE RENOVATE BLDG1216_R-0053SITE" xfId="14050"/>
    <cellStyle name="_인원계획표 _V-M-0001AE RENOVATE BLDG1216_R-0053SITE 2" xfId="14051"/>
    <cellStyle name="_인원계획표 _V-M-0002" xfId="14052"/>
    <cellStyle name="_인원계획표 _V-M-0002 2" xfId="14053"/>
    <cellStyle name="_인원계획표 _V-M-0002_53호견적최종" xfId="14054"/>
    <cellStyle name="_인원계획표 _V-M-0002_53호견적최종 2" xfId="14055"/>
    <cellStyle name="_인원계획표 _V-M-0002_R-0053" xfId="14056"/>
    <cellStyle name="_인원계획표 _V-M-0002_R-0053 2" xfId="14057"/>
    <cellStyle name="_인원계획표 _V-M-0002_R-0053ELEC대" xfId="14058"/>
    <cellStyle name="_인원계획표 _V-M-0002_R-0053ELEC대 2" xfId="14059"/>
    <cellStyle name="_인원계획표 _V-M-0002_R-0053SITE" xfId="14060"/>
    <cellStyle name="_인원계획표 _V-M-0002_R-0053SITE 2" xfId="14061"/>
    <cellStyle name="_인원계획표 _V-M-0004" xfId="14062"/>
    <cellStyle name="_인원계획표 _V-M-0004 2" xfId="14063"/>
    <cellStyle name="_인원계획표 _V-M-0004_53호견적최종" xfId="14064"/>
    <cellStyle name="_인원계획표 _V-M-0004_53호견적최종 2" xfId="14065"/>
    <cellStyle name="_인원계획표 _V-M-0004_R-0053" xfId="14066"/>
    <cellStyle name="_인원계획표 _V-M-0004_R-0053 2" xfId="14067"/>
    <cellStyle name="_인원계획표 _V-M-0004_R-0053ELEC대" xfId="14068"/>
    <cellStyle name="_인원계획표 _V-M-0004_R-0053ELEC대 2" xfId="14069"/>
    <cellStyle name="_인원계획표 _V-M-0004_R-0053SITE" xfId="14070"/>
    <cellStyle name="_인원계획표 _V-M-0004_R-0053SITE 2" xfId="14071"/>
    <cellStyle name="_인원계획표 _V-M-0005" xfId="14072"/>
    <cellStyle name="_인원계획표 _V-M-0005 2" xfId="14073"/>
    <cellStyle name="_인원계획표 _V-M-0005_53호견적최종" xfId="14074"/>
    <cellStyle name="_인원계획표 _V-M-0005_53호견적최종 2" xfId="14075"/>
    <cellStyle name="_인원계획표 _V-M-0005_R-0053" xfId="14076"/>
    <cellStyle name="_인원계획표 _V-M-0005_R-0053 2" xfId="14077"/>
    <cellStyle name="_인원계획표 _V-M-0005_R-0053ELEC대" xfId="14078"/>
    <cellStyle name="_인원계획표 _V-M-0005_R-0053ELEC대 2" xfId="14079"/>
    <cellStyle name="_인원계획표 _V-M-0005_R-0053SITE" xfId="14080"/>
    <cellStyle name="_인원계획표 _V-M-0005_R-0053SITE 2" xfId="14081"/>
    <cellStyle name="_인원계획표 _V-O-0007" xfId="14082"/>
    <cellStyle name="_인원계획표 _V-O-0007 2" xfId="14083"/>
    <cellStyle name="_인원계획표 _V-O-0007_53호견적최종" xfId="14084"/>
    <cellStyle name="_인원계획표 _V-O-0007_53호견적최종 2" xfId="14085"/>
    <cellStyle name="_인원계획표 _V-O-0007_R-0053" xfId="14086"/>
    <cellStyle name="_인원계획표 _V-O-0007_R-0053 2" xfId="14087"/>
    <cellStyle name="_인원계획표 _V-O-0007_R-0053ELEC대" xfId="14088"/>
    <cellStyle name="_인원계획표 _V-O-0007_R-0053ELEC대 2" xfId="14089"/>
    <cellStyle name="_인원계획표 _V-O-0007_R-0053SITE" xfId="14090"/>
    <cellStyle name="_인원계획표 _V-O-0007_R-0053SITE 2" xfId="14091"/>
    <cellStyle name="_인원계획표 _V-O-0009" xfId="14092"/>
    <cellStyle name="_인원계획표 _V-O-0009 2" xfId="14093"/>
    <cellStyle name="_인원계획표 _V-O-0009_53호견적최종" xfId="14094"/>
    <cellStyle name="_인원계획표 _V-O-0009_53호견적최종 2" xfId="14095"/>
    <cellStyle name="_인원계획표 _V-O-0009_R-0053" xfId="14096"/>
    <cellStyle name="_인원계획표 _V-O-0009_R-0053 2" xfId="14097"/>
    <cellStyle name="_인원계획표 _V-O-0009_R-0053ELEC대" xfId="14098"/>
    <cellStyle name="_인원계획표 _V-O-0009_R-0053ELEC대 2" xfId="14099"/>
    <cellStyle name="_인원계획표 _V-O-0009_R-0053SITE" xfId="14100"/>
    <cellStyle name="_인원계획표 _V-O-0009_R-0053SITE 2" xfId="14101"/>
    <cellStyle name="_인원계획표 _가구공사" xfId="14102"/>
    <cellStyle name="_인원계획표 _가구공사 2" xfId="14103"/>
    <cellStyle name="_인원계획표 _가구공사_2007현황보고양식" xfId="14104"/>
    <cellStyle name="_인원계획표 _가구공사_2007현황보고양식 2" xfId="14105"/>
    <cellStyle name="_인원계획표 _가구공사_두산산업개발 입찰견적" xfId="14106"/>
    <cellStyle name="_인원계획표 _가구공사_두산산업개발 입찰견적 2" xfId="14107"/>
    <cellStyle name="_인원계획표 _가구공사_두산중공업 입찰견적" xfId="14108"/>
    <cellStyle name="_인원계획표 _가구공사_두산중공업 입찰견적 2" xfId="14109"/>
    <cellStyle name="_인원계획표 _가구공사_추가일위대가표 총괄" xfId="14110"/>
    <cellStyle name="_인원계획표 _가구공사_추가일위대가표 총괄 2" xfId="14111"/>
    <cellStyle name="_인원계획표 _가구공사_현대건설 대구대천" xfId="14112"/>
    <cellStyle name="_인원계획표 _가구공사_현대건설 대구대천 2" xfId="14113"/>
    <cellStyle name="_인원계획표 _검암2차사전공사(본사검토) " xfId="14114"/>
    <cellStyle name="_인원계획표 _검암2차사전공사(본사검토)  2" xfId="14115"/>
    <cellStyle name="_인원계획표 _검암2차사전공사(본사검토)  2 2" xfId="14116"/>
    <cellStyle name="_인원계획표 _검암2차사전공사(본사검토)  3" xfId="14117"/>
    <cellStyle name="_인원계획표 _검암2차사전공사(본사검토)  3 2" xfId="14118"/>
    <cellStyle name="_인원계획표 _검암2차사전공사(본사검토)  4" xfId="14119"/>
    <cellStyle name="_인원계획표 _검암2차사전공사(본사검토)  4 2" xfId="14120"/>
    <cellStyle name="_인원계획표 _검암2차사전공사(본사검토)  5" xfId="14121"/>
    <cellStyle name="_인원계획표 _검암2차사전공사(본사검토)  5 2" xfId="14122"/>
    <cellStyle name="_인원계획표 _검암2차사전공사(본사검토)  6" xfId="14123"/>
    <cellStyle name="_인원계획표 _검암2차사전공사(본사검토)  6 2" xfId="14124"/>
    <cellStyle name="_인원계획표 _검암2차사전공사(본사검토)  7" xfId="14125"/>
    <cellStyle name="_인원계획표 _검암2차사전공사(본사검토)  7 2" xfId="14126"/>
    <cellStyle name="_인원계획표 _검암2차사전공사(본사검토)  8" xfId="14127"/>
    <cellStyle name="_인원계획표 _검암2차사전공사(본사검토) _Book2" xfId="14128"/>
    <cellStyle name="_인원계획표 _검암2차사전공사(본사검토) _Book2 2" xfId="14129"/>
    <cellStyle name="_인원계획표 _검암2차사전공사(본사검토) _Book4" xfId="14130"/>
    <cellStyle name="_인원계획표 _검암2차사전공사(본사검토) _Book4 2" xfId="14131"/>
    <cellStyle name="_인원계획표 _견적1" xfId="14132"/>
    <cellStyle name="_인원계획표 _견적1_28-3-2 삼환-대한생명 63빌딩 현장 철거공사 (재노경)" xfId="14133"/>
    <cellStyle name="_인원계획표 _견적서" xfId="14134"/>
    <cellStyle name="_인원계획표 _견적서_24-1(동부)-두능-연곡 도로건설공사 중 기존교량철거" xfId="14135"/>
    <cellStyle name="_인원계획표 _견적서_견적1" xfId="14136"/>
    <cellStyle name="_인원계획표 _견적서_견적1_28-3-2 삼환-대한생명 63빌딩 현장 철거공사 (재노경)" xfId="14137"/>
    <cellStyle name="_인원계획표 _공내역서" xfId="14138"/>
    <cellStyle name="_인원계획표 _공내역서 2" xfId="14139"/>
    <cellStyle name="_인원계획표 _공내역서_사본 - ☆태평동  도급내역" xfId="14272"/>
    <cellStyle name="_인원계획표 _공내역서_사본 - ☆태평동  도급내역 2" xfId="14273"/>
    <cellStyle name="_인원계획표 _공내역서_성남태평동설비공사" xfId="14274"/>
    <cellStyle name="_인원계획표 _공내역서_성남태평동설비공사 2" xfId="14275"/>
    <cellStyle name="_인원계획표 _공내역서_수원율전 실행내역" xfId="14276"/>
    <cellStyle name="_인원계획표 _공내역서_수원율전 실행내역 2" xfId="14277"/>
    <cellStyle name="_인원계획표 _공내역서_수원율전 실행내역 검토안" xfId="14278"/>
    <cellStyle name="_인원계획표 _공내역서_수원율전 실행내역 검토안 2" xfId="14279"/>
    <cellStyle name="_인원계획표 _공내역서_수원율전 실행내역 검토안_사본 - ☆태평동  도급내역" xfId="14280"/>
    <cellStyle name="_인원계획표 _공내역서_수원율전 실행내역 검토안_사본 - ☆태평동  도급내역 2" xfId="14281"/>
    <cellStyle name="_인원계획표 _공내역서_수원율전 실행내역 검토안_성남태평동설비공사" xfId="14282"/>
    <cellStyle name="_인원계획표 _공내역서_수원율전 실행내역 검토안_성남태평동설비공사 2" xfId="14283"/>
    <cellStyle name="_인원계획표 _공내역서_수원율전 실행내역 검토안_수원율전 실행내역" xfId="14284"/>
    <cellStyle name="_인원계획표 _공내역서_수원율전 실행내역 검토안_수원율전 실행내역 2" xfId="14285"/>
    <cellStyle name="_인원계획표 _공내역서_수원율전 실행내역 검토안_수원율전 실행내역 검토안" xfId="14286"/>
    <cellStyle name="_인원계획표 _공내역서_수원율전 실행내역 검토안_수원율전 실행내역 검토안 2" xfId="14287"/>
    <cellStyle name="_인원계획표 _공내역서_수원율전 실행내역 검토안_수원율전 실행내역 검토안_사본 - ☆태평동  도급내역" xfId="14288"/>
    <cellStyle name="_인원계획표 _공내역서_수원율전 실행내역 검토안_수원율전 실행내역 검토안_사본 - ☆태평동  도급내역 2" xfId="14289"/>
    <cellStyle name="_인원계획표 _공내역서_수원율전 실행내역 검토안_수원율전 실행내역 검토안_성남태평동설비공사" xfId="14290"/>
    <cellStyle name="_인원계획표 _공내역서_수원율전 실행내역 검토안_수원율전 실행내역 검토안_성남태평동설비공사 2" xfId="14291"/>
    <cellStyle name="_인원계획표 _공내역서_수원율전 실행내역 검토안_수원율전 실행내역 검토안_수정구 태평동 주상복합 실행내역 검토안" xfId="14292"/>
    <cellStyle name="_인원계획표 _공내역서_수원율전 실행내역 검토안_수원율전 실행내역 검토안_수정구 태평동 주상복합 실행내역 검토안 2" xfId="14293"/>
    <cellStyle name="_인원계획표 _공내역서_수원율전 실행내역 검토안_수원율전 실행내역 검토안_태평동 실행내역서" xfId="14294"/>
    <cellStyle name="_인원계획표 _공내역서_수원율전 실행내역 검토안_수원율전 실행내역 검토안_태평동 실행내역서 2" xfId="14295"/>
    <cellStyle name="_인원계획표 _공내역서_수원율전 실행내역 검토안_수원율전 실행내역 검토안_태평동도급내역(Rev.2)-12.26" xfId="14296"/>
    <cellStyle name="_인원계획표 _공내역서_수원율전 실행내역 검토안_수원율전 실행내역 검토안_태평동도급내역(Rev.2)-12.26 2" xfId="14297"/>
    <cellStyle name="_인원계획표 _공내역서_수원율전 실행내역 검토안_수정구 태평동 주상복합 실행내역 검토안" xfId="14298"/>
    <cellStyle name="_인원계획표 _공내역서_수원율전 실행내역 검토안_수정구 태평동 주상복합 실행내역 검토안 2" xfId="14299"/>
    <cellStyle name="_인원계획표 _공내역서_수원율전 실행내역 검토안_태평동 실행내역서" xfId="14300"/>
    <cellStyle name="_인원계획표 _공내역서_수원율전 실행내역 검토안_태평동 실행내역서 2" xfId="14301"/>
    <cellStyle name="_인원계획표 _공내역서_수원율전 실행내역 검토안_태평동도급내역(Rev.2)-12.26" xfId="14302"/>
    <cellStyle name="_인원계획표 _공내역서_수원율전 실행내역 검토안_태평동도급내역(Rev.2)-12.26 2" xfId="14303"/>
    <cellStyle name="_인원계획표 _공내역서_수원율전조합" xfId="14304"/>
    <cellStyle name="_인원계획표 _공내역서_수원율전조합 2" xfId="14305"/>
    <cellStyle name="_인원계획표 _공내역서_수원율전조합_사본 - ☆태평동  도급내역" xfId="14306"/>
    <cellStyle name="_인원계획표 _공내역서_수원율전조합_사본 - ☆태평동  도급내역 2" xfId="14307"/>
    <cellStyle name="_인원계획표 _공내역서_수원율전조합_성남태평동설비공사" xfId="14308"/>
    <cellStyle name="_인원계획표 _공내역서_수원율전조합_성남태평동설비공사 2" xfId="14309"/>
    <cellStyle name="_인원계획표 _공내역서_수원율전조합_수원율전 실행내역" xfId="14310"/>
    <cellStyle name="_인원계획표 _공내역서_수원율전조합_수원율전 실행내역 2" xfId="14311"/>
    <cellStyle name="_인원계획표 _공내역서_수원율전조합_수원율전 실행내역 검토안" xfId="14312"/>
    <cellStyle name="_인원계획표 _공내역서_수원율전조합_수원율전 실행내역 검토안 2" xfId="14313"/>
    <cellStyle name="_인원계획표 _공내역서_수원율전조합_수원율전 실행내역 검토안_사본 - ☆태평동  도급내역" xfId="14314"/>
    <cellStyle name="_인원계획표 _공내역서_수원율전조합_수원율전 실행내역 검토안_사본 - ☆태평동  도급내역 2" xfId="14315"/>
    <cellStyle name="_인원계획표 _공내역서_수원율전조합_수원율전 실행내역 검토안_성남태평동설비공사" xfId="14316"/>
    <cellStyle name="_인원계획표 _공내역서_수원율전조합_수원율전 실행내역 검토안_성남태평동설비공사 2" xfId="14317"/>
    <cellStyle name="_인원계획표 _공내역서_수원율전조합_수원율전 실행내역 검토안_수정구 태평동 주상복합 실행내역 검토안" xfId="14318"/>
    <cellStyle name="_인원계획표 _공내역서_수원율전조합_수원율전 실행내역 검토안_수정구 태평동 주상복합 실행내역 검토안 2" xfId="14319"/>
    <cellStyle name="_인원계획표 _공내역서_수원율전조합_수원율전 실행내역 검토안_태평동 실행내역서" xfId="14320"/>
    <cellStyle name="_인원계획표 _공내역서_수원율전조합_수원율전 실행내역 검토안_태평동 실행내역서 2" xfId="14321"/>
    <cellStyle name="_인원계획표 _공내역서_수원율전조합_수원율전 실행내역 검토안_태평동도급내역(Rev.2)-12.26" xfId="14322"/>
    <cellStyle name="_인원계획표 _공내역서_수원율전조합_수원율전 실행내역 검토안_태평동도급내역(Rev.2)-12.26 2" xfId="14323"/>
    <cellStyle name="_인원계획표 _공내역서_수원율전조합_수정구 태평동 주상복합 실행내역 검토안" xfId="14324"/>
    <cellStyle name="_인원계획표 _공내역서_수원율전조합_수정구 태평동 주상복합 실행내역 검토안 2" xfId="14325"/>
    <cellStyle name="_인원계획표 _공내역서_수원율전조합_태평동 실행내역서" xfId="14326"/>
    <cellStyle name="_인원계획표 _공내역서_수원율전조합_태평동 실행내역서 2" xfId="14327"/>
    <cellStyle name="_인원계획표 _공내역서_수원율전조합_태평동도급내역(Rev.2)-12.26" xfId="14328"/>
    <cellStyle name="_인원계획표 _공내역서_수원율전조합_태평동도급내역(Rev.2)-12.26 2" xfId="14329"/>
    <cellStyle name="_인원계획표 _공내역서_수정구 태평동 주상복합 실행내역 검토안" xfId="14330"/>
    <cellStyle name="_인원계획표 _공내역서_수정구 태평동 주상복합 실행내역 검토안 2" xfId="14331"/>
    <cellStyle name="_인원계획표 _공내역서_태평동 실행내역서" xfId="14332"/>
    <cellStyle name="_인원계획표 _공내역서_태평동 실행내역서 2" xfId="14333"/>
    <cellStyle name="_인원계획표 _공내역서_태평동도급내역(Rev.2)-12.26" xfId="14334"/>
    <cellStyle name="_인원계획표 _공내역서_태평동도급내역(Rev.2)-12.26 2" xfId="14335"/>
    <cellStyle name="_인원계획표 _공내역서-창호" xfId="14140"/>
    <cellStyle name="_인원계획표 _공내역서-창호 2" xfId="14141"/>
    <cellStyle name="_인원계획표 _공내역서-창호_사본 - ☆태평동  도급내역" xfId="14142"/>
    <cellStyle name="_인원계획표 _공내역서-창호_사본 - ☆태평동  도급내역 2" xfId="14143"/>
    <cellStyle name="_인원계획표 _공내역서-창호_성남태평동설비공사" xfId="14144"/>
    <cellStyle name="_인원계획표 _공내역서-창호_성남태평동설비공사 2" xfId="14145"/>
    <cellStyle name="_인원계획표 _공내역서-창호_수원율전 실행내역" xfId="14146"/>
    <cellStyle name="_인원계획표 _공내역서-창호_수원율전 실행내역 2" xfId="14147"/>
    <cellStyle name="_인원계획표 _공내역서-창호_수원율전 실행내역 검토안" xfId="14148"/>
    <cellStyle name="_인원계획표 _공내역서-창호_수원율전 실행내역 검토안 2" xfId="14149"/>
    <cellStyle name="_인원계획표 _공내역서-창호_수원율전 실행내역 검토안_사본 - ☆태평동  도급내역" xfId="14150"/>
    <cellStyle name="_인원계획표 _공내역서-창호_수원율전 실행내역 검토안_사본 - ☆태평동  도급내역 2" xfId="14151"/>
    <cellStyle name="_인원계획표 _공내역서-창호_수원율전 실행내역 검토안_성남태평동설비공사" xfId="14152"/>
    <cellStyle name="_인원계획표 _공내역서-창호_수원율전 실행내역 검토안_성남태평동설비공사 2" xfId="14153"/>
    <cellStyle name="_인원계획표 _공내역서-창호_수원율전 실행내역 검토안_수원율전 실행내역" xfId="14154"/>
    <cellStyle name="_인원계획표 _공내역서-창호_수원율전 실행내역 검토안_수원율전 실행내역 2" xfId="14155"/>
    <cellStyle name="_인원계획표 _공내역서-창호_수원율전 실행내역 검토안_수원율전 실행내역 검토안" xfId="14156"/>
    <cellStyle name="_인원계획표 _공내역서-창호_수원율전 실행내역 검토안_수원율전 실행내역 검토안 2" xfId="14157"/>
    <cellStyle name="_인원계획표 _공내역서-창호_수원율전 실행내역 검토안_수원율전 실행내역 검토안_사본 - ☆태평동  도급내역" xfId="14158"/>
    <cellStyle name="_인원계획표 _공내역서-창호_수원율전 실행내역 검토안_수원율전 실행내역 검토안_사본 - ☆태평동  도급내역 2" xfId="14159"/>
    <cellStyle name="_인원계획표 _공내역서-창호_수원율전 실행내역 검토안_수원율전 실행내역 검토안_성남태평동설비공사" xfId="14160"/>
    <cellStyle name="_인원계획표 _공내역서-창호_수원율전 실행내역 검토안_수원율전 실행내역 검토안_성남태평동설비공사 2" xfId="14161"/>
    <cellStyle name="_인원계획표 _공내역서-창호_수원율전 실행내역 검토안_수원율전 실행내역 검토안_수정구 태평동 주상복합 실행내역 검토안" xfId="14162"/>
    <cellStyle name="_인원계획표 _공내역서-창호_수원율전 실행내역 검토안_수원율전 실행내역 검토안_수정구 태평동 주상복합 실행내역 검토안 2" xfId="14163"/>
    <cellStyle name="_인원계획표 _공내역서-창호_수원율전 실행내역 검토안_수원율전 실행내역 검토안_태평동 실행내역서" xfId="14164"/>
    <cellStyle name="_인원계획표 _공내역서-창호_수원율전 실행내역 검토안_수원율전 실행내역 검토안_태평동 실행내역서 2" xfId="14165"/>
    <cellStyle name="_인원계획표 _공내역서-창호_수원율전 실행내역 검토안_수원율전 실행내역 검토안_태평동도급내역(Rev.2)-12.26" xfId="14166"/>
    <cellStyle name="_인원계획표 _공내역서-창호_수원율전 실행내역 검토안_수원율전 실행내역 검토안_태평동도급내역(Rev.2)-12.26 2" xfId="14167"/>
    <cellStyle name="_인원계획표 _공내역서-창호_수원율전 실행내역 검토안_수정구 태평동 주상복합 실행내역 검토안" xfId="14168"/>
    <cellStyle name="_인원계획표 _공내역서-창호_수원율전 실행내역 검토안_수정구 태평동 주상복합 실행내역 검토안 2" xfId="14169"/>
    <cellStyle name="_인원계획표 _공내역서-창호_수원율전 실행내역 검토안_태평동 실행내역서" xfId="14170"/>
    <cellStyle name="_인원계획표 _공내역서-창호_수원율전 실행내역 검토안_태평동 실행내역서 2" xfId="14171"/>
    <cellStyle name="_인원계획표 _공내역서-창호_수원율전 실행내역 검토안_태평동도급내역(Rev.2)-12.26" xfId="14172"/>
    <cellStyle name="_인원계획표 _공내역서-창호_수원율전 실행내역 검토안_태평동도급내역(Rev.2)-12.26 2" xfId="14173"/>
    <cellStyle name="_인원계획표 _공내역서-창호_수원율전조합" xfId="14174"/>
    <cellStyle name="_인원계획표 _공내역서-창호_수원율전조합 2" xfId="14175"/>
    <cellStyle name="_인원계획표 _공내역서-창호_수원율전조합_사본 - ☆태평동  도급내역" xfId="14176"/>
    <cellStyle name="_인원계획표 _공내역서-창호_수원율전조합_사본 - ☆태평동  도급내역 2" xfId="14177"/>
    <cellStyle name="_인원계획표 _공내역서-창호_수원율전조합_성남태평동설비공사" xfId="14178"/>
    <cellStyle name="_인원계획표 _공내역서-창호_수원율전조합_성남태평동설비공사 2" xfId="14179"/>
    <cellStyle name="_인원계획표 _공내역서-창호_수원율전조합_수원율전 실행내역" xfId="14180"/>
    <cellStyle name="_인원계획표 _공내역서-창호_수원율전조합_수원율전 실행내역 2" xfId="14181"/>
    <cellStyle name="_인원계획표 _공내역서-창호_수원율전조합_수원율전 실행내역 검토안" xfId="14182"/>
    <cellStyle name="_인원계획표 _공내역서-창호_수원율전조합_수원율전 실행내역 검토안 2" xfId="14183"/>
    <cellStyle name="_인원계획표 _공내역서-창호_수원율전조합_수원율전 실행내역 검토안_사본 - ☆태평동  도급내역" xfId="14184"/>
    <cellStyle name="_인원계획표 _공내역서-창호_수원율전조합_수원율전 실행내역 검토안_사본 - ☆태평동  도급내역 2" xfId="14185"/>
    <cellStyle name="_인원계획표 _공내역서-창호_수원율전조합_수원율전 실행내역 검토안_성남태평동설비공사" xfId="14186"/>
    <cellStyle name="_인원계획표 _공내역서-창호_수원율전조합_수원율전 실행내역 검토안_성남태평동설비공사 2" xfId="14187"/>
    <cellStyle name="_인원계획표 _공내역서-창호_수원율전조합_수원율전 실행내역 검토안_수정구 태평동 주상복합 실행내역 검토안" xfId="14188"/>
    <cellStyle name="_인원계획표 _공내역서-창호_수원율전조합_수원율전 실행내역 검토안_수정구 태평동 주상복합 실행내역 검토안 2" xfId="14189"/>
    <cellStyle name="_인원계획표 _공내역서-창호_수원율전조합_수원율전 실행내역 검토안_태평동 실행내역서" xfId="14190"/>
    <cellStyle name="_인원계획표 _공내역서-창호_수원율전조합_수원율전 실행내역 검토안_태평동 실행내역서 2" xfId="14191"/>
    <cellStyle name="_인원계획표 _공내역서-창호_수원율전조합_수원율전 실행내역 검토안_태평동도급내역(Rev.2)-12.26" xfId="14192"/>
    <cellStyle name="_인원계획표 _공내역서-창호_수원율전조합_수원율전 실행내역 검토안_태평동도급내역(Rev.2)-12.26 2" xfId="14193"/>
    <cellStyle name="_인원계획표 _공내역서-창호_수원율전조합_수정구 태평동 주상복합 실행내역 검토안" xfId="14194"/>
    <cellStyle name="_인원계획표 _공내역서-창호_수원율전조합_수정구 태평동 주상복합 실행내역 검토안 2" xfId="14195"/>
    <cellStyle name="_인원계획표 _공내역서-창호_수원율전조합_태평동 실행내역서" xfId="14196"/>
    <cellStyle name="_인원계획표 _공내역서-창호_수원율전조합_태평동 실행내역서 2" xfId="14197"/>
    <cellStyle name="_인원계획표 _공내역서-창호_수원율전조합_태평동도급내역(Rev.2)-12.26" xfId="14198"/>
    <cellStyle name="_인원계획표 _공내역서-창호_수원율전조합_태평동도급내역(Rev.2)-12.26 2" xfId="14199"/>
    <cellStyle name="_인원계획표 _공내역서-창호_수정구 태평동 주상복합 실행내역 검토안" xfId="14200"/>
    <cellStyle name="_인원계획표 _공내역서-창호_수정구 태평동 주상복합 실행내역 검토안 2" xfId="14201"/>
    <cellStyle name="_인원계획표 _공내역서-창호_태평동 실행내역서" xfId="14202"/>
    <cellStyle name="_인원계획표 _공내역서-창호_태평동 실행내역서 2" xfId="14203"/>
    <cellStyle name="_인원계획표 _공내역서-창호_태평동도급내역(Rev.2)-12.26" xfId="14204"/>
    <cellStyle name="_인원계획표 _공내역서-창호_태평동도급내역(Rev.2)-12.26 2" xfId="14205"/>
    <cellStyle name="_인원계획표 _공내역서-창호분개" xfId="14206"/>
    <cellStyle name="_인원계획표 _공내역서-창호분개 2" xfId="14207"/>
    <cellStyle name="_인원계획표 _공내역서-창호분개_사본 - ☆태평동  도급내역" xfId="14208"/>
    <cellStyle name="_인원계획표 _공내역서-창호분개_사본 - ☆태평동  도급내역 2" xfId="14209"/>
    <cellStyle name="_인원계획표 _공내역서-창호분개_성남태평동설비공사" xfId="14210"/>
    <cellStyle name="_인원계획표 _공내역서-창호분개_성남태평동설비공사 2" xfId="14211"/>
    <cellStyle name="_인원계획표 _공내역서-창호분개_수원율전 실행내역" xfId="14212"/>
    <cellStyle name="_인원계획표 _공내역서-창호분개_수원율전 실행내역 2" xfId="14213"/>
    <cellStyle name="_인원계획표 _공내역서-창호분개_수원율전 실행내역 검토안" xfId="14214"/>
    <cellStyle name="_인원계획표 _공내역서-창호분개_수원율전 실행내역 검토안 2" xfId="14215"/>
    <cellStyle name="_인원계획표 _공내역서-창호분개_수원율전 실행내역 검토안_사본 - ☆태평동  도급내역" xfId="14216"/>
    <cellStyle name="_인원계획표 _공내역서-창호분개_수원율전 실행내역 검토안_사본 - ☆태평동  도급내역 2" xfId="14217"/>
    <cellStyle name="_인원계획표 _공내역서-창호분개_수원율전 실행내역 검토안_성남태평동설비공사" xfId="14218"/>
    <cellStyle name="_인원계획표 _공내역서-창호분개_수원율전 실행내역 검토안_성남태평동설비공사 2" xfId="14219"/>
    <cellStyle name="_인원계획표 _공내역서-창호분개_수원율전 실행내역 검토안_수원율전 실행내역" xfId="14220"/>
    <cellStyle name="_인원계획표 _공내역서-창호분개_수원율전 실행내역 검토안_수원율전 실행내역 2" xfId="14221"/>
    <cellStyle name="_인원계획표 _공내역서-창호분개_수원율전 실행내역 검토안_수원율전 실행내역 검토안" xfId="14222"/>
    <cellStyle name="_인원계획표 _공내역서-창호분개_수원율전 실행내역 검토안_수원율전 실행내역 검토안 2" xfId="14223"/>
    <cellStyle name="_인원계획표 _공내역서-창호분개_수원율전 실행내역 검토안_수원율전 실행내역 검토안_사본 - ☆태평동  도급내역" xfId="14224"/>
    <cellStyle name="_인원계획표 _공내역서-창호분개_수원율전 실행내역 검토안_수원율전 실행내역 검토안_사본 - ☆태평동  도급내역 2" xfId="14225"/>
    <cellStyle name="_인원계획표 _공내역서-창호분개_수원율전 실행내역 검토안_수원율전 실행내역 검토안_성남태평동설비공사" xfId="14226"/>
    <cellStyle name="_인원계획표 _공내역서-창호분개_수원율전 실행내역 검토안_수원율전 실행내역 검토안_성남태평동설비공사 2" xfId="14227"/>
    <cellStyle name="_인원계획표 _공내역서-창호분개_수원율전 실행내역 검토안_수원율전 실행내역 검토안_수정구 태평동 주상복합 실행내역 검토안" xfId="14228"/>
    <cellStyle name="_인원계획표 _공내역서-창호분개_수원율전 실행내역 검토안_수원율전 실행내역 검토안_수정구 태평동 주상복합 실행내역 검토안 2" xfId="14229"/>
    <cellStyle name="_인원계획표 _공내역서-창호분개_수원율전 실행내역 검토안_수원율전 실행내역 검토안_태평동 실행내역서" xfId="14230"/>
    <cellStyle name="_인원계획표 _공내역서-창호분개_수원율전 실행내역 검토안_수원율전 실행내역 검토안_태평동 실행내역서 2" xfId="14231"/>
    <cellStyle name="_인원계획표 _공내역서-창호분개_수원율전 실행내역 검토안_수원율전 실행내역 검토안_태평동도급내역(Rev.2)-12.26" xfId="14232"/>
    <cellStyle name="_인원계획표 _공내역서-창호분개_수원율전 실행내역 검토안_수원율전 실행내역 검토안_태평동도급내역(Rev.2)-12.26 2" xfId="14233"/>
    <cellStyle name="_인원계획표 _공내역서-창호분개_수원율전 실행내역 검토안_수정구 태평동 주상복합 실행내역 검토안" xfId="14234"/>
    <cellStyle name="_인원계획표 _공내역서-창호분개_수원율전 실행내역 검토안_수정구 태평동 주상복합 실행내역 검토안 2" xfId="14235"/>
    <cellStyle name="_인원계획표 _공내역서-창호분개_수원율전 실행내역 검토안_태평동 실행내역서" xfId="14236"/>
    <cellStyle name="_인원계획표 _공내역서-창호분개_수원율전 실행내역 검토안_태평동 실행내역서 2" xfId="14237"/>
    <cellStyle name="_인원계획표 _공내역서-창호분개_수원율전 실행내역 검토안_태평동도급내역(Rev.2)-12.26" xfId="14238"/>
    <cellStyle name="_인원계획표 _공내역서-창호분개_수원율전 실행내역 검토안_태평동도급내역(Rev.2)-12.26 2" xfId="14239"/>
    <cellStyle name="_인원계획표 _공내역서-창호분개_수원율전조합" xfId="14240"/>
    <cellStyle name="_인원계획표 _공내역서-창호분개_수원율전조합 2" xfId="14241"/>
    <cellStyle name="_인원계획표 _공내역서-창호분개_수원율전조합_사본 - ☆태평동  도급내역" xfId="14242"/>
    <cellStyle name="_인원계획표 _공내역서-창호분개_수원율전조합_사본 - ☆태평동  도급내역 2" xfId="14243"/>
    <cellStyle name="_인원계획표 _공내역서-창호분개_수원율전조합_성남태평동설비공사" xfId="14244"/>
    <cellStyle name="_인원계획표 _공내역서-창호분개_수원율전조합_성남태평동설비공사 2" xfId="14245"/>
    <cellStyle name="_인원계획표 _공내역서-창호분개_수원율전조합_수원율전 실행내역" xfId="14246"/>
    <cellStyle name="_인원계획표 _공내역서-창호분개_수원율전조합_수원율전 실행내역 2" xfId="14247"/>
    <cellStyle name="_인원계획표 _공내역서-창호분개_수원율전조합_수원율전 실행내역 검토안" xfId="14248"/>
    <cellStyle name="_인원계획표 _공내역서-창호분개_수원율전조합_수원율전 실행내역 검토안 2" xfId="14249"/>
    <cellStyle name="_인원계획표 _공내역서-창호분개_수원율전조합_수원율전 실행내역 검토안_사본 - ☆태평동  도급내역" xfId="14250"/>
    <cellStyle name="_인원계획표 _공내역서-창호분개_수원율전조합_수원율전 실행내역 검토안_사본 - ☆태평동  도급내역 2" xfId="14251"/>
    <cellStyle name="_인원계획표 _공내역서-창호분개_수원율전조합_수원율전 실행내역 검토안_성남태평동설비공사" xfId="14252"/>
    <cellStyle name="_인원계획표 _공내역서-창호분개_수원율전조합_수원율전 실행내역 검토안_성남태평동설비공사 2" xfId="14253"/>
    <cellStyle name="_인원계획표 _공내역서-창호분개_수원율전조합_수원율전 실행내역 검토안_수정구 태평동 주상복합 실행내역 검토안" xfId="14254"/>
    <cellStyle name="_인원계획표 _공내역서-창호분개_수원율전조합_수원율전 실행내역 검토안_수정구 태평동 주상복합 실행내역 검토안 2" xfId="14255"/>
    <cellStyle name="_인원계획표 _공내역서-창호분개_수원율전조합_수원율전 실행내역 검토안_태평동 실행내역서" xfId="14256"/>
    <cellStyle name="_인원계획표 _공내역서-창호분개_수원율전조합_수원율전 실행내역 검토안_태평동 실행내역서 2" xfId="14257"/>
    <cellStyle name="_인원계획표 _공내역서-창호분개_수원율전조합_수원율전 실행내역 검토안_태평동도급내역(Rev.2)-12.26" xfId="14258"/>
    <cellStyle name="_인원계획표 _공내역서-창호분개_수원율전조합_수원율전 실행내역 검토안_태평동도급내역(Rev.2)-12.26 2" xfId="14259"/>
    <cellStyle name="_인원계획표 _공내역서-창호분개_수원율전조합_수정구 태평동 주상복합 실행내역 검토안" xfId="14260"/>
    <cellStyle name="_인원계획표 _공내역서-창호분개_수원율전조합_수정구 태평동 주상복합 실행내역 검토안 2" xfId="14261"/>
    <cellStyle name="_인원계획표 _공내역서-창호분개_수원율전조합_태평동 실행내역서" xfId="14262"/>
    <cellStyle name="_인원계획표 _공내역서-창호분개_수원율전조합_태평동 실행내역서 2" xfId="14263"/>
    <cellStyle name="_인원계획표 _공내역서-창호분개_수원율전조합_태평동도급내역(Rev.2)-12.26" xfId="14264"/>
    <cellStyle name="_인원계획표 _공내역서-창호분개_수원율전조합_태평동도급내역(Rev.2)-12.26 2" xfId="14265"/>
    <cellStyle name="_인원계획표 _공내역서-창호분개_수정구 태평동 주상복합 실행내역 검토안" xfId="14266"/>
    <cellStyle name="_인원계획표 _공내역서-창호분개_수정구 태평동 주상복합 실행내역 검토안 2" xfId="14267"/>
    <cellStyle name="_인원계획표 _공내역서-창호분개_태평동 실행내역서" xfId="14268"/>
    <cellStyle name="_인원계획표 _공내역서-창호분개_태평동 실행내역서 2" xfId="14269"/>
    <cellStyle name="_인원계획표 _공내역서-창호분개_태평동도급내역(Rev.2)-12.26" xfId="14270"/>
    <cellStyle name="_인원계획표 _공내역서-창호분개_태평동도급내역(Rev.2)-12.26 2" xfId="14271"/>
    <cellStyle name="_인원계획표 _공사개요" xfId="14336"/>
    <cellStyle name="_인원계획표 _공사개요 2" xfId="14337"/>
    <cellStyle name="_인원계획표 _공사개요_Book2" xfId="14338"/>
    <cellStyle name="_인원계획표 _공사개요_Book2 2" xfId="14339"/>
    <cellStyle name="_인원계획표 _공사개요_Book4" xfId="14340"/>
    <cellStyle name="_인원계획표 _공사개요_Book4 2" xfId="14341"/>
    <cellStyle name="_인원계획표 _내역(02.04.16)선우대교" xfId="14342"/>
    <cellStyle name="_인원계획표 _내역(02.04.16)선우대교_☆남악2-3공구가실행" xfId="14351"/>
    <cellStyle name="_인원계획표 _내역(02.04.16)선우대교_☆남악2-3공구가실행_3-1(금강)-여의도 세우회관 철거공사" xfId="14352"/>
    <cellStyle name="_인원계획표 _내역(02.04.16)선우대교_☆남악2-3공구가실행_3-1(금강)-여의도 세우회관 철거공사_24-1(동부)-두능-연곡 도로건설공사 중 기존교량철거" xfId="14353"/>
    <cellStyle name="_인원계획표 _내역(02.04.16)선우대교_☆남악2-3공구가실행_3-1(금강)-여의도 세우회관 철거공사_견적1" xfId="14354"/>
    <cellStyle name="_인원계획표 _내역(02.04.16)선우대교_☆남악2-3공구가실행_3-1(금강)-여의도 세우회관 철거공사_견적1_28-3-2 삼환-대한생명 63빌딩 현장 철거공사 (재노경)" xfId="14355"/>
    <cellStyle name="_인원계획표 _내역(02.04.16)선우대교_☆남악2-3공구가실행_8-2(삼성)-김해공항 국제청 화물청사 세관창고철거" xfId="14356"/>
    <cellStyle name="_인원계획표 _내역(02.04.16)선우대교_☆남악2-3공구가실행_8-2(삼성)-김해공항 국제청 화물청사 세관창고철거_24-1(동부)-두능-연곡 도로건설공사 중 기존교량철거" xfId="14357"/>
    <cellStyle name="_인원계획표 _내역(02.04.16)선우대교_☆남악2-3공구가실행_8-2(삼성)-김해공항 국제청 화물청사 세관창고철거_견적1" xfId="14358"/>
    <cellStyle name="_인원계획표 _내역(02.04.16)선우대교_☆남악2-3공구가실행_8-2(삼성)-김해공항 국제청 화물청사 세관창고철거_견적1_28-3-2 삼환-대한생명 63빌딩 현장 철거공사 (재노경)" xfId="14359"/>
    <cellStyle name="_인원계획표 _내역(02.04.16)선우대교_☆남악2-3공구가실행_견적1" xfId="14360"/>
    <cellStyle name="_인원계획표 _내역(02.04.16)선우대교_☆남악2-3공구가실행_견적1_28-3-2 삼환-대한생명 63빌딩 현장 철거공사 (재노경)" xfId="14361"/>
    <cellStyle name="_인원계획표 _내역(02.04.16)선우대교_☆남악2-3공구가실행_견적서" xfId="14362"/>
    <cellStyle name="_인원계획표 _내역(02.04.16)선우대교_☆남악2-3공구가실행_견적서_24-1(동부)-두능-연곡 도로건설공사 중 기존교량철거" xfId="14363"/>
    <cellStyle name="_인원계획표 _내역(02.04.16)선우대교_☆남악2-3공구가실행_견적서_견적1" xfId="14364"/>
    <cellStyle name="_인원계획표 _내역(02.04.16)선우대교_☆남악2-3공구가실행_견적서_견적1_28-3-2 삼환-대한생명 63빌딩 현장 철거공사 (재노경)" xfId="14365"/>
    <cellStyle name="_인원계획표 _내역(02.04.16)선우대교_3-1(금강)-여의도 세우회관 철거공사" xfId="14343"/>
    <cellStyle name="_인원계획표 _내역(02.04.16)선우대교_3-1(금강)-여의도 세우회관 철거공사_24-1(동부)-두능-연곡 도로건설공사 중 기존교량철거" xfId="14344"/>
    <cellStyle name="_인원계획표 _내역(02.04.16)선우대교_3-1(금강)-여의도 세우회관 철거공사_견적1" xfId="14345"/>
    <cellStyle name="_인원계획표 _내역(02.04.16)선우대교_3-1(금강)-여의도 세우회관 철거공사_견적1_28-3-2 삼환-대한생명 63빌딩 현장 철거공사 (재노경)" xfId="14346"/>
    <cellStyle name="_인원계획표 _내역(02.04.16)선우대교_8-2(삼성)-김해공항 국제청 화물청사 세관창고철거" xfId="14347"/>
    <cellStyle name="_인원계획표 _내역(02.04.16)선우대교_8-2(삼성)-김해공항 국제청 화물청사 세관창고철거_24-1(동부)-두능-연곡 도로건설공사 중 기존교량철거" xfId="14348"/>
    <cellStyle name="_인원계획표 _내역(02.04.16)선우대교_8-2(삼성)-김해공항 국제청 화물청사 세관창고철거_견적1" xfId="14349"/>
    <cellStyle name="_인원계획표 _내역(02.04.16)선우대교_8-2(삼성)-김해공항 국제청 화물청사 세관창고철거_견적1_28-3-2 삼환-대한생명 63빌딩 현장 철거공사 (재노경)" xfId="14350"/>
    <cellStyle name="_인원계획표 _내역(02.04.16)선우대교_견적1" xfId="14366"/>
    <cellStyle name="_인원계획표 _내역(02.04.16)선우대교_견적1_28-3-2 삼환-대한생명 63빌딩 현장 철거공사 (재노경)" xfId="14367"/>
    <cellStyle name="_인원계획표 _내역(02.04.16)선우대교_견적서" xfId="14368"/>
    <cellStyle name="_인원계획표 _내역(02.04.16)선우대교_견적서_24-1(동부)-두능-연곡 도로건설공사 중 기존교량철거" xfId="14369"/>
    <cellStyle name="_인원계획표 _내역(02.04.16)선우대교_견적서_견적1" xfId="14370"/>
    <cellStyle name="_인원계획표 _내역(02.04.16)선우대교_견적서_견적1_28-3-2 삼환-대한생명 63빌딩 현장 철거공사 (재노경)" xfId="14371"/>
    <cellStyle name="_인원계획표 _내역(02.04.17)선우대교" xfId="14372"/>
    <cellStyle name="_인원계획표 _내역(02.04.17)선우대교_☆남악2-3공구가실행" xfId="14381"/>
    <cellStyle name="_인원계획표 _내역(02.04.17)선우대교_☆남악2-3공구가실행_3-1(금강)-여의도 세우회관 철거공사" xfId="14382"/>
    <cellStyle name="_인원계획표 _내역(02.04.17)선우대교_☆남악2-3공구가실행_3-1(금강)-여의도 세우회관 철거공사_24-1(동부)-두능-연곡 도로건설공사 중 기존교량철거" xfId="14383"/>
    <cellStyle name="_인원계획표 _내역(02.04.17)선우대교_☆남악2-3공구가실행_3-1(금강)-여의도 세우회관 철거공사_견적1" xfId="14384"/>
    <cellStyle name="_인원계획표 _내역(02.04.17)선우대교_☆남악2-3공구가실행_3-1(금강)-여의도 세우회관 철거공사_견적1_28-3-2 삼환-대한생명 63빌딩 현장 철거공사 (재노경)" xfId="14385"/>
    <cellStyle name="_인원계획표 _내역(02.04.17)선우대교_☆남악2-3공구가실행_8-2(삼성)-김해공항 국제청 화물청사 세관창고철거" xfId="14386"/>
    <cellStyle name="_인원계획표 _내역(02.04.17)선우대교_☆남악2-3공구가실행_8-2(삼성)-김해공항 국제청 화물청사 세관창고철거_24-1(동부)-두능-연곡 도로건설공사 중 기존교량철거" xfId="14387"/>
    <cellStyle name="_인원계획표 _내역(02.04.17)선우대교_☆남악2-3공구가실행_8-2(삼성)-김해공항 국제청 화물청사 세관창고철거_견적1" xfId="14388"/>
    <cellStyle name="_인원계획표 _내역(02.04.17)선우대교_☆남악2-3공구가실행_8-2(삼성)-김해공항 국제청 화물청사 세관창고철거_견적1_28-3-2 삼환-대한생명 63빌딩 현장 철거공사 (재노경)" xfId="14389"/>
    <cellStyle name="_인원계획표 _내역(02.04.17)선우대교_☆남악2-3공구가실행_견적1" xfId="14390"/>
    <cellStyle name="_인원계획표 _내역(02.04.17)선우대교_☆남악2-3공구가실행_견적1_28-3-2 삼환-대한생명 63빌딩 현장 철거공사 (재노경)" xfId="14391"/>
    <cellStyle name="_인원계획표 _내역(02.04.17)선우대교_☆남악2-3공구가실행_견적서" xfId="14392"/>
    <cellStyle name="_인원계획표 _내역(02.04.17)선우대교_☆남악2-3공구가실행_견적서_24-1(동부)-두능-연곡 도로건설공사 중 기존교량철거" xfId="14393"/>
    <cellStyle name="_인원계획표 _내역(02.04.17)선우대교_☆남악2-3공구가실행_견적서_견적1" xfId="14394"/>
    <cellStyle name="_인원계획표 _내역(02.04.17)선우대교_☆남악2-3공구가실행_견적서_견적1_28-3-2 삼환-대한생명 63빌딩 현장 철거공사 (재노경)" xfId="14395"/>
    <cellStyle name="_인원계획표 _내역(02.04.17)선우대교_3-1(금강)-여의도 세우회관 철거공사" xfId="14373"/>
    <cellStyle name="_인원계획표 _내역(02.04.17)선우대교_3-1(금강)-여의도 세우회관 철거공사_24-1(동부)-두능-연곡 도로건설공사 중 기존교량철거" xfId="14374"/>
    <cellStyle name="_인원계획표 _내역(02.04.17)선우대교_3-1(금강)-여의도 세우회관 철거공사_견적1" xfId="14375"/>
    <cellStyle name="_인원계획표 _내역(02.04.17)선우대교_3-1(금강)-여의도 세우회관 철거공사_견적1_28-3-2 삼환-대한생명 63빌딩 현장 철거공사 (재노경)" xfId="14376"/>
    <cellStyle name="_인원계획표 _내역(02.04.17)선우대교_8-2(삼성)-김해공항 국제청 화물청사 세관창고철거" xfId="14377"/>
    <cellStyle name="_인원계획표 _내역(02.04.17)선우대교_8-2(삼성)-김해공항 국제청 화물청사 세관창고철거_24-1(동부)-두능-연곡 도로건설공사 중 기존교량철거" xfId="14378"/>
    <cellStyle name="_인원계획표 _내역(02.04.17)선우대교_8-2(삼성)-김해공항 국제청 화물청사 세관창고철거_견적1" xfId="14379"/>
    <cellStyle name="_인원계획표 _내역(02.04.17)선우대교_8-2(삼성)-김해공항 국제청 화물청사 세관창고철거_견적1_28-3-2 삼환-대한생명 63빌딩 현장 철거공사 (재노경)" xfId="14380"/>
    <cellStyle name="_인원계획표 _내역(02.04.17)선우대교_견적1" xfId="14396"/>
    <cellStyle name="_인원계획표 _내역(02.04.17)선우대교_견적1_28-3-2 삼환-대한생명 63빌딩 현장 철거공사 (재노경)" xfId="14397"/>
    <cellStyle name="_인원계획표 _내역(02.04.17)선우대교_견적서" xfId="14398"/>
    <cellStyle name="_인원계획표 _내역(02.04.17)선우대교_견적서_24-1(동부)-두능-연곡 도로건설공사 중 기존교량철거" xfId="14399"/>
    <cellStyle name="_인원계획표 _내역(02.04.17)선우대교_견적서_견적1" xfId="14400"/>
    <cellStyle name="_인원계획표 _내역(02.04.17)선우대교_견적서_견적1_28-3-2 삼환-대한생명 63빌딩 현장 철거공사 (재노경)" xfId="14401"/>
    <cellStyle name="_인원계획표 _내역(02.04.17)추모공원" xfId="14402"/>
    <cellStyle name="_인원계획표 _내역(02.04.17)추모공원_☆남악2-3공구가실행" xfId="14411"/>
    <cellStyle name="_인원계획표 _내역(02.04.17)추모공원_☆남악2-3공구가실행_3-1(금강)-여의도 세우회관 철거공사" xfId="14412"/>
    <cellStyle name="_인원계획표 _내역(02.04.17)추모공원_☆남악2-3공구가실행_3-1(금강)-여의도 세우회관 철거공사_24-1(동부)-두능-연곡 도로건설공사 중 기존교량철거" xfId="14413"/>
    <cellStyle name="_인원계획표 _내역(02.04.17)추모공원_☆남악2-3공구가실행_3-1(금강)-여의도 세우회관 철거공사_견적1" xfId="14414"/>
    <cellStyle name="_인원계획표 _내역(02.04.17)추모공원_☆남악2-3공구가실행_3-1(금강)-여의도 세우회관 철거공사_견적1_28-3-2 삼환-대한생명 63빌딩 현장 철거공사 (재노경)" xfId="14415"/>
    <cellStyle name="_인원계획표 _내역(02.04.17)추모공원_☆남악2-3공구가실행_8-2(삼성)-김해공항 국제청 화물청사 세관창고철거" xfId="14416"/>
    <cellStyle name="_인원계획표 _내역(02.04.17)추모공원_☆남악2-3공구가실행_8-2(삼성)-김해공항 국제청 화물청사 세관창고철거_24-1(동부)-두능-연곡 도로건설공사 중 기존교량철거" xfId="14417"/>
    <cellStyle name="_인원계획표 _내역(02.04.17)추모공원_☆남악2-3공구가실행_8-2(삼성)-김해공항 국제청 화물청사 세관창고철거_견적1" xfId="14418"/>
    <cellStyle name="_인원계획표 _내역(02.04.17)추모공원_☆남악2-3공구가실행_8-2(삼성)-김해공항 국제청 화물청사 세관창고철거_견적1_28-3-2 삼환-대한생명 63빌딩 현장 철거공사 (재노경)" xfId="14419"/>
    <cellStyle name="_인원계획표 _내역(02.04.17)추모공원_☆남악2-3공구가실행_견적1" xfId="14420"/>
    <cellStyle name="_인원계획표 _내역(02.04.17)추모공원_☆남악2-3공구가실행_견적1_28-3-2 삼환-대한생명 63빌딩 현장 철거공사 (재노경)" xfId="14421"/>
    <cellStyle name="_인원계획표 _내역(02.04.17)추모공원_☆남악2-3공구가실행_견적서" xfId="14422"/>
    <cellStyle name="_인원계획표 _내역(02.04.17)추모공원_☆남악2-3공구가실행_견적서_24-1(동부)-두능-연곡 도로건설공사 중 기존교량철거" xfId="14423"/>
    <cellStyle name="_인원계획표 _내역(02.04.17)추모공원_☆남악2-3공구가실행_견적서_견적1" xfId="14424"/>
    <cellStyle name="_인원계획표 _내역(02.04.17)추모공원_☆남악2-3공구가실행_견적서_견적1_28-3-2 삼환-대한생명 63빌딩 현장 철거공사 (재노경)" xfId="14425"/>
    <cellStyle name="_인원계획표 _내역(02.04.17)추모공원_3-1(금강)-여의도 세우회관 철거공사" xfId="14403"/>
    <cellStyle name="_인원계획표 _내역(02.04.17)추모공원_3-1(금강)-여의도 세우회관 철거공사_24-1(동부)-두능-연곡 도로건설공사 중 기존교량철거" xfId="14404"/>
    <cellStyle name="_인원계획표 _내역(02.04.17)추모공원_3-1(금강)-여의도 세우회관 철거공사_견적1" xfId="14405"/>
    <cellStyle name="_인원계획표 _내역(02.04.17)추모공원_3-1(금강)-여의도 세우회관 철거공사_견적1_28-3-2 삼환-대한생명 63빌딩 현장 철거공사 (재노경)" xfId="14406"/>
    <cellStyle name="_인원계획표 _내역(02.04.17)추모공원_8-2(삼성)-김해공항 국제청 화물청사 세관창고철거" xfId="14407"/>
    <cellStyle name="_인원계획표 _내역(02.04.17)추모공원_8-2(삼성)-김해공항 국제청 화물청사 세관창고철거_24-1(동부)-두능-연곡 도로건설공사 중 기존교량철거" xfId="14408"/>
    <cellStyle name="_인원계획표 _내역(02.04.17)추모공원_8-2(삼성)-김해공항 국제청 화물청사 세관창고철거_견적1" xfId="14409"/>
    <cellStyle name="_인원계획표 _내역(02.04.17)추모공원_8-2(삼성)-김해공항 국제청 화물청사 세관창고철거_견적1_28-3-2 삼환-대한생명 63빌딩 현장 철거공사 (재노경)" xfId="14410"/>
    <cellStyle name="_인원계획표 _내역(02.04.17)추모공원_견적1" xfId="14426"/>
    <cellStyle name="_인원계획표 _내역(02.04.17)추모공원_견적1_28-3-2 삼환-대한생명 63빌딩 현장 철거공사 (재노경)" xfId="14427"/>
    <cellStyle name="_인원계획표 _내역(02.04.17)추모공원_견적서" xfId="14428"/>
    <cellStyle name="_인원계획표 _내역(02.04.17)추모공원_견적서_24-1(동부)-두능-연곡 도로건설공사 중 기존교량철거" xfId="14429"/>
    <cellStyle name="_인원계획표 _내역(02.04.17)추모공원_견적서_견적1" xfId="14430"/>
    <cellStyle name="_인원계획표 _내역(02.04.17)추모공원_견적서_견적1_28-3-2 삼환-대한생명 63빌딩 현장 철거공사 (재노경)" xfId="14431"/>
    <cellStyle name="_인원계획표 _내역(02.09.30)신령-영천(2공구)" xfId="14432"/>
    <cellStyle name="_인원계획표 _내역(02.09.30)신령-영천(2공구)_☆남악2-3공구가실행" xfId="14441"/>
    <cellStyle name="_인원계획표 _내역(02.09.30)신령-영천(2공구)_☆남악2-3공구가실행_3-1(금강)-여의도 세우회관 철거공사" xfId="14442"/>
    <cellStyle name="_인원계획표 _내역(02.09.30)신령-영천(2공구)_☆남악2-3공구가실행_3-1(금강)-여의도 세우회관 철거공사_24-1(동부)-두능-연곡 도로건설공사 중 기존교량철거" xfId="14443"/>
    <cellStyle name="_인원계획표 _내역(02.09.30)신령-영천(2공구)_☆남악2-3공구가실행_3-1(금강)-여의도 세우회관 철거공사_견적1" xfId="14444"/>
    <cellStyle name="_인원계획표 _내역(02.09.30)신령-영천(2공구)_☆남악2-3공구가실행_3-1(금강)-여의도 세우회관 철거공사_견적1_28-3-2 삼환-대한생명 63빌딩 현장 철거공사 (재노경)" xfId="14445"/>
    <cellStyle name="_인원계획표 _내역(02.09.30)신령-영천(2공구)_☆남악2-3공구가실행_8-2(삼성)-김해공항 국제청 화물청사 세관창고철거" xfId="14446"/>
    <cellStyle name="_인원계획표 _내역(02.09.30)신령-영천(2공구)_☆남악2-3공구가실행_8-2(삼성)-김해공항 국제청 화물청사 세관창고철거_24-1(동부)-두능-연곡 도로건설공사 중 기존교량철거" xfId="14447"/>
    <cellStyle name="_인원계획표 _내역(02.09.30)신령-영천(2공구)_☆남악2-3공구가실행_8-2(삼성)-김해공항 국제청 화물청사 세관창고철거_견적1" xfId="14448"/>
    <cellStyle name="_인원계획표 _내역(02.09.30)신령-영천(2공구)_☆남악2-3공구가실행_8-2(삼성)-김해공항 국제청 화물청사 세관창고철거_견적1_28-3-2 삼환-대한생명 63빌딩 현장 철거공사 (재노경)" xfId="14449"/>
    <cellStyle name="_인원계획표 _내역(02.09.30)신령-영천(2공구)_☆남악2-3공구가실행_견적1" xfId="14450"/>
    <cellStyle name="_인원계획표 _내역(02.09.30)신령-영천(2공구)_☆남악2-3공구가실행_견적1_28-3-2 삼환-대한생명 63빌딩 현장 철거공사 (재노경)" xfId="14451"/>
    <cellStyle name="_인원계획표 _내역(02.09.30)신령-영천(2공구)_☆남악2-3공구가실행_견적서" xfId="14452"/>
    <cellStyle name="_인원계획표 _내역(02.09.30)신령-영천(2공구)_☆남악2-3공구가실행_견적서_24-1(동부)-두능-연곡 도로건설공사 중 기존교량철거" xfId="14453"/>
    <cellStyle name="_인원계획표 _내역(02.09.30)신령-영천(2공구)_☆남악2-3공구가실행_견적서_견적1" xfId="14454"/>
    <cellStyle name="_인원계획표 _내역(02.09.30)신령-영천(2공구)_☆남악2-3공구가실행_견적서_견적1_28-3-2 삼환-대한생명 63빌딩 현장 철거공사 (재노경)" xfId="14455"/>
    <cellStyle name="_인원계획표 _내역(02.09.30)신령-영천(2공구)_3-1(금강)-여의도 세우회관 철거공사" xfId="14433"/>
    <cellStyle name="_인원계획표 _내역(02.09.30)신령-영천(2공구)_3-1(금강)-여의도 세우회관 철거공사_24-1(동부)-두능-연곡 도로건설공사 중 기존교량철거" xfId="14434"/>
    <cellStyle name="_인원계획표 _내역(02.09.30)신령-영천(2공구)_3-1(금강)-여의도 세우회관 철거공사_견적1" xfId="14435"/>
    <cellStyle name="_인원계획표 _내역(02.09.30)신령-영천(2공구)_3-1(금강)-여의도 세우회관 철거공사_견적1_28-3-2 삼환-대한생명 63빌딩 현장 철거공사 (재노경)" xfId="14436"/>
    <cellStyle name="_인원계획표 _내역(02.09.30)신령-영천(2공구)_8-2(삼성)-김해공항 국제청 화물청사 세관창고철거" xfId="14437"/>
    <cellStyle name="_인원계획표 _내역(02.09.30)신령-영천(2공구)_8-2(삼성)-김해공항 국제청 화물청사 세관창고철거_24-1(동부)-두능-연곡 도로건설공사 중 기존교량철거" xfId="14438"/>
    <cellStyle name="_인원계획표 _내역(02.09.30)신령-영천(2공구)_8-2(삼성)-김해공항 국제청 화물청사 세관창고철거_견적1" xfId="14439"/>
    <cellStyle name="_인원계획표 _내역(02.09.30)신령-영천(2공구)_8-2(삼성)-김해공항 국제청 화물청사 세관창고철거_견적1_28-3-2 삼환-대한생명 63빌딩 현장 철거공사 (재노경)" xfId="14440"/>
    <cellStyle name="_인원계획표 _내역(02.09.30)신령-영천(2공구)_견적1" xfId="14456"/>
    <cellStyle name="_인원계획표 _내역(02.09.30)신령-영천(2공구)_견적1_28-3-2 삼환-대한생명 63빌딩 현장 철거공사 (재노경)" xfId="14457"/>
    <cellStyle name="_인원계획표 _내역(02.09.30)신령-영천(2공구)_견적서" xfId="14458"/>
    <cellStyle name="_인원계획표 _내역(02.09.30)신령-영천(2공구)_견적서_24-1(동부)-두능-연곡 도로건설공사 중 기존교량철거" xfId="14459"/>
    <cellStyle name="_인원계획표 _내역(02.09.30)신령-영천(2공구)_견적서_견적1" xfId="14460"/>
    <cellStyle name="_인원계획표 _내역(02.09.30)신령-영천(2공구)_견적서_견적1_28-3-2 삼환-대한생명 63빌딩 현장 철거공사 (재노경)" xfId="14461"/>
    <cellStyle name="_인원계획표 _내역(02.10.14)신령-영천(2공구)-0.3312" xfId="14462"/>
    <cellStyle name="_인원계획표 _내역(02.10.14)신령-영천(2공구)-0.3312_☆남악2-3공구가실행" xfId="14471"/>
    <cellStyle name="_인원계획표 _내역(02.10.14)신령-영천(2공구)-0.3312_☆남악2-3공구가실행_3-1(금강)-여의도 세우회관 철거공사" xfId="14472"/>
    <cellStyle name="_인원계획표 _내역(02.10.14)신령-영천(2공구)-0.3312_☆남악2-3공구가실행_3-1(금강)-여의도 세우회관 철거공사_24-1(동부)-두능-연곡 도로건설공사 중 기존교량철거" xfId="14473"/>
    <cellStyle name="_인원계획표 _내역(02.10.14)신령-영천(2공구)-0.3312_☆남악2-3공구가실행_3-1(금강)-여의도 세우회관 철거공사_견적1" xfId="14474"/>
    <cellStyle name="_인원계획표 _내역(02.10.14)신령-영천(2공구)-0.3312_☆남악2-3공구가실행_3-1(금강)-여의도 세우회관 철거공사_견적1_28-3-2 삼환-대한생명 63빌딩 현장 철거공사 (재노경)" xfId="14475"/>
    <cellStyle name="_인원계획표 _내역(02.10.14)신령-영천(2공구)-0.3312_☆남악2-3공구가실행_8-2(삼성)-김해공항 국제청 화물청사 세관창고철거" xfId="14476"/>
    <cellStyle name="_인원계획표 _내역(02.10.14)신령-영천(2공구)-0.3312_☆남악2-3공구가실행_8-2(삼성)-김해공항 국제청 화물청사 세관창고철거_24-1(동부)-두능-연곡 도로건설공사 중 기존교량철거" xfId="14477"/>
    <cellStyle name="_인원계획표 _내역(02.10.14)신령-영천(2공구)-0.3312_☆남악2-3공구가실행_8-2(삼성)-김해공항 국제청 화물청사 세관창고철거_견적1" xfId="14478"/>
    <cellStyle name="_인원계획표 _내역(02.10.14)신령-영천(2공구)-0.3312_☆남악2-3공구가실행_8-2(삼성)-김해공항 국제청 화물청사 세관창고철거_견적1_28-3-2 삼환-대한생명 63빌딩 현장 철거공사 (재노경)" xfId="14479"/>
    <cellStyle name="_인원계획표 _내역(02.10.14)신령-영천(2공구)-0.3312_☆남악2-3공구가실행_견적1" xfId="14480"/>
    <cellStyle name="_인원계획표 _내역(02.10.14)신령-영천(2공구)-0.3312_☆남악2-3공구가실행_견적1_28-3-2 삼환-대한생명 63빌딩 현장 철거공사 (재노경)" xfId="14481"/>
    <cellStyle name="_인원계획표 _내역(02.10.14)신령-영천(2공구)-0.3312_☆남악2-3공구가실행_견적서" xfId="14482"/>
    <cellStyle name="_인원계획표 _내역(02.10.14)신령-영천(2공구)-0.3312_☆남악2-3공구가실행_견적서_24-1(동부)-두능-연곡 도로건설공사 중 기존교량철거" xfId="14483"/>
    <cellStyle name="_인원계획표 _내역(02.10.14)신령-영천(2공구)-0.3312_☆남악2-3공구가실행_견적서_견적1" xfId="14484"/>
    <cellStyle name="_인원계획표 _내역(02.10.14)신령-영천(2공구)-0.3312_☆남악2-3공구가실행_견적서_견적1_28-3-2 삼환-대한생명 63빌딩 현장 철거공사 (재노경)" xfId="14485"/>
    <cellStyle name="_인원계획표 _내역(02.10.14)신령-영천(2공구)-0.3312_3-1(금강)-여의도 세우회관 철거공사" xfId="14463"/>
    <cellStyle name="_인원계획표 _내역(02.10.14)신령-영천(2공구)-0.3312_3-1(금강)-여의도 세우회관 철거공사_24-1(동부)-두능-연곡 도로건설공사 중 기존교량철거" xfId="14464"/>
    <cellStyle name="_인원계획표 _내역(02.10.14)신령-영천(2공구)-0.3312_3-1(금강)-여의도 세우회관 철거공사_견적1" xfId="14465"/>
    <cellStyle name="_인원계획표 _내역(02.10.14)신령-영천(2공구)-0.3312_3-1(금강)-여의도 세우회관 철거공사_견적1_28-3-2 삼환-대한생명 63빌딩 현장 철거공사 (재노경)" xfId="14466"/>
    <cellStyle name="_인원계획표 _내역(02.10.14)신령-영천(2공구)-0.3312_8-2(삼성)-김해공항 국제청 화물청사 세관창고철거" xfId="14467"/>
    <cellStyle name="_인원계획표 _내역(02.10.14)신령-영천(2공구)-0.3312_8-2(삼성)-김해공항 국제청 화물청사 세관창고철거_24-1(동부)-두능-연곡 도로건설공사 중 기존교량철거" xfId="14468"/>
    <cellStyle name="_인원계획표 _내역(02.10.14)신령-영천(2공구)-0.3312_8-2(삼성)-김해공항 국제청 화물청사 세관창고철거_견적1" xfId="14469"/>
    <cellStyle name="_인원계획표 _내역(02.10.14)신령-영천(2공구)-0.3312_8-2(삼성)-김해공항 국제청 화물청사 세관창고철거_견적1_28-3-2 삼환-대한생명 63빌딩 현장 철거공사 (재노경)" xfId="14470"/>
    <cellStyle name="_인원계획표 _내역(02.10.14)신령-영천(2공구)-0.3312_견적1" xfId="14486"/>
    <cellStyle name="_인원계획표 _내역(02.10.14)신령-영천(2공구)-0.3312_견적1_28-3-2 삼환-대한생명 63빌딩 현장 철거공사 (재노경)" xfId="14487"/>
    <cellStyle name="_인원계획표 _내역(02.10.14)신령-영천(2공구)-0.3312_견적서" xfId="14488"/>
    <cellStyle name="_인원계획표 _내역(02.10.14)신령-영천(2공구)-0.3312_견적서_24-1(동부)-두능-연곡 도로건설공사 중 기존교량철거" xfId="14489"/>
    <cellStyle name="_인원계획표 _내역(02.10.14)신령-영천(2공구)-0.3312_견적서_견적1" xfId="14490"/>
    <cellStyle name="_인원계획표 _내역(02.10.14)신령-영천(2공구)-0.3312_견적서_견적1_28-3-2 삼환-대한생명 63빌딩 현장 철거공사 (재노경)" xfId="14491"/>
    <cellStyle name="_인원계획표 _내역(02.11.07)강변북로(청담대교-성수대교)확장공사" xfId="14492"/>
    <cellStyle name="_인원계획표 _내역(02.11.07)강변북로(청담대교-성수대교)확장공사_☆남악2-3공구가실행" xfId="14501"/>
    <cellStyle name="_인원계획표 _내역(02.11.07)강변북로(청담대교-성수대교)확장공사_☆남악2-3공구가실행_3-1(금강)-여의도 세우회관 철거공사" xfId="14502"/>
    <cellStyle name="_인원계획표 _내역(02.11.07)강변북로(청담대교-성수대교)확장공사_☆남악2-3공구가실행_3-1(금강)-여의도 세우회관 철거공사_24-1(동부)-두능-연곡 도로건설공사 중 기존교량철거" xfId="14503"/>
    <cellStyle name="_인원계획표 _내역(02.11.07)강변북로(청담대교-성수대교)확장공사_☆남악2-3공구가실행_3-1(금강)-여의도 세우회관 철거공사_견적1" xfId="14504"/>
    <cellStyle name="_인원계획표 _내역(02.11.07)강변북로(청담대교-성수대교)확장공사_☆남악2-3공구가실행_3-1(금강)-여의도 세우회관 철거공사_견적1_28-3-2 삼환-대한생명 63빌딩 현장 철거공사 (재노경)" xfId="14505"/>
    <cellStyle name="_인원계획표 _내역(02.11.07)강변북로(청담대교-성수대교)확장공사_☆남악2-3공구가실행_8-2(삼성)-김해공항 국제청 화물청사 세관창고철거" xfId="14506"/>
    <cellStyle name="_인원계획표 _내역(02.11.07)강변북로(청담대교-성수대교)확장공사_☆남악2-3공구가실행_8-2(삼성)-김해공항 국제청 화물청사 세관창고철거_24-1(동부)-두능-연곡 도로건설공사 중 기존교량철거" xfId="14507"/>
    <cellStyle name="_인원계획표 _내역(02.11.07)강변북로(청담대교-성수대교)확장공사_☆남악2-3공구가실행_8-2(삼성)-김해공항 국제청 화물청사 세관창고철거_견적1" xfId="14508"/>
    <cellStyle name="_인원계획표 _내역(02.11.07)강변북로(청담대교-성수대교)확장공사_☆남악2-3공구가실행_8-2(삼성)-김해공항 국제청 화물청사 세관창고철거_견적1_28-3-2 삼환-대한생명 63빌딩 현장 철거공사 (재노경)" xfId="14509"/>
    <cellStyle name="_인원계획표 _내역(02.11.07)강변북로(청담대교-성수대교)확장공사_☆남악2-3공구가실행_견적1" xfId="14510"/>
    <cellStyle name="_인원계획표 _내역(02.11.07)강변북로(청담대교-성수대교)확장공사_☆남악2-3공구가실행_견적1_28-3-2 삼환-대한생명 63빌딩 현장 철거공사 (재노경)" xfId="14511"/>
    <cellStyle name="_인원계획표 _내역(02.11.07)강변북로(청담대교-성수대교)확장공사_☆남악2-3공구가실행_견적서" xfId="14512"/>
    <cellStyle name="_인원계획표 _내역(02.11.07)강변북로(청담대교-성수대교)확장공사_☆남악2-3공구가실행_견적서_24-1(동부)-두능-연곡 도로건설공사 중 기존교량철거" xfId="14513"/>
    <cellStyle name="_인원계획표 _내역(02.11.07)강변북로(청담대교-성수대교)확장공사_☆남악2-3공구가실행_견적서_견적1" xfId="14514"/>
    <cellStyle name="_인원계획표 _내역(02.11.07)강변북로(청담대교-성수대교)확장공사_☆남악2-3공구가실행_견적서_견적1_28-3-2 삼환-대한생명 63빌딩 현장 철거공사 (재노경)" xfId="14515"/>
    <cellStyle name="_인원계획표 _내역(02.11.07)강변북로(청담대교-성수대교)확장공사_3-1(금강)-여의도 세우회관 철거공사" xfId="14493"/>
    <cellStyle name="_인원계획표 _내역(02.11.07)강변북로(청담대교-성수대교)확장공사_3-1(금강)-여의도 세우회관 철거공사_24-1(동부)-두능-연곡 도로건설공사 중 기존교량철거" xfId="14494"/>
    <cellStyle name="_인원계획표 _내역(02.11.07)강변북로(청담대교-성수대교)확장공사_3-1(금강)-여의도 세우회관 철거공사_견적1" xfId="14495"/>
    <cellStyle name="_인원계획표 _내역(02.11.07)강변북로(청담대교-성수대교)확장공사_3-1(금강)-여의도 세우회관 철거공사_견적1_28-3-2 삼환-대한생명 63빌딩 현장 철거공사 (재노경)" xfId="14496"/>
    <cellStyle name="_인원계획표 _내역(02.11.07)강변북로(청담대교-성수대교)확장공사_8-2(삼성)-김해공항 국제청 화물청사 세관창고철거" xfId="14497"/>
    <cellStyle name="_인원계획표 _내역(02.11.07)강변북로(청담대교-성수대교)확장공사_8-2(삼성)-김해공항 국제청 화물청사 세관창고철거_24-1(동부)-두능-연곡 도로건설공사 중 기존교량철거" xfId="14498"/>
    <cellStyle name="_인원계획표 _내역(02.11.07)강변북로(청담대교-성수대교)확장공사_8-2(삼성)-김해공항 국제청 화물청사 세관창고철거_견적1" xfId="14499"/>
    <cellStyle name="_인원계획표 _내역(02.11.07)강변북로(청담대교-성수대교)확장공사_8-2(삼성)-김해공항 국제청 화물청사 세관창고철거_견적1_28-3-2 삼환-대한생명 63빌딩 현장 철거공사 (재노경)" xfId="14500"/>
    <cellStyle name="_인원계획표 _내역(02.11.07)강변북로(청담대교-성수대교)확장공사_견적1" xfId="14516"/>
    <cellStyle name="_인원계획표 _내역(02.11.07)강변북로(청담대교-성수대교)확장공사_견적1_28-3-2 삼환-대한생명 63빌딩 현장 철거공사 (재노경)" xfId="14517"/>
    <cellStyle name="_인원계획표 _내역(02.11.07)강변북로(청담대교-성수대교)확장공사_견적서" xfId="14518"/>
    <cellStyle name="_인원계획표 _내역(02.11.07)강변북로(청담대교-성수대교)확장공사_견적서_24-1(동부)-두능-연곡 도로건설공사 중 기존교량철거" xfId="14519"/>
    <cellStyle name="_인원계획표 _내역(02.11.07)강변북로(청담대교-성수대교)확장공사_견적서_견적1" xfId="14520"/>
    <cellStyle name="_인원계획표 _내역(02.11.07)강변북로(청담대교-성수대교)확장공사_견적서_견적1_28-3-2 삼환-대한생명 63빌딩 현장 철거공사 (재노경)" xfId="14521"/>
    <cellStyle name="_인원계획표 _내역(02.11.27)무안~광주간 건설공사(제2공구)투찰" xfId="14522"/>
    <cellStyle name="_인원계획표 _내역(02.11.27)무안~광주간 건설공사(제2공구)투찰_☆남악2-3공구가실행" xfId="14531"/>
    <cellStyle name="_인원계획표 _내역(02.11.27)무안~광주간 건설공사(제2공구)투찰_☆남악2-3공구가실행_3-1(금강)-여의도 세우회관 철거공사" xfId="14532"/>
    <cellStyle name="_인원계획표 _내역(02.11.27)무안~광주간 건설공사(제2공구)투찰_☆남악2-3공구가실행_3-1(금강)-여의도 세우회관 철거공사_24-1(동부)-두능-연곡 도로건설공사 중 기존교량철거" xfId="14533"/>
    <cellStyle name="_인원계획표 _내역(02.11.27)무안~광주간 건설공사(제2공구)투찰_☆남악2-3공구가실행_3-1(금강)-여의도 세우회관 철거공사_견적1" xfId="14534"/>
    <cellStyle name="_인원계획표 _내역(02.11.27)무안~광주간 건설공사(제2공구)투찰_☆남악2-3공구가실행_3-1(금강)-여의도 세우회관 철거공사_견적1_28-3-2 삼환-대한생명 63빌딩 현장 철거공사 (재노경)" xfId="14535"/>
    <cellStyle name="_인원계획표 _내역(02.11.27)무안~광주간 건설공사(제2공구)투찰_☆남악2-3공구가실행_8-2(삼성)-김해공항 국제청 화물청사 세관창고철거" xfId="14536"/>
    <cellStyle name="_인원계획표 _내역(02.11.27)무안~광주간 건설공사(제2공구)투찰_☆남악2-3공구가실행_8-2(삼성)-김해공항 국제청 화물청사 세관창고철거_24-1(동부)-두능-연곡 도로건설공사 중 기존교량철거" xfId="14537"/>
    <cellStyle name="_인원계획표 _내역(02.11.27)무안~광주간 건설공사(제2공구)투찰_☆남악2-3공구가실행_8-2(삼성)-김해공항 국제청 화물청사 세관창고철거_견적1" xfId="14538"/>
    <cellStyle name="_인원계획표 _내역(02.11.27)무안~광주간 건설공사(제2공구)투찰_☆남악2-3공구가실행_8-2(삼성)-김해공항 국제청 화물청사 세관창고철거_견적1_28-3-2 삼환-대한생명 63빌딩 현장 철거공사 (재노경)" xfId="14539"/>
    <cellStyle name="_인원계획표 _내역(02.11.27)무안~광주간 건설공사(제2공구)투찰_☆남악2-3공구가실행_견적1" xfId="14540"/>
    <cellStyle name="_인원계획표 _내역(02.11.27)무안~광주간 건설공사(제2공구)투찰_☆남악2-3공구가실행_견적1_28-3-2 삼환-대한생명 63빌딩 현장 철거공사 (재노경)" xfId="14541"/>
    <cellStyle name="_인원계획표 _내역(02.11.27)무안~광주간 건설공사(제2공구)투찰_☆남악2-3공구가실행_견적서" xfId="14542"/>
    <cellStyle name="_인원계획표 _내역(02.11.27)무안~광주간 건설공사(제2공구)투찰_☆남악2-3공구가실행_견적서_24-1(동부)-두능-연곡 도로건설공사 중 기존교량철거" xfId="14543"/>
    <cellStyle name="_인원계획표 _내역(02.11.27)무안~광주간 건설공사(제2공구)투찰_☆남악2-3공구가실행_견적서_견적1" xfId="14544"/>
    <cellStyle name="_인원계획표 _내역(02.11.27)무안~광주간 건설공사(제2공구)투찰_☆남악2-3공구가실행_견적서_견적1_28-3-2 삼환-대한생명 63빌딩 현장 철거공사 (재노경)" xfId="14545"/>
    <cellStyle name="_인원계획표 _내역(02.11.27)무안~광주간 건설공사(제2공구)투찰_3-1(금강)-여의도 세우회관 철거공사" xfId="14523"/>
    <cellStyle name="_인원계획표 _내역(02.11.27)무안~광주간 건설공사(제2공구)투찰_3-1(금강)-여의도 세우회관 철거공사_24-1(동부)-두능-연곡 도로건설공사 중 기존교량철거" xfId="14524"/>
    <cellStyle name="_인원계획표 _내역(02.11.27)무안~광주간 건설공사(제2공구)투찰_3-1(금강)-여의도 세우회관 철거공사_견적1" xfId="14525"/>
    <cellStyle name="_인원계획표 _내역(02.11.27)무안~광주간 건설공사(제2공구)투찰_3-1(금강)-여의도 세우회관 철거공사_견적1_28-3-2 삼환-대한생명 63빌딩 현장 철거공사 (재노경)" xfId="14526"/>
    <cellStyle name="_인원계획표 _내역(02.11.27)무안~광주간 건설공사(제2공구)투찰_8-2(삼성)-김해공항 국제청 화물청사 세관창고철거" xfId="14527"/>
    <cellStyle name="_인원계획표 _내역(02.11.27)무안~광주간 건설공사(제2공구)투찰_8-2(삼성)-김해공항 국제청 화물청사 세관창고철거_24-1(동부)-두능-연곡 도로건설공사 중 기존교량철거" xfId="14528"/>
    <cellStyle name="_인원계획표 _내역(02.11.27)무안~광주간 건설공사(제2공구)투찰_8-2(삼성)-김해공항 국제청 화물청사 세관창고철거_견적1" xfId="14529"/>
    <cellStyle name="_인원계획표 _내역(02.11.27)무안~광주간 건설공사(제2공구)투찰_8-2(삼성)-김해공항 국제청 화물청사 세관창고철거_견적1_28-3-2 삼환-대한생명 63빌딩 현장 철거공사 (재노경)" xfId="14530"/>
    <cellStyle name="_인원계획표 _내역(02.11.27)무안~광주간 건설공사(제2공구)투찰_견적1" xfId="14546"/>
    <cellStyle name="_인원계획표 _내역(02.11.27)무안~광주간 건설공사(제2공구)투찰_견적1_28-3-2 삼환-대한생명 63빌딩 현장 철거공사 (재노경)" xfId="14547"/>
    <cellStyle name="_인원계획표 _내역(02.11.27)무안~광주간 건설공사(제2공구)투찰_견적서" xfId="14548"/>
    <cellStyle name="_인원계획표 _내역(02.11.27)무안~광주간 건설공사(제2공구)투찰_견적서_24-1(동부)-두능-연곡 도로건설공사 중 기존교량철거" xfId="14549"/>
    <cellStyle name="_인원계획표 _내역(02.11.27)무안~광주간 건설공사(제2공구)투찰_견적서_견적1" xfId="14550"/>
    <cellStyle name="_인원계획표 _내역(02.11.27)무안~광주간 건설공사(제2공구)투찰_견적서_견적1_28-3-2 삼환-대한생명 63빌딩 현장 철거공사 (재노경)" xfId="14551"/>
    <cellStyle name="_인원계획표 _내역서(건설사)" xfId="14552"/>
    <cellStyle name="_인원계획표 _내역서(건설사) 2" xfId="14553"/>
    <cellStyle name="_인원계획표 _내역서(작업)" xfId="14554"/>
    <cellStyle name="_인원계획표 _내역서(작업) 2" xfId="14555"/>
    <cellStyle name="_인원계획표 _내역서(최초)" xfId="14556"/>
    <cellStyle name="_인원계획표 _내역서(최초) 2" xfId="14557"/>
    <cellStyle name="_인원계획표 _대안투찰내역(0221)" xfId="14558"/>
    <cellStyle name="_인원계획표 _대안투찰내역(0221)_3-1(금강)-여의도 세우회관 철거공사" xfId="14559"/>
    <cellStyle name="_인원계획표 _대안투찰내역(0221)_3-1(금강)-여의도 세우회관 철거공사_24-1(동부)-두능-연곡 도로건설공사 중 기존교량철거" xfId="14560"/>
    <cellStyle name="_인원계획표 _대안투찰내역(0221)_3-1(금강)-여의도 세우회관 철거공사_견적1" xfId="14561"/>
    <cellStyle name="_인원계획표 _대안투찰내역(0221)_3-1(금강)-여의도 세우회관 철거공사_견적1_28-3-2 삼환-대한생명 63빌딩 현장 철거공사 (재노경)" xfId="14562"/>
    <cellStyle name="_인원계획표 _대안투찰내역(0221)_8-2(삼성)-김해공항 국제청 화물청사 세관창고철거" xfId="14563"/>
    <cellStyle name="_인원계획표 _대안투찰내역(0221)_8-2(삼성)-김해공항 국제청 화물청사 세관창고철거_24-1(동부)-두능-연곡 도로건설공사 중 기존교량철거" xfId="14564"/>
    <cellStyle name="_인원계획표 _대안투찰내역(0221)_8-2(삼성)-김해공항 국제청 화물청사 세관창고철거_견적1" xfId="14565"/>
    <cellStyle name="_인원계획표 _대안투찰내역(0221)_8-2(삼성)-김해공항 국제청 화물청사 세관창고철거_견적1_28-3-2 삼환-대한생명 63빌딩 현장 철거공사 (재노경)" xfId="14566"/>
    <cellStyle name="_인원계획표 _대안투찰내역(0221)_견적1" xfId="14567"/>
    <cellStyle name="_인원계획표 _대안투찰내역(0221)_견적1_28-3-2 삼환-대한생명 63빌딩 현장 철거공사 (재노경)" xfId="14568"/>
    <cellStyle name="_인원계획표 _대안투찰내역(0221)_견적서" xfId="14569"/>
    <cellStyle name="_인원계획표 _대안투찰내역(0221)_견적서_24-1(동부)-두능-연곡 도로건설공사 중 기존교량철거" xfId="14570"/>
    <cellStyle name="_인원계획표 _대안투찰내역(0221)_견적서_견적1" xfId="14571"/>
    <cellStyle name="_인원계획표 _대안투찰내역(0221)_견적서_견적1_28-3-2 삼환-대한생명 63빌딩 현장 철거공사 (재노경)" xfId="14572"/>
    <cellStyle name="_인원계획표 _대안투찰내역(0223)" xfId="14573"/>
    <cellStyle name="_인원계획표 _대안투찰내역(0223)_3-1(금강)-여의도 세우회관 철거공사" xfId="14574"/>
    <cellStyle name="_인원계획표 _대안투찰내역(0223)_3-1(금강)-여의도 세우회관 철거공사_24-1(동부)-두능-연곡 도로건설공사 중 기존교량철거" xfId="14575"/>
    <cellStyle name="_인원계획표 _대안투찰내역(0223)_3-1(금강)-여의도 세우회관 철거공사_견적1" xfId="14576"/>
    <cellStyle name="_인원계획표 _대안투찰내역(0223)_3-1(금강)-여의도 세우회관 철거공사_견적1_28-3-2 삼환-대한생명 63빌딩 현장 철거공사 (재노경)" xfId="14577"/>
    <cellStyle name="_인원계획표 _대안투찰내역(0223)_8-2(삼성)-김해공항 국제청 화물청사 세관창고철거" xfId="14578"/>
    <cellStyle name="_인원계획표 _대안투찰내역(0223)_8-2(삼성)-김해공항 국제청 화물청사 세관창고철거_24-1(동부)-두능-연곡 도로건설공사 중 기존교량철거" xfId="14579"/>
    <cellStyle name="_인원계획표 _대안투찰내역(0223)_8-2(삼성)-김해공항 국제청 화물청사 세관창고철거_견적1" xfId="14580"/>
    <cellStyle name="_인원계획표 _대안투찰내역(0223)_8-2(삼성)-김해공항 국제청 화물청사 세관창고철거_견적1_28-3-2 삼환-대한생명 63빌딩 현장 철거공사 (재노경)" xfId="14581"/>
    <cellStyle name="_인원계획표 _대안투찰내역(0223)_견적1" xfId="14582"/>
    <cellStyle name="_인원계획표 _대안투찰내역(0223)_견적1_28-3-2 삼환-대한생명 63빌딩 현장 철거공사 (재노경)" xfId="14583"/>
    <cellStyle name="_인원계획표 _대안투찰내역(0223)_견적서" xfId="14584"/>
    <cellStyle name="_인원계획표 _대안투찰내역(0223)_견적서_24-1(동부)-두능-연곡 도로건설공사 중 기존교량철거" xfId="14585"/>
    <cellStyle name="_인원계획표 _대안투찰내역(0223)_견적서_견적1" xfId="14586"/>
    <cellStyle name="_인원계획표 _대안투찰내역(0223)_견적서_견적1_28-3-2 삼환-대한생명 63빌딩 현장 철거공사 (재노경)" xfId="14587"/>
    <cellStyle name="_인원계획표 _대안투찰내역(확정본0226)" xfId="14588"/>
    <cellStyle name="_인원계획표 _대안투찰내역(확정본0226)_3-1(금강)-여의도 세우회관 철거공사" xfId="14589"/>
    <cellStyle name="_인원계획표 _대안투찰내역(확정본0226)_3-1(금강)-여의도 세우회관 철거공사_24-1(동부)-두능-연곡 도로건설공사 중 기존교량철거" xfId="14590"/>
    <cellStyle name="_인원계획표 _대안투찰내역(확정본0226)_3-1(금강)-여의도 세우회관 철거공사_견적1" xfId="14591"/>
    <cellStyle name="_인원계획표 _대안투찰내역(확정본0226)_3-1(금강)-여의도 세우회관 철거공사_견적1_28-3-2 삼환-대한생명 63빌딩 현장 철거공사 (재노경)" xfId="14592"/>
    <cellStyle name="_인원계획표 _대안투찰내역(확정본0226)_8-2(삼성)-김해공항 국제청 화물청사 세관창고철거" xfId="14593"/>
    <cellStyle name="_인원계획표 _대안투찰내역(확정본0226)_8-2(삼성)-김해공항 국제청 화물청사 세관창고철거_24-1(동부)-두능-연곡 도로건설공사 중 기존교량철거" xfId="14594"/>
    <cellStyle name="_인원계획표 _대안투찰내역(확정본0226)_8-2(삼성)-김해공항 국제청 화물청사 세관창고철거_견적1" xfId="14595"/>
    <cellStyle name="_인원계획표 _대안투찰내역(확정본0226)_8-2(삼성)-김해공항 국제청 화물청사 세관창고철거_견적1_28-3-2 삼환-대한생명 63빌딩 현장 철거공사 (재노경)" xfId="14596"/>
    <cellStyle name="_인원계획표 _대안투찰내역(확정본0226)_견적1" xfId="14597"/>
    <cellStyle name="_인원계획표 _대안투찰내역(확정본0226)_견적1_28-3-2 삼환-대한생명 63빌딩 현장 철거공사 (재노경)" xfId="14598"/>
    <cellStyle name="_인원계획표 _대안투찰내역(확정본0226)_견적서" xfId="14599"/>
    <cellStyle name="_인원계획표 _대안투찰내역(확정본0226)_견적서_24-1(동부)-두능-연곡 도로건설공사 중 기존교량철거" xfId="14600"/>
    <cellStyle name="_인원계획표 _대안투찰내역(확정본0226)_견적서_견적1" xfId="14601"/>
    <cellStyle name="_인원계획표 _대안투찰내역(확정본0226)_견적서_견적1_28-3-2 삼환-대한생명 63빌딩 현장 철거공사 (재노경)" xfId="14602"/>
    <cellStyle name="_인원계획표 _도급내역서(01년1월)" xfId="14603"/>
    <cellStyle name="_인원계획표 _도급내역서(01년1월) 2" xfId="14604"/>
    <cellStyle name="_인원계획표 _도급내역서(최종)" xfId="14605"/>
    <cellStyle name="_인원계획표 _도급내역서(최종) 2" xfId="14606"/>
    <cellStyle name="_인원계획표 _도급실행0211" xfId="14607"/>
    <cellStyle name="_인원계획표 _도급실행0211_3-1(금강)-여의도 세우회관 철거공사" xfId="14608"/>
    <cellStyle name="_인원계획표 _도급실행0211_3-1(금강)-여의도 세우회관 철거공사_24-1(동부)-두능-연곡 도로건설공사 중 기존교량철거" xfId="14609"/>
    <cellStyle name="_인원계획표 _도급실행0211_3-1(금강)-여의도 세우회관 철거공사_견적1" xfId="14610"/>
    <cellStyle name="_인원계획표 _도급실행0211_3-1(금강)-여의도 세우회관 철거공사_견적1_28-3-2 삼환-대한생명 63빌딩 현장 철거공사 (재노경)" xfId="14611"/>
    <cellStyle name="_인원계획표 _도급실행0211_8-2(삼성)-김해공항 국제청 화물청사 세관창고철거" xfId="14612"/>
    <cellStyle name="_인원계획표 _도급실행0211_8-2(삼성)-김해공항 국제청 화물청사 세관창고철거_24-1(동부)-두능-연곡 도로건설공사 중 기존교량철거" xfId="14613"/>
    <cellStyle name="_인원계획표 _도급실행0211_8-2(삼성)-김해공항 국제청 화물청사 세관창고철거_견적1" xfId="14614"/>
    <cellStyle name="_인원계획표 _도급실행0211_8-2(삼성)-김해공항 국제청 화물청사 세관창고철거_견적1_28-3-2 삼환-대한생명 63빌딩 현장 철거공사 (재노경)" xfId="14615"/>
    <cellStyle name="_인원계획표 _도급실행0211_견적1" xfId="14616"/>
    <cellStyle name="_인원계획표 _도급실행0211_견적1_28-3-2 삼환-대한생명 63빌딩 현장 철거공사 (재노경)" xfId="14617"/>
    <cellStyle name="_인원계획표 _도급실행0211_견적서" xfId="14618"/>
    <cellStyle name="_인원계획표 _도급실행0211_견적서_24-1(동부)-두능-연곡 도로건설공사 중 기존교량철거" xfId="14619"/>
    <cellStyle name="_인원계획표 _도급실행0211_견적서_견적1" xfId="14620"/>
    <cellStyle name="_인원계획표 _도급실행0211_견적서_견적1_28-3-2 삼환-대한생명 63빌딩 현장 철거공사 (재노경)" xfId="14621"/>
    <cellStyle name="_인원계획표 _두산산업개발 입찰견적" xfId="14622"/>
    <cellStyle name="_인원계획표 _두산산업개발 입찰견적 2" xfId="14623"/>
    <cellStyle name="_인원계획표 _두산중공업 입찰견적" xfId="14624"/>
    <cellStyle name="_인원계획표 _두산중공업 입찰견적 2" xfId="14625"/>
    <cellStyle name="_인원계획표 _롯데마그넷(오산점)" xfId="14626"/>
    <cellStyle name="_인원계획표 _롯데마그넷(오산점) 2" xfId="14627"/>
    <cellStyle name="_인원계획표 _롯데마그넷(오산점)_내역서(건설사)" xfId="14628"/>
    <cellStyle name="_인원계획표 _롯데마그넷(오산점)_내역서(건설사) 2" xfId="14629"/>
    <cellStyle name="_인원계획표 _롯데마그넷(오산점)_내역서(작업)" xfId="14630"/>
    <cellStyle name="_인원계획표 _롯데마그넷(오산점)_내역서(작업) 2" xfId="14631"/>
    <cellStyle name="_인원계획표 _롯데마그넷(오산점)_통영점공조및위생" xfId="14632"/>
    <cellStyle name="_인원계획표 _롯데마그넷(오산점)_통영점공조및위생 2" xfId="14633"/>
    <cellStyle name="_인원계획표 _롯데마그넷(오산점)_통영점공조및위생_내역서(건설사)" xfId="14634"/>
    <cellStyle name="_인원계획표 _롯데마그넷(오산점)_통영점공조및위생_내역서(건설사) 2" xfId="14635"/>
    <cellStyle name="_인원계획표 _롯데마그넷(오산점)_통영점공조및위생_내역서(작업)" xfId="14636"/>
    <cellStyle name="_인원계획표 _롯데마그넷(오산점)_통영점공조및위생_내역서(작업) 2" xfId="14637"/>
    <cellStyle name="_인원계획표 _마그넷오산점내역(020320)" xfId="14638"/>
    <cellStyle name="_인원계획표 _마그넷오산점내역(020320) 2" xfId="14639"/>
    <cellStyle name="_인원계획표 _마그넷오산점내역(020320)_내역서(건설사)" xfId="14640"/>
    <cellStyle name="_인원계획표 _마그넷오산점내역(020320)_내역서(건설사) 2" xfId="14641"/>
    <cellStyle name="_인원계획표 _마그넷오산점내역(020320)_내역서(작업)" xfId="14642"/>
    <cellStyle name="_인원계획표 _마그넷오산점내역(020320)_내역서(작업) 2" xfId="14643"/>
    <cellStyle name="_인원계획표 _마그넷오산점내역(020320)_통영점공조및위생" xfId="14644"/>
    <cellStyle name="_인원계획표 _마그넷오산점내역(020320)_통영점공조및위생 2" xfId="14645"/>
    <cellStyle name="_인원계획표 _마그넷오산점내역(020320)_통영점공조및위생_내역서(건설사)" xfId="14646"/>
    <cellStyle name="_인원계획표 _마그넷오산점내역(020320)_통영점공조및위생_내역서(건설사) 2" xfId="14647"/>
    <cellStyle name="_인원계획표 _마그넷오산점내역(020320)_통영점공조및위생_내역서(작업)" xfId="14648"/>
    <cellStyle name="_인원계획표 _마그넷오산점내역(020320)_통영점공조및위생_내역서(작업) 2" xfId="14649"/>
    <cellStyle name="_인원계획표 _부대결과" xfId="14650"/>
    <cellStyle name="_인원계획표 _부대결과 2" xfId="14651"/>
    <cellStyle name="_인원계획표 _부대결과_Book1" xfId="14652"/>
    <cellStyle name="_인원계획표 _부대결과_Book1 2" xfId="14653"/>
    <cellStyle name="_인원계획표 _부대결과_Book1_내역서(최초)" xfId="14654"/>
    <cellStyle name="_인원계획표 _부대결과_Book1_내역서(최초) 2" xfId="14655"/>
    <cellStyle name="_인원계획표 _부대결과_Book1_설계내역서" xfId="14656"/>
    <cellStyle name="_인원계획표 _부대결과_Book1_설계내역서 2" xfId="14657"/>
    <cellStyle name="_인원계획표 _부대결과_Book1_설계내역서(2차)" xfId="14658"/>
    <cellStyle name="_인원계획표 _부대결과_Book1_설계내역서(2차) 2" xfId="14659"/>
    <cellStyle name="_인원계획표 _부대결과_P-(현리-신팔)" xfId="14660"/>
    <cellStyle name="_인원계획표 _부대결과_P-(현리-신팔) 2" xfId="14661"/>
    <cellStyle name="_인원계획표 _부대결과_P-(현리-신팔)_내역서(최초)" xfId="14662"/>
    <cellStyle name="_인원계획표 _부대결과_P-(현리-신팔)_내역서(최초) 2" xfId="14663"/>
    <cellStyle name="_인원계획표 _부대결과_P-(현리-신팔)_설계내역서" xfId="14664"/>
    <cellStyle name="_인원계획표 _부대결과_P-(현리-신팔)_설계내역서 2" xfId="14665"/>
    <cellStyle name="_인원계획표 _부대결과_P-(현리-신팔)_설계내역서(2차)" xfId="14666"/>
    <cellStyle name="_인원계획표 _부대결과_P-(현리-신팔)_설계내역서(2차) 2" xfId="14667"/>
    <cellStyle name="_인원계획표 _부대결과_내역서(최초)" xfId="14668"/>
    <cellStyle name="_인원계획표 _부대결과_내역서(최초) 2" xfId="14669"/>
    <cellStyle name="_인원계획표 _부대결과_설계내역서" xfId="14670"/>
    <cellStyle name="_인원계획표 _부대결과_설계내역서 2" xfId="14671"/>
    <cellStyle name="_인원계획표 _부대결과_설계내역서(2차)" xfId="14672"/>
    <cellStyle name="_인원계획표 _부대결과_설계내역서(2차) 2" xfId="14673"/>
    <cellStyle name="_인원계획표 _부대결과_현리-신팔도로설계" xfId="14674"/>
    <cellStyle name="_인원계획표 _부대결과_현리-신팔도로설계 2" xfId="14675"/>
    <cellStyle name="_인원계획표 _부대결과_현리-신팔도로설계_내역서(최초)" xfId="14676"/>
    <cellStyle name="_인원계획표 _부대결과_현리-신팔도로설계_내역서(최초) 2" xfId="14677"/>
    <cellStyle name="_인원계획표 _부대결과_현리-신팔도로설계_설계내역서" xfId="14678"/>
    <cellStyle name="_인원계획표 _부대결과_현리-신팔도로설계_설계내역서 2" xfId="14679"/>
    <cellStyle name="_인원계획표 _부대결과_현리-신팔도로설계_설계내역서(2차)" xfId="14680"/>
    <cellStyle name="_인원계획표 _부대결과_현리-신팔도로설계_설계내역서(2차) 2" xfId="14681"/>
    <cellStyle name="_인원계획표 _부대입찰특별조건및내역송부(최저가)" xfId="14682"/>
    <cellStyle name="_인원계획표 _부대입찰특별조건및내역송부(최저가) 2" xfId="14683"/>
    <cellStyle name="_인원계획표 _부대입찰특별조건및내역송부(최저가)_Book1" xfId="14684"/>
    <cellStyle name="_인원계획표 _부대입찰특별조건및내역송부(최저가)_Book1 2" xfId="14685"/>
    <cellStyle name="_인원계획표 _부대입찰특별조건및내역송부(최저가)_Book1_내역서(최초)" xfId="14686"/>
    <cellStyle name="_인원계획표 _부대입찰특별조건및내역송부(최저가)_Book1_내역서(최초) 2" xfId="14687"/>
    <cellStyle name="_인원계획표 _부대입찰특별조건및내역송부(최저가)_Book1_설계내역서" xfId="14688"/>
    <cellStyle name="_인원계획표 _부대입찰특별조건및내역송부(최저가)_Book1_설계내역서 2" xfId="14689"/>
    <cellStyle name="_인원계획표 _부대입찰특별조건및내역송부(최저가)_Book1_설계내역서(2차)" xfId="14690"/>
    <cellStyle name="_인원계획표 _부대입찰특별조건및내역송부(최저가)_Book1_설계내역서(2차) 2" xfId="14691"/>
    <cellStyle name="_인원계획표 _부대입찰특별조건및내역송부(최저가)_P-(현리-신팔)" xfId="14692"/>
    <cellStyle name="_인원계획표 _부대입찰특별조건및내역송부(최저가)_P-(현리-신팔) 2" xfId="14693"/>
    <cellStyle name="_인원계획표 _부대입찰특별조건및내역송부(최저가)_P-(현리-신팔)_내역서(최초)" xfId="14694"/>
    <cellStyle name="_인원계획표 _부대입찰특별조건및내역송부(최저가)_P-(현리-신팔)_내역서(최초) 2" xfId="14695"/>
    <cellStyle name="_인원계획표 _부대입찰특별조건및내역송부(최저가)_P-(현리-신팔)_설계내역서" xfId="14696"/>
    <cellStyle name="_인원계획표 _부대입찰특별조건및내역송부(최저가)_P-(현리-신팔)_설계내역서 2" xfId="14697"/>
    <cellStyle name="_인원계획표 _부대입찰특별조건및내역송부(최저가)_P-(현리-신팔)_설계내역서(2차)" xfId="14698"/>
    <cellStyle name="_인원계획표 _부대입찰특별조건및내역송부(최저가)_P-(현리-신팔)_설계내역서(2차) 2" xfId="14699"/>
    <cellStyle name="_인원계획표 _부대입찰특별조건및내역송부(최저가)_내역서(최초)" xfId="14700"/>
    <cellStyle name="_인원계획표 _부대입찰특별조건및내역송부(최저가)_내역서(최초) 2" xfId="14701"/>
    <cellStyle name="_인원계획표 _부대입찰특별조건및내역송부(최저가)_부대결과" xfId="14702"/>
    <cellStyle name="_인원계획표 _부대입찰특별조건및내역송부(최저가)_부대결과 2" xfId="14703"/>
    <cellStyle name="_인원계획표 _부대입찰특별조건및내역송부(최저가)_부대결과_Book1" xfId="14704"/>
    <cellStyle name="_인원계획표 _부대입찰특별조건및내역송부(최저가)_부대결과_Book1 2" xfId="14705"/>
    <cellStyle name="_인원계획표 _부대입찰특별조건및내역송부(최저가)_부대결과_Book1_내역서(최초)" xfId="14706"/>
    <cellStyle name="_인원계획표 _부대입찰특별조건및내역송부(최저가)_부대결과_Book1_내역서(최초) 2" xfId="14707"/>
    <cellStyle name="_인원계획표 _부대입찰특별조건및내역송부(최저가)_부대결과_Book1_설계내역서" xfId="14708"/>
    <cellStyle name="_인원계획표 _부대입찰특별조건및내역송부(최저가)_부대결과_Book1_설계내역서 2" xfId="14709"/>
    <cellStyle name="_인원계획표 _부대입찰특별조건및내역송부(최저가)_부대결과_Book1_설계내역서(2차)" xfId="14710"/>
    <cellStyle name="_인원계획표 _부대입찰특별조건및내역송부(최저가)_부대결과_Book1_설계내역서(2차) 2" xfId="14711"/>
    <cellStyle name="_인원계획표 _부대입찰특별조건및내역송부(최저가)_부대결과_P-(현리-신팔)" xfId="14712"/>
    <cellStyle name="_인원계획표 _부대입찰특별조건및내역송부(최저가)_부대결과_P-(현리-신팔) 2" xfId="14713"/>
    <cellStyle name="_인원계획표 _부대입찰특별조건및내역송부(최저가)_부대결과_P-(현리-신팔)_내역서(최초)" xfId="14714"/>
    <cellStyle name="_인원계획표 _부대입찰특별조건및내역송부(최저가)_부대결과_P-(현리-신팔)_내역서(최초) 2" xfId="14715"/>
    <cellStyle name="_인원계획표 _부대입찰특별조건및내역송부(최저가)_부대결과_P-(현리-신팔)_설계내역서" xfId="14716"/>
    <cellStyle name="_인원계획표 _부대입찰특별조건및내역송부(최저가)_부대결과_P-(현리-신팔)_설계내역서 2" xfId="14717"/>
    <cellStyle name="_인원계획표 _부대입찰특별조건및내역송부(최저가)_부대결과_P-(현리-신팔)_설계내역서(2차)" xfId="14718"/>
    <cellStyle name="_인원계획표 _부대입찰특별조건및내역송부(최저가)_부대결과_P-(현리-신팔)_설계내역서(2차) 2" xfId="14719"/>
    <cellStyle name="_인원계획표 _부대입찰특별조건및내역송부(최저가)_부대결과_내역서(최초)" xfId="14720"/>
    <cellStyle name="_인원계획표 _부대입찰특별조건및내역송부(최저가)_부대결과_내역서(최초) 2" xfId="14721"/>
    <cellStyle name="_인원계획표 _부대입찰특별조건및내역송부(최저가)_부대결과_설계내역서" xfId="14722"/>
    <cellStyle name="_인원계획표 _부대입찰특별조건및내역송부(최저가)_부대결과_설계내역서 2" xfId="14723"/>
    <cellStyle name="_인원계획표 _부대입찰특별조건및내역송부(최저가)_부대결과_설계내역서(2차)" xfId="14724"/>
    <cellStyle name="_인원계획표 _부대입찰특별조건및내역송부(최저가)_부대결과_설계내역서(2차) 2" xfId="14725"/>
    <cellStyle name="_인원계획표 _부대입찰특별조건및내역송부(최저가)_부대결과_현리-신팔도로설계" xfId="14726"/>
    <cellStyle name="_인원계획표 _부대입찰특별조건및내역송부(최저가)_부대결과_현리-신팔도로설계 2" xfId="14727"/>
    <cellStyle name="_인원계획표 _부대입찰특별조건및내역송부(최저가)_부대결과_현리-신팔도로설계_내역서(최초)" xfId="14728"/>
    <cellStyle name="_인원계획표 _부대입찰특별조건및내역송부(최저가)_부대결과_현리-신팔도로설계_내역서(최초) 2" xfId="14729"/>
    <cellStyle name="_인원계획표 _부대입찰특별조건및내역송부(최저가)_부대결과_현리-신팔도로설계_설계내역서" xfId="14730"/>
    <cellStyle name="_인원계획표 _부대입찰특별조건및내역송부(최저가)_부대결과_현리-신팔도로설계_설계내역서 2" xfId="14731"/>
    <cellStyle name="_인원계획표 _부대입찰특별조건및내역송부(최저가)_부대결과_현리-신팔도로설계_설계내역서(2차)" xfId="14732"/>
    <cellStyle name="_인원계획표 _부대입찰특별조건및내역송부(최저가)_부대결과_현리-신팔도로설계_설계내역서(2차) 2" xfId="14733"/>
    <cellStyle name="_인원계획표 _부대입찰특별조건및내역송부(최저가)_설계내역서" xfId="14734"/>
    <cellStyle name="_인원계획표 _부대입찰특별조건및내역송부(최저가)_설계내역서 2" xfId="14735"/>
    <cellStyle name="_인원계획표 _부대입찰특별조건및내역송부(최저가)_설계내역서(2차)" xfId="14736"/>
    <cellStyle name="_인원계획표 _부대입찰특별조건및내역송부(최저가)_설계내역서(2차) 2" xfId="14737"/>
    <cellStyle name="_인원계획표 _부대입찰특별조건및내역송부(최저가)_현리-신팔도로설계" xfId="14738"/>
    <cellStyle name="_인원계획표 _부대입찰특별조건및내역송부(최저가)_현리-신팔도로설계 2" xfId="14739"/>
    <cellStyle name="_인원계획표 _부대입찰특별조건및내역송부(최저가)_현리-신팔도로설계_내역서(최초)" xfId="14740"/>
    <cellStyle name="_인원계획표 _부대입찰특별조건및내역송부(최저가)_현리-신팔도로설계_내역서(최초) 2" xfId="14741"/>
    <cellStyle name="_인원계획표 _부대입찰특별조건및내역송부(최저가)_현리-신팔도로설계_설계내역서" xfId="14742"/>
    <cellStyle name="_인원계획표 _부대입찰특별조건및내역송부(최저가)_현리-신팔도로설계_설계내역서 2" xfId="14743"/>
    <cellStyle name="_인원계획표 _부대입찰특별조건및내역송부(최저가)_현리-신팔도로설계_설계내역서(2차)" xfId="14744"/>
    <cellStyle name="_인원계획표 _부대입찰특별조건및내역송부(최저가)_현리-신팔도로설계_설계내역서(2차) 2" xfId="14745"/>
    <cellStyle name="_인원계획표 _사병기숙사(Announcers booth)" xfId="14746"/>
    <cellStyle name="_인원계획표 _사병기숙사(Announcers booth) 2" xfId="14747"/>
    <cellStyle name="_인원계획표 _사병기숙사(Announcers booth)_53호견적최종" xfId="14748"/>
    <cellStyle name="_인원계획표 _사병기숙사(Announcers booth)_53호견적최종 2" xfId="14749"/>
    <cellStyle name="_인원계획표 _사병기숙사(Announcers booth)_R-0053" xfId="14750"/>
    <cellStyle name="_인원계획표 _사병기숙사(Announcers booth)_R-0053 2" xfId="14751"/>
    <cellStyle name="_인원계획표 _사병기숙사(Announcers booth)_R-0053ELEC대" xfId="14752"/>
    <cellStyle name="_인원계획표 _사병기숙사(Announcers booth)_R-0053ELEC대 2" xfId="14753"/>
    <cellStyle name="_인원계획표 _사병기숙사(Announcers booth)_R-0053SITE" xfId="14754"/>
    <cellStyle name="_인원계획표 _사병기숙사(Announcers booth)_R-0053SITE 2" xfId="14755"/>
    <cellStyle name="_인원계획표 _사본 - ☆태평동  도급내역" xfId="14756"/>
    <cellStyle name="_인원계획표 _사본 - ☆태평동  도급내역 2" xfId="14757"/>
    <cellStyle name="_인원계획표 _사전공사(토목본사검토) " xfId="14758"/>
    <cellStyle name="_인원계획표 _사전공사(토목본사검토)  2" xfId="14759"/>
    <cellStyle name="_인원계획표 _사전공사(토목본사검토)  2 2" xfId="14760"/>
    <cellStyle name="_인원계획표 _사전공사(토목본사검토)  3" xfId="14761"/>
    <cellStyle name="_인원계획표 _사전공사(토목본사검토)  3 2" xfId="14762"/>
    <cellStyle name="_인원계획표 _사전공사(토목본사검토)  4" xfId="14763"/>
    <cellStyle name="_인원계획표 _사전공사(토목본사검토)  4 2" xfId="14764"/>
    <cellStyle name="_인원계획표 _사전공사(토목본사검토)  5" xfId="14765"/>
    <cellStyle name="_인원계획표 _사전공사(토목본사검토)  5 2" xfId="14766"/>
    <cellStyle name="_인원계획표 _사전공사(토목본사검토)  6" xfId="14767"/>
    <cellStyle name="_인원계획표 _사전공사(토목본사검토)  6 2" xfId="14768"/>
    <cellStyle name="_인원계획표 _사전공사(토목본사검토)  7" xfId="14769"/>
    <cellStyle name="_인원계획표 _사전공사(토목본사검토)  7 2" xfId="14770"/>
    <cellStyle name="_인원계획표 _사전공사(토목본사검토)  8" xfId="14771"/>
    <cellStyle name="_인원계획표 _사전공사(토목본사검토) _2007현황보고양식" xfId="14772"/>
    <cellStyle name="_인원계획표 _사전공사(토목본사검토) _2007현황보고양식 2" xfId="14773"/>
    <cellStyle name="_인원계획표 _사전공사(토목본사검토) _Book2" xfId="14774"/>
    <cellStyle name="_인원계획표 _사전공사(토목본사검토) _Book2 2" xfId="14775"/>
    <cellStyle name="_인원계획표 _사전공사(토목본사검토) _Book4" xfId="14776"/>
    <cellStyle name="_인원계획표 _사전공사(토목본사검토) _Book4 2" xfId="14777"/>
    <cellStyle name="_인원계획표 _사전공사(토목본사검토) _가구공사" xfId="14778"/>
    <cellStyle name="_인원계획표 _사전공사(토목본사검토) _가구공사 2" xfId="14779"/>
    <cellStyle name="_인원계획표 _사전공사(토목본사검토) _가구공사_2007현황보고양식" xfId="14780"/>
    <cellStyle name="_인원계획표 _사전공사(토목본사검토) _가구공사_2007현황보고양식 2" xfId="14781"/>
    <cellStyle name="_인원계획표 _사전공사(토목본사검토) _가구공사_두산산업개발 입찰견적" xfId="14782"/>
    <cellStyle name="_인원계획표 _사전공사(토목본사검토) _가구공사_두산산업개발 입찰견적 2" xfId="14783"/>
    <cellStyle name="_인원계획표 _사전공사(토목본사검토) _가구공사_두산중공업 입찰견적" xfId="14784"/>
    <cellStyle name="_인원계획표 _사전공사(토목본사검토) _가구공사_두산중공업 입찰견적 2" xfId="14785"/>
    <cellStyle name="_인원계획표 _사전공사(토목본사검토) _가구공사_추가일위대가표 총괄" xfId="14786"/>
    <cellStyle name="_인원계획표 _사전공사(토목본사검토) _가구공사_추가일위대가표 총괄 2" xfId="14787"/>
    <cellStyle name="_인원계획표 _사전공사(토목본사검토) _가구공사_현대건설 대구대천" xfId="14788"/>
    <cellStyle name="_인원계획표 _사전공사(토목본사검토) _가구공사_현대건설 대구대천 2" xfId="14789"/>
    <cellStyle name="_인원계획표 _사전공사(토목본사검토) _두산산업개발 입찰견적" xfId="14790"/>
    <cellStyle name="_인원계획표 _사전공사(토목본사검토) _두산산업개발 입찰견적 2" xfId="14791"/>
    <cellStyle name="_인원계획표 _사전공사(토목본사검토) _두산중공업 입찰견적" xfId="14792"/>
    <cellStyle name="_인원계획표 _사전공사(토목본사검토) _두산중공업 입찰견적 2" xfId="14793"/>
    <cellStyle name="_인원계획표 _사전공사(토목본사검토) _추가일위대가표 총괄" xfId="14794"/>
    <cellStyle name="_인원계획표 _사전공사(토목본사검토) _추가일위대가표 총괄 2" xfId="14795"/>
    <cellStyle name="_인원계획표 _사전공사(토목본사검토) _현대건설 대구대천" xfId="14796"/>
    <cellStyle name="_인원계획표 _사전공사(토목본사검토) _현대건설 대구대천 2" xfId="14797"/>
    <cellStyle name="_인원계획표 _서초풍림아이원플러스(0723)(2)" xfId="14798"/>
    <cellStyle name="_인원계획표 _서초풍림아이원플러스(0723)(2) 2" xfId="14799"/>
    <cellStyle name="_인원계획표 _설계내역서" xfId="14800"/>
    <cellStyle name="_인원계획표 _설계내역서 2" xfId="14801"/>
    <cellStyle name="_인원계획표 _설계내역서(2차)" xfId="14802"/>
    <cellStyle name="_인원계획표 _설계내역서(2차) 2" xfId="14803"/>
    <cellStyle name="_인원계획표 _성남태평동설비공사" xfId="14804"/>
    <cellStyle name="_인원계획표 _성남태평동설비공사 2" xfId="14805"/>
    <cellStyle name="_인원계획표 _수목" xfId="14806"/>
    <cellStyle name="_인원계획표 _수목 2" xfId="14807"/>
    <cellStyle name="_인원계획표 _수원율전 실행내역" xfId="14808"/>
    <cellStyle name="_인원계획표 _수원율전 실행내역 2" xfId="14809"/>
    <cellStyle name="_인원계획표 _수원율전 실행내역 검토안" xfId="14810"/>
    <cellStyle name="_인원계획표 _수원율전 실행내역 검토안 2" xfId="14811"/>
    <cellStyle name="_인원계획표 _수원율전 실행내역 검토안_사본 - ☆태평동  도급내역" xfId="14812"/>
    <cellStyle name="_인원계획표 _수원율전 실행내역 검토안_사본 - ☆태평동  도급내역 2" xfId="14813"/>
    <cellStyle name="_인원계획표 _수원율전 실행내역 검토안_성남태평동설비공사" xfId="14814"/>
    <cellStyle name="_인원계획표 _수원율전 실행내역 검토안_성남태평동설비공사 2" xfId="14815"/>
    <cellStyle name="_인원계획표 _수원율전 실행내역 검토안_수원율전 실행내역" xfId="14816"/>
    <cellStyle name="_인원계획표 _수원율전 실행내역 검토안_수원율전 실행내역 2" xfId="14817"/>
    <cellStyle name="_인원계획표 _수원율전 실행내역 검토안_수원율전 실행내역 검토안" xfId="14818"/>
    <cellStyle name="_인원계획표 _수원율전 실행내역 검토안_수원율전 실행내역 검토안 2" xfId="14819"/>
    <cellStyle name="_인원계획표 _수원율전 실행내역 검토안_수원율전 실행내역 검토안_사본 - ☆태평동  도급내역" xfId="14820"/>
    <cellStyle name="_인원계획표 _수원율전 실행내역 검토안_수원율전 실행내역 검토안_사본 - ☆태평동  도급내역 2" xfId="14821"/>
    <cellStyle name="_인원계획표 _수원율전 실행내역 검토안_수원율전 실행내역 검토안_성남태평동설비공사" xfId="14822"/>
    <cellStyle name="_인원계획표 _수원율전 실행내역 검토안_수원율전 실행내역 검토안_성남태평동설비공사 2" xfId="14823"/>
    <cellStyle name="_인원계획표 _수원율전 실행내역 검토안_수원율전 실행내역 검토안_수정구 태평동 주상복합 실행내역 검토안" xfId="14824"/>
    <cellStyle name="_인원계획표 _수원율전 실행내역 검토안_수원율전 실행내역 검토안_수정구 태평동 주상복합 실행내역 검토안 2" xfId="14825"/>
    <cellStyle name="_인원계획표 _수원율전 실행내역 검토안_수원율전 실행내역 검토안_태평동 실행내역서" xfId="14826"/>
    <cellStyle name="_인원계획표 _수원율전 실행내역 검토안_수원율전 실행내역 검토안_태평동 실행내역서 2" xfId="14827"/>
    <cellStyle name="_인원계획표 _수원율전 실행내역 검토안_수원율전 실행내역 검토안_태평동도급내역(Rev.2)-12.26" xfId="14828"/>
    <cellStyle name="_인원계획표 _수원율전 실행내역 검토안_수원율전 실행내역 검토안_태평동도급내역(Rev.2)-12.26 2" xfId="14829"/>
    <cellStyle name="_인원계획표 _수원율전 실행내역 검토안_수정구 태평동 주상복합 실행내역 검토안" xfId="14830"/>
    <cellStyle name="_인원계획표 _수원율전 실행내역 검토안_수정구 태평동 주상복합 실행내역 검토안 2" xfId="14831"/>
    <cellStyle name="_인원계획표 _수원율전 실행내역 검토안_태평동 실행내역서" xfId="14832"/>
    <cellStyle name="_인원계획표 _수원율전 실행내역 검토안_태평동 실행내역서 2" xfId="14833"/>
    <cellStyle name="_인원계획표 _수원율전 실행내역 검토안_태평동도급내역(Rev.2)-12.26" xfId="14834"/>
    <cellStyle name="_인원계획표 _수원율전 실행내역 검토안_태평동도급내역(Rev.2)-12.26 2" xfId="14835"/>
    <cellStyle name="_인원계획표 _수원율전조합" xfId="14836"/>
    <cellStyle name="_인원계획표 _수원율전조합 2" xfId="14837"/>
    <cellStyle name="_인원계획표 _수원율전조합_사본 - ☆태평동  도급내역" xfId="14838"/>
    <cellStyle name="_인원계획표 _수원율전조합_사본 - ☆태평동  도급내역 2" xfId="14839"/>
    <cellStyle name="_인원계획표 _수원율전조합_성남태평동설비공사" xfId="14840"/>
    <cellStyle name="_인원계획표 _수원율전조합_성남태평동설비공사 2" xfId="14841"/>
    <cellStyle name="_인원계획표 _수원율전조합_수원율전 실행내역" xfId="14842"/>
    <cellStyle name="_인원계획표 _수원율전조합_수원율전 실행내역 2" xfId="14843"/>
    <cellStyle name="_인원계획표 _수원율전조합_수원율전 실행내역 검토안" xfId="14844"/>
    <cellStyle name="_인원계획표 _수원율전조합_수원율전 실행내역 검토안 2" xfId="14845"/>
    <cellStyle name="_인원계획표 _수원율전조합_수원율전 실행내역 검토안_사본 - ☆태평동  도급내역" xfId="14846"/>
    <cellStyle name="_인원계획표 _수원율전조합_수원율전 실행내역 검토안_사본 - ☆태평동  도급내역 2" xfId="14847"/>
    <cellStyle name="_인원계획표 _수원율전조합_수원율전 실행내역 검토안_성남태평동설비공사" xfId="14848"/>
    <cellStyle name="_인원계획표 _수원율전조합_수원율전 실행내역 검토안_성남태평동설비공사 2" xfId="14849"/>
    <cellStyle name="_인원계획표 _수원율전조합_수원율전 실행내역 검토안_수정구 태평동 주상복합 실행내역 검토안" xfId="14850"/>
    <cellStyle name="_인원계획표 _수원율전조합_수원율전 실행내역 검토안_수정구 태평동 주상복합 실행내역 검토안 2" xfId="14851"/>
    <cellStyle name="_인원계획표 _수원율전조합_수원율전 실행내역 검토안_태평동 실행내역서" xfId="14852"/>
    <cellStyle name="_인원계획표 _수원율전조합_수원율전 실행내역 검토안_태평동 실행내역서 2" xfId="14853"/>
    <cellStyle name="_인원계획표 _수원율전조합_수원율전 실행내역 검토안_태평동도급내역(Rev.2)-12.26" xfId="14854"/>
    <cellStyle name="_인원계획표 _수원율전조합_수원율전 실행내역 검토안_태평동도급내역(Rev.2)-12.26 2" xfId="14855"/>
    <cellStyle name="_인원계획표 _수원율전조합_수정구 태평동 주상복합 실행내역 검토안" xfId="14856"/>
    <cellStyle name="_인원계획표 _수원율전조합_수정구 태평동 주상복합 실행내역 검토안 2" xfId="14857"/>
    <cellStyle name="_인원계획표 _수원율전조합_태평동 실행내역서" xfId="14858"/>
    <cellStyle name="_인원계획표 _수원율전조합_태평동 실행내역서 2" xfId="14859"/>
    <cellStyle name="_인원계획표 _수원율전조합_태평동도급내역(Rev.2)-12.26" xfId="14860"/>
    <cellStyle name="_인원계획표 _수원율전조합_태평동도급내역(Rev.2)-12.26 2" xfId="14861"/>
    <cellStyle name="_인원계획표 _수정구 태평동 주상복합 실행내역 검토안" xfId="14862"/>
    <cellStyle name="_인원계획표 _수정구 태평동 주상복합 실행내역 검토안 2" xfId="14863"/>
    <cellStyle name="_인원계획표 _월계동집행(R0)" xfId="14864"/>
    <cellStyle name="_인원계획표 _월계동집행(R0) 2" xfId="14865"/>
    <cellStyle name="_인원계획표 _월계동집행(R0)_Book2" xfId="14866"/>
    <cellStyle name="_인원계획표 _월계동집행(R0)_Book2 2" xfId="14867"/>
    <cellStyle name="_인원계획표 _월계동집행(R0)_Book4" xfId="14868"/>
    <cellStyle name="_인원계획표 _월계동집행(R0)_Book4 2" xfId="14869"/>
    <cellStyle name="_인원계획표 _월곳집행(본사)" xfId="14870"/>
    <cellStyle name="_인원계획표 _월곳집행(본사) 2" xfId="14871"/>
    <cellStyle name="_인원계획표 _월곳집행(본사)_공내역서(소방)" xfId="14872"/>
    <cellStyle name="_인원계획표 _월곳집행(본사)_공내역서(소방) 2" xfId="14873"/>
    <cellStyle name="_인원계획표 _월곳집행(본사)_공내역서(소방)_내역서(건설사)" xfId="14874"/>
    <cellStyle name="_인원계획표 _월곳집행(본사)_공내역서(소방)_내역서(건설사) 2" xfId="14875"/>
    <cellStyle name="_인원계획표 _월곳집행(본사)_공내역서(소방)_내역서(작업)" xfId="14876"/>
    <cellStyle name="_인원계획표 _월곳집행(본사)_공내역서(소방)_내역서(작업) 2" xfId="14877"/>
    <cellStyle name="_인원계획표 _월곳집행(본사)_공내역서(소방)_롯데마그넷(오산점)" xfId="14878"/>
    <cellStyle name="_인원계획표 _월곳집행(본사)_공내역서(소방)_롯데마그넷(오산점) 2" xfId="14879"/>
    <cellStyle name="_인원계획표 _월곳집행(본사)_공내역서(소방)_롯데마그넷(오산점)_내역서(건설사)" xfId="14880"/>
    <cellStyle name="_인원계획표 _월곳집행(본사)_공내역서(소방)_롯데마그넷(오산점)_내역서(건설사) 2" xfId="14881"/>
    <cellStyle name="_인원계획표 _월곳집행(본사)_공내역서(소방)_롯데마그넷(오산점)_내역서(작업)" xfId="14882"/>
    <cellStyle name="_인원계획표 _월곳집행(본사)_공내역서(소방)_롯데마그넷(오산점)_내역서(작업) 2" xfId="14883"/>
    <cellStyle name="_인원계획표 _월곳집행(본사)_공내역서(소방)_롯데마그넷(오산점)_통영점공조및위생" xfId="14884"/>
    <cellStyle name="_인원계획표 _월곳집행(본사)_공내역서(소방)_롯데마그넷(오산점)_통영점공조및위생 2" xfId="14885"/>
    <cellStyle name="_인원계획표 _월곳집행(본사)_공내역서(소방)_롯데마그넷(오산점)_통영점공조및위생_내역서(건설사)" xfId="14886"/>
    <cellStyle name="_인원계획표 _월곳집행(본사)_공내역서(소방)_롯데마그넷(오산점)_통영점공조및위생_내역서(건설사) 2" xfId="14887"/>
    <cellStyle name="_인원계획표 _월곳집행(본사)_공내역서(소방)_롯데마그넷(오산점)_통영점공조및위생_내역서(작업)" xfId="14888"/>
    <cellStyle name="_인원계획표 _월곳집행(본사)_공내역서(소방)_롯데마그넷(오산점)_통영점공조및위생_내역서(작업) 2" xfId="14889"/>
    <cellStyle name="_인원계획표 _월곳집행(본사)_공내역서(소방)_마그넷오산점내역(020320)" xfId="14890"/>
    <cellStyle name="_인원계획표 _월곳집행(본사)_공내역서(소방)_마그넷오산점내역(020320) 2" xfId="14891"/>
    <cellStyle name="_인원계획표 _월곳집행(본사)_공내역서(소방)_마그넷오산점내역(020320)_내역서(건설사)" xfId="14892"/>
    <cellStyle name="_인원계획표 _월곳집행(본사)_공내역서(소방)_마그넷오산점내역(020320)_내역서(건설사) 2" xfId="14893"/>
    <cellStyle name="_인원계획표 _월곳집행(본사)_공내역서(소방)_마그넷오산점내역(020320)_내역서(작업)" xfId="14894"/>
    <cellStyle name="_인원계획표 _월곳집행(본사)_공내역서(소방)_마그넷오산점내역(020320)_내역서(작업) 2" xfId="14895"/>
    <cellStyle name="_인원계획표 _월곳집행(본사)_공내역서(소방)_마그넷오산점내역(020320)_통영점공조및위생" xfId="14896"/>
    <cellStyle name="_인원계획표 _월곳집행(본사)_공내역서(소방)_마그넷오산점내역(020320)_통영점공조및위생 2" xfId="14897"/>
    <cellStyle name="_인원계획표 _월곳집행(본사)_공내역서(소방)_마그넷오산점내역(020320)_통영점공조및위생_내역서(건설사)" xfId="14898"/>
    <cellStyle name="_인원계획표 _월곳집행(본사)_공내역서(소방)_마그넷오산점내역(020320)_통영점공조및위생_내역서(건설사) 2" xfId="14899"/>
    <cellStyle name="_인원계획표 _월곳집행(본사)_공내역서(소방)_마그넷오산점내역(020320)_통영점공조및위생_내역서(작업)" xfId="14900"/>
    <cellStyle name="_인원계획표 _월곳집행(본사)_공내역서(소방)_마그넷오산점내역(020320)_통영점공조및위생_내역서(작업) 2" xfId="14901"/>
    <cellStyle name="_인원계획표 _월곳집행(본사)_공내역서(소방)_정-의왕가스경보설비공사(기안)" xfId="14902"/>
    <cellStyle name="_인원계획표 _월곳집행(본사)_공내역서(소방)_정-의왕가스경보설비공사(기안) 2" xfId="14903"/>
    <cellStyle name="_인원계획표 _월곳집행(본사)_공내역서(소방)_정-의왕가스경보설비공사(기안)_내역서(건설사)" xfId="14904"/>
    <cellStyle name="_인원계획표 _월곳집행(본사)_공내역서(소방)_정-의왕가스경보설비공사(기안)_내역서(건설사) 2" xfId="14905"/>
    <cellStyle name="_인원계획표 _월곳집행(본사)_공내역서(소방)_정-의왕가스경보설비공사(기안)_내역서(작업)" xfId="14906"/>
    <cellStyle name="_인원계획표 _월곳집행(본사)_공내역서(소방)_정-의왕가스경보설비공사(기안)_내역서(작업) 2" xfId="14907"/>
    <cellStyle name="_인원계획표 _월곳집행(본사)_공내역서(소방)_정-의왕가스경보설비공사(기안)_통영점공조및위생" xfId="14908"/>
    <cellStyle name="_인원계획표 _월곳집행(본사)_공내역서(소방)_정-의왕가스경보설비공사(기안)_통영점공조및위생 2" xfId="14909"/>
    <cellStyle name="_인원계획표 _월곳집행(본사)_공내역서(소방)_정-의왕가스경보설비공사(기안)_통영점공조및위생_내역서(건설사)" xfId="14910"/>
    <cellStyle name="_인원계획표 _월곳집행(본사)_공내역서(소방)_정-의왕가스경보설비공사(기안)_통영점공조및위생_내역서(건설사) 2" xfId="14911"/>
    <cellStyle name="_인원계획표 _월곳집행(본사)_공내역서(소방)_정-의왕가스경보설비공사(기안)_통영점공조및위생_내역서(작업)" xfId="14912"/>
    <cellStyle name="_인원계획표 _월곳집행(본사)_공내역서(소방)_정-의왕가스경보설비공사(기안)_통영점공조및위생_내역서(작업) 2" xfId="14913"/>
    <cellStyle name="_인원계획표 _월곳집행(본사)_공내역서(소방)_통영점공조및위생" xfId="14914"/>
    <cellStyle name="_인원계획표 _월곳집행(본사)_공내역서(소방)_통영점공조및위생 2" xfId="14915"/>
    <cellStyle name="_인원계획표 _월곳집행(본사)_공내역서(소방)_통영점공조및위생_내역서(건설사)" xfId="14916"/>
    <cellStyle name="_인원계획표 _월곳집행(본사)_공내역서(소방)_통영점공조및위생_내역서(건설사) 2" xfId="14917"/>
    <cellStyle name="_인원계획표 _월곳집행(본사)_공내역서(소방)_통영점공조및위생_내역서(작업)" xfId="14918"/>
    <cellStyle name="_인원계획표 _월곳집행(본사)_공내역서(소방)_통영점공조및위생_내역서(작업) 2" xfId="14919"/>
    <cellStyle name="_인원계획표 _월곳집행(본사)_공내역서(소방final)" xfId="14920"/>
    <cellStyle name="_인원계획표 _월곳집행(본사)_공내역서(소방final) 2" xfId="14921"/>
    <cellStyle name="_인원계획표 _월곳집행(본사)_공내역서(소방final)_내역서(건설사)" xfId="14922"/>
    <cellStyle name="_인원계획표 _월곳집행(본사)_공내역서(소방final)_내역서(건설사) 2" xfId="14923"/>
    <cellStyle name="_인원계획표 _월곳집행(본사)_공내역서(소방final)_내역서(작업)" xfId="14924"/>
    <cellStyle name="_인원계획표 _월곳집행(본사)_공내역서(소방final)_내역서(작업) 2" xfId="14925"/>
    <cellStyle name="_인원계획표 _월곳집행(본사)_공내역서(소방final)_롯데마그넷(오산점)" xfId="14926"/>
    <cellStyle name="_인원계획표 _월곳집행(본사)_공내역서(소방final)_롯데마그넷(오산점) 2" xfId="14927"/>
    <cellStyle name="_인원계획표 _월곳집행(본사)_공내역서(소방final)_롯데마그넷(오산점)_내역서(건설사)" xfId="14928"/>
    <cellStyle name="_인원계획표 _월곳집행(본사)_공내역서(소방final)_롯데마그넷(오산점)_내역서(건설사) 2" xfId="14929"/>
    <cellStyle name="_인원계획표 _월곳집행(본사)_공내역서(소방final)_롯데마그넷(오산점)_내역서(작업)" xfId="14930"/>
    <cellStyle name="_인원계획표 _월곳집행(본사)_공내역서(소방final)_롯데마그넷(오산점)_내역서(작업) 2" xfId="14931"/>
    <cellStyle name="_인원계획표 _월곳집행(본사)_공내역서(소방final)_롯데마그넷(오산점)_통영점공조및위생" xfId="14932"/>
    <cellStyle name="_인원계획표 _월곳집행(본사)_공내역서(소방final)_롯데마그넷(오산점)_통영점공조및위생 2" xfId="14933"/>
    <cellStyle name="_인원계획표 _월곳집행(본사)_공내역서(소방final)_롯데마그넷(오산점)_통영점공조및위생_내역서(건설사)" xfId="14934"/>
    <cellStyle name="_인원계획표 _월곳집행(본사)_공내역서(소방final)_롯데마그넷(오산점)_통영점공조및위생_내역서(건설사) 2" xfId="14935"/>
    <cellStyle name="_인원계획표 _월곳집행(본사)_공내역서(소방final)_롯데마그넷(오산점)_통영점공조및위생_내역서(작업)" xfId="14936"/>
    <cellStyle name="_인원계획표 _월곳집행(본사)_공내역서(소방final)_롯데마그넷(오산점)_통영점공조및위생_내역서(작업) 2" xfId="14937"/>
    <cellStyle name="_인원계획표 _월곳집행(본사)_공내역서(소방final)_마그넷오산점내역(020320)" xfId="14938"/>
    <cellStyle name="_인원계획표 _월곳집행(본사)_공내역서(소방final)_마그넷오산점내역(020320) 2" xfId="14939"/>
    <cellStyle name="_인원계획표 _월곳집행(본사)_공내역서(소방final)_마그넷오산점내역(020320)_내역서(건설사)" xfId="14940"/>
    <cellStyle name="_인원계획표 _월곳집행(본사)_공내역서(소방final)_마그넷오산점내역(020320)_내역서(건설사) 2" xfId="14941"/>
    <cellStyle name="_인원계획표 _월곳집행(본사)_공내역서(소방final)_마그넷오산점내역(020320)_내역서(작업)" xfId="14942"/>
    <cellStyle name="_인원계획표 _월곳집행(본사)_공내역서(소방final)_마그넷오산점내역(020320)_내역서(작업) 2" xfId="14943"/>
    <cellStyle name="_인원계획표 _월곳집행(본사)_공내역서(소방final)_마그넷오산점내역(020320)_통영점공조및위생" xfId="14944"/>
    <cellStyle name="_인원계획표 _월곳집행(본사)_공내역서(소방final)_마그넷오산점내역(020320)_통영점공조및위생 2" xfId="14945"/>
    <cellStyle name="_인원계획표 _월곳집행(본사)_공내역서(소방final)_마그넷오산점내역(020320)_통영점공조및위생_내역서(건설사)" xfId="14946"/>
    <cellStyle name="_인원계획표 _월곳집행(본사)_공내역서(소방final)_마그넷오산점내역(020320)_통영점공조및위생_내역서(건설사) 2" xfId="14947"/>
    <cellStyle name="_인원계획표 _월곳집행(본사)_공내역서(소방final)_마그넷오산점내역(020320)_통영점공조및위생_내역서(작업)" xfId="14948"/>
    <cellStyle name="_인원계획표 _월곳집행(본사)_공내역서(소방final)_마그넷오산점내역(020320)_통영점공조및위생_내역서(작업) 2" xfId="14949"/>
    <cellStyle name="_인원계획표 _월곳집행(본사)_공내역서(소방final)_정-의왕가스경보설비공사(기안)" xfId="14950"/>
    <cellStyle name="_인원계획표 _월곳집행(본사)_공내역서(소방final)_정-의왕가스경보설비공사(기안) 2" xfId="14951"/>
    <cellStyle name="_인원계획표 _월곳집행(본사)_공내역서(소방final)_정-의왕가스경보설비공사(기안)_내역서(건설사)" xfId="14952"/>
    <cellStyle name="_인원계획표 _월곳집행(본사)_공내역서(소방final)_정-의왕가스경보설비공사(기안)_내역서(건설사) 2" xfId="14953"/>
    <cellStyle name="_인원계획표 _월곳집행(본사)_공내역서(소방final)_정-의왕가스경보설비공사(기안)_내역서(작업)" xfId="14954"/>
    <cellStyle name="_인원계획표 _월곳집행(본사)_공내역서(소방final)_정-의왕가스경보설비공사(기안)_내역서(작업) 2" xfId="14955"/>
    <cellStyle name="_인원계획표 _월곳집행(본사)_공내역서(소방final)_정-의왕가스경보설비공사(기안)_통영점공조및위생" xfId="14956"/>
    <cellStyle name="_인원계획표 _월곳집행(본사)_공내역서(소방final)_정-의왕가스경보설비공사(기안)_통영점공조및위생 2" xfId="14957"/>
    <cellStyle name="_인원계획표 _월곳집행(본사)_공내역서(소방final)_정-의왕가스경보설비공사(기안)_통영점공조및위생_내역서(건설사)" xfId="14958"/>
    <cellStyle name="_인원계획표 _월곳집행(본사)_공내역서(소방final)_정-의왕가스경보설비공사(기안)_통영점공조및위생_내역서(건설사) 2" xfId="14959"/>
    <cellStyle name="_인원계획표 _월곳집행(본사)_공내역서(소방final)_정-의왕가스경보설비공사(기안)_통영점공조및위생_내역서(작업)" xfId="14960"/>
    <cellStyle name="_인원계획표 _월곳집행(본사)_공내역서(소방final)_정-의왕가스경보설비공사(기안)_통영점공조및위생_내역서(작업) 2" xfId="14961"/>
    <cellStyle name="_인원계획표 _월곳집행(본사)_공내역서(소방final)_통영점공조및위생" xfId="14962"/>
    <cellStyle name="_인원계획표 _월곳집행(본사)_공내역서(소방final)_통영점공조및위생 2" xfId="14963"/>
    <cellStyle name="_인원계획표 _월곳집행(본사)_공내역서(소방final)_통영점공조및위생_내역서(건설사)" xfId="14964"/>
    <cellStyle name="_인원계획표 _월곳집행(본사)_공내역서(소방final)_통영점공조및위생_내역서(건설사) 2" xfId="14965"/>
    <cellStyle name="_인원계획표 _월곳집행(본사)_공내역서(소방final)_통영점공조및위생_내역서(작업)" xfId="14966"/>
    <cellStyle name="_인원계획표 _월곳집행(본사)_공내역서(소방final)_통영점공조및위생_내역서(작업) 2" xfId="14967"/>
    <cellStyle name="_인원계획표 _월곳집행(본사)_내역서(건설사)" xfId="14968"/>
    <cellStyle name="_인원계획표 _월곳집행(본사)_내역서(건설사) 2" xfId="14969"/>
    <cellStyle name="_인원계획표 _월곳집행(본사)_내역서(작업)" xfId="14970"/>
    <cellStyle name="_인원계획표 _월곳집행(본사)_내역서(작업) 2" xfId="14971"/>
    <cellStyle name="_인원계획표 _월곳집행(본사)_롯데마그넷(오산점)" xfId="14972"/>
    <cellStyle name="_인원계획표 _월곳집행(본사)_롯데마그넷(오산점) 2" xfId="14973"/>
    <cellStyle name="_인원계획표 _월곳집행(본사)_롯데마그넷(오산점)_내역서(건설사)" xfId="14974"/>
    <cellStyle name="_인원계획표 _월곳집행(본사)_롯데마그넷(오산점)_내역서(건설사) 2" xfId="14975"/>
    <cellStyle name="_인원계획표 _월곳집행(본사)_롯데마그넷(오산점)_내역서(작업)" xfId="14976"/>
    <cellStyle name="_인원계획표 _월곳집행(본사)_롯데마그넷(오산점)_내역서(작업) 2" xfId="14977"/>
    <cellStyle name="_인원계획표 _월곳집행(본사)_롯데마그넷(오산점)_통영점공조및위생" xfId="14978"/>
    <cellStyle name="_인원계획표 _월곳집행(본사)_롯데마그넷(오산점)_통영점공조및위생 2" xfId="14979"/>
    <cellStyle name="_인원계획표 _월곳집행(본사)_롯데마그넷(오산점)_통영점공조및위생_내역서(건설사)" xfId="14980"/>
    <cellStyle name="_인원계획표 _월곳집행(본사)_롯데마그넷(오산점)_통영점공조및위생_내역서(건설사) 2" xfId="14981"/>
    <cellStyle name="_인원계획표 _월곳집행(본사)_롯데마그넷(오산점)_통영점공조및위생_내역서(작업)" xfId="14982"/>
    <cellStyle name="_인원계획표 _월곳집행(본사)_롯데마그넷(오산점)_통영점공조및위생_내역서(작업) 2" xfId="14983"/>
    <cellStyle name="_인원계획표 _월곳집행(본사)_마그넷오산점내역(020320)" xfId="14984"/>
    <cellStyle name="_인원계획표 _월곳집행(본사)_마그넷오산점내역(020320) 2" xfId="14985"/>
    <cellStyle name="_인원계획표 _월곳집행(본사)_마그넷오산점내역(020320)_내역서(건설사)" xfId="14986"/>
    <cellStyle name="_인원계획표 _월곳집행(본사)_마그넷오산점내역(020320)_내역서(건설사) 2" xfId="14987"/>
    <cellStyle name="_인원계획표 _월곳집행(본사)_마그넷오산점내역(020320)_내역서(작업)" xfId="14988"/>
    <cellStyle name="_인원계획표 _월곳집행(본사)_마그넷오산점내역(020320)_내역서(작업) 2" xfId="14989"/>
    <cellStyle name="_인원계획표 _월곳집행(본사)_마그넷오산점내역(020320)_통영점공조및위생" xfId="14990"/>
    <cellStyle name="_인원계획표 _월곳집행(본사)_마그넷오산점내역(020320)_통영점공조및위생 2" xfId="14991"/>
    <cellStyle name="_인원계획표 _월곳집행(본사)_마그넷오산점내역(020320)_통영점공조및위생_내역서(건설사)" xfId="14992"/>
    <cellStyle name="_인원계획표 _월곳집행(본사)_마그넷오산점내역(020320)_통영점공조및위생_내역서(건설사) 2" xfId="14993"/>
    <cellStyle name="_인원계획표 _월곳집행(본사)_마그넷오산점내역(020320)_통영점공조및위생_내역서(작업)" xfId="14994"/>
    <cellStyle name="_인원계획표 _월곳집행(본사)_마그넷오산점내역(020320)_통영점공조및위생_내역서(작업) 2" xfId="14995"/>
    <cellStyle name="_인원계획표 _월곳집행(본사)_정-의왕가스경보설비공사(기안)" xfId="14996"/>
    <cellStyle name="_인원계획표 _월곳집행(본사)_정-의왕가스경보설비공사(기안) 2" xfId="14997"/>
    <cellStyle name="_인원계획표 _월곳집행(본사)_정-의왕가스경보설비공사(기안)_내역서(건설사)" xfId="14998"/>
    <cellStyle name="_인원계획표 _월곳집행(본사)_정-의왕가스경보설비공사(기안)_내역서(건설사) 2" xfId="14999"/>
    <cellStyle name="_인원계획표 _월곳집행(본사)_정-의왕가스경보설비공사(기안)_내역서(작업)" xfId="15000"/>
    <cellStyle name="_인원계획표 _월곳집행(본사)_정-의왕가스경보설비공사(기안)_내역서(작업) 2" xfId="15001"/>
    <cellStyle name="_인원계획표 _월곳집행(본사)_정-의왕가스경보설비공사(기안)_통영점공조및위생" xfId="15002"/>
    <cellStyle name="_인원계획표 _월곳집행(본사)_정-의왕가스경보설비공사(기안)_통영점공조및위생 2" xfId="15003"/>
    <cellStyle name="_인원계획표 _월곳집행(본사)_정-의왕가스경보설비공사(기안)_통영점공조및위생_내역서(건설사)" xfId="15004"/>
    <cellStyle name="_인원계획표 _월곳집행(본사)_정-의왕가스경보설비공사(기안)_통영점공조및위생_내역서(건설사) 2" xfId="15005"/>
    <cellStyle name="_인원계획표 _월곳집행(본사)_정-의왕가스경보설비공사(기안)_통영점공조및위생_내역서(작업)" xfId="15006"/>
    <cellStyle name="_인원계획표 _월곳집행(본사)_정-의왕가스경보설비공사(기안)_통영점공조및위생_내역서(작업) 2" xfId="15007"/>
    <cellStyle name="_인원계획표 _월곳집행(본사)_통영점공조및위생" xfId="15008"/>
    <cellStyle name="_인원계획표 _월곳집행(본사)_통영점공조및위생 2" xfId="15009"/>
    <cellStyle name="_인원계획표 _월곳집행(본사)_통영점공조및위생_내역서(건설사)" xfId="15010"/>
    <cellStyle name="_인원계획표 _월곳집행(본사)_통영점공조및위생_내역서(건설사) 2" xfId="15011"/>
    <cellStyle name="_인원계획표 _월곳집행(본사)_통영점공조및위생_내역서(작업)" xfId="15012"/>
    <cellStyle name="_인원계획표 _월곳집행(본사)_통영점공조및위생_내역서(작업) 2" xfId="15013"/>
    <cellStyle name="_인원계획표 _월곶3차집행(R0)" xfId="15014"/>
    <cellStyle name="_인원계획표 _월곶3차집행(R0) 2" xfId="15015"/>
    <cellStyle name="_인원계획표 _월곶3차집행(R0)_Book2" xfId="15016"/>
    <cellStyle name="_인원계획표 _월곶3차집행(R0)_Book2 2" xfId="15017"/>
    <cellStyle name="_인원계획표 _월곶3차집행(R0)_Book4" xfId="15018"/>
    <cellStyle name="_인원계획표 _월곶3차집행(R0)_Book4 2" xfId="15019"/>
    <cellStyle name="_인원계획표 _적격 " xfId="15020"/>
    <cellStyle name="_인원계획표 _적격  2" xfId="15021"/>
    <cellStyle name="_인원계획표 _적격  2 2" xfId="15022"/>
    <cellStyle name="_인원계획표 _적격  3" xfId="15023"/>
    <cellStyle name="_인원계획표 _적격  3 2" xfId="15024"/>
    <cellStyle name="_인원계획표 _적격  4" xfId="15025"/>
    <cellStyle name="_인원계획표 _적격  4 2" xfId="15026"/>
    <cellStyle name="_인원계획표 _적격  5" xfId="15027"/>
    <cellStyle name="_인원계획표 _적격  5 2" xfId="15028"/>
    <cellStyle name="_인원계획표 _적격  6" xfId="15029"/>
    <cellStyle name="_인원계획표 _적격  6 2" xfId="15030"/>
    <cellStyle name="_인원계획표 _적격  7" xfId="15031"/>
    <cellStyle name="_인원계획표 _적격  7 2" xfId="15032"/>
    <cellStyle name="_인원계획표 _적격  8" xfId="15033"/>
    <cellStyle name="_인원계획표 _적격 _1.방수공사" xfId="15034"/>
    <cellStyle name="_인원계획표 _적격 _1.방수공사 2" xfId="15035"/>
    <cellStyle name="_인원계획표 _적격 _1.방수공사_1.흙막이공사 - 견적대비조서(입찰)" xfId="15036"/>
    <cellStyle name="_인원계획표 _적격 _1.방수공사_1.흙막이공사 - 견적대비조서(입찰) 2" xfId="15037"/>
    <cellStyle name="_인원계획표 _적격 _1.흙막이공사 - 견적대비조서(입찰)" xfId="15038"/>
    <cellStyle name="_인원계획표 _적격 _1.흙막이공사 - 견적대비조서(입찰) 2" xfId="15039"/>
    <cellStyle name="_인원계획표 _적격 _2000TMP-POW2" xfId="15040"/>
    <cellStyle name="_인원계획표 _적격 _2000TMP-POW2 2" xfId="15041"/>
    <cellStyle name="_인원계획표 _적격 _2000TMP-POW2_서초풍림아이원플러스(0723)(2)" xfId="15042"/>
    <cellStyle name="_인원계획표 _적격 _2000TMP-POW2_서초풍림아이원플러스(0723)(2) 2" xfId="15043"/>
    <cellStyle name="_인원계획표 _적격 _2000TMP-POW2_파주시금촌(2)지구C2BL풍림APT(1001)-공" xfId="15044"/>
    <cellStyle name="_인원계획표 _적격 _2000TMP-POW2_파주시금촌(2)지구C2BL풍림APT(1001)-공 2" xfId="15045"/>
    <cellStyle name="_인원계획표 _적격 _2001TMP-POW2" xfId="15046"/>
    <cellStyle name="_인원계획표 _적격 _2001TMP-POW2 2" xfId="15047"/>
    <cellStyle name="_인원계획표 _적격 _2001TMP-POW2_서초풍림아이원플러스(0723)(2)" xfId="15048"/>
    <cellStyle name="_인원계획표 _적격 _2001TMP-POW2_서초풍림아이원플러스(0723)(2) 2" xfId="15049"/>
    <cellStyle name="_인원계획표 _적격 _2001TMP-POW2_파주시금촌(2)지구C2BL풍림APT(1001)-공" xfId="15050"/>
    <cellStyle name="_인원계획표 _적격 _2001TMP-POW2_파주시금촌(2)지구C2BL풍림APT(1001)-공 2" xfId="15051"/>
    <cellStyle name="_인원계획표 _적격 _2003TMP-POW0" xfId="15052"/>
    <cellStyle name="_인원계획표 _적격 _2003TMP-POW0 2" xfId="15053"/>
    <cellStyle name="_인원계획표 _적격 _2003TMP-POW0_2003TMP-POW1" xfId="15054"/>
    <cellStyle name="_인원계획표 _적격 _2003TMP-POW0_2003TMP-POW1 2" xfId="15055"/>
    <cellStyle name="_인원계획표 _적격 _2003TMP-POW0_2003TMP-POW1_2003TMP-POW1" xfId="15056"/>
    <cellStyle name="_인원계획표 _적격 _2003TMP-POW0_2003TMP-POW1_2003TMP-POW1 2" xfId="15057"/>
    <cellStyle name="_인원계획표 _적격 _2003TMP-POW0_2003TMP-POW1_2003TMP-POW1_2003TMP-POW1" xfId="15058"/>
    <cellStyle name="_인원계획표 _적격 _2003TMP-POW0_2003TMP-POW1_2003TMP-POW1_2003TMP-POW1 2" xfId="15059"/>
    <cellStyle name="_인원계획표 _적격 _2003TMP-POW0_2003TMP-POW1_2003TMP-POW1_2003TMP-POW1_2003TMP-POW1" xfId="15060"/>
    <cellStyle name="_인원계획표 _적격 _2003TMP-POW0_2003TMP-POW1_2003TMP-POW1_2003TMP-POW1_2003TMP-POW1 2" xfId="15061"/>
    <cellStyle name="_인원계획표 _적격 _2003TMP-POW0_2003TMP-POW1_2003TMP-POW1_2003TMP-POW1_2003TMP-POW1_2004TMP-POW0" xfId="15062"/>
    <cellStyle name="_인원계획표 _적격 _2003TMP-POW0_2003TMP-POW1_2003TMP-POW1_2003TMP-POW1_2003TMP-POW1_2004TMP-POW0 2" xfId="15063"/>
    <cellStyle name="_인원계획표 _적격 _2003TMP-POW0_2003TMP-POW1_2003TMP-POW1_2003TMP-POW1_2003TMP-POW1_2004TMP-POW0_2004TMP-POW0" xfId="15064"/>
    <cellStyle name="_인원계획표 _적격 _2003TMP-POW0_2003TMP-POW1_2003TMP-POW1_2003TMP-POW1_2003TMP-POW1_2004TMP-POW0_2004TMP-POW0 2" xfId="15065"/>
    <cellStyle name="_인원계획표 _적격 _2003TMP-POW0_2003TMP-POW1_2003TMP-POW1_2003TMP-POW1_2003TMP-POW1_2004TMP-POW0_2004TMP-POW0_2004TMP-POW0" xfId="15066"/>
    <cellStyle name="_인원계획표 _적격 _2003TMP-POW0_2003TMP-POW1_2003TMP-POW1_2003TMP-POW1_2003TMP-POW1_2004TMP-POW0_2004TMP-POW0_2004TMP-POW0 2" xfId="15067"/>
    <cellStyle name="_인원계획표 _적격 _2003TMP-POW0_2003TMP-POW1_2003TMP-POW1_2003TMP-POW1_2003TMP-POW1_2004TMP-POW0_2004TMP-POW0_2004TMP-POW0_2004TMP-POW0" xfId="15068"/>
    <cellStyle name="_인원계획표 _적격 _2003TMP-POW0_2003TMP-POW1_2003TMP-POW1_2003TMP-POW1_2003TMP-POW1_2004TMP-POW0_2004TMP-POW0_2004TMP-POW0_2004TMP-POW0 2" xfId="15069"/>
    <cellStyle name="_인원계획표 _적격 _2003TMP-POW0_2003TMP-POW1_2003TMP-POW1_2003TMP-POW1_2004TMP-POW0" xfId="15070"/>
    <cellStyle name="_인원계획표 _적격 _2003TMP-POW0_2003TMP-POW1_2003TMP-POW1_2003TMP-POW1_2004TMP-POW0 2" xfId="15071"/>
    <cellStyle name="_인원계획표 _적격 _2003TMP-POW0_2003TMP-POW1_2003TMP-POW1_2003TMP-POW1_2004TMP-POW0_2004TMP-POW0" xfId="15072"/>
    <cellStyle name="_인원계획표 _적격 _2003TMP-POW0_2003TMP-POW1_2003TMP-POW1_2003TMP-POW1_2004TMP-POW0_2004TMP-POW0 2" xfId="15073"/>
    <cellStyle name="_인원계획표 _적격 _2003TMP-POW0_2003TMP-POW1_2003TMP-POW1_2003TMP-POW1_2004TMP-POW0_2004TMP-POW0_2004TMP-POW0" xfId="15074"/>
    <cellStyle name="_인원계획표 _적격 _2003TMP-POW0_2003TMP-POW1_2003TMP-POW1_2003TMP-POW1_2004TMP-POW0_2004TMP-POW0_2004TMP-POW0 2" xfId="15075"/>
    <cellStyle name="_인원계획표 _적격 _2003TMP-POW0_2003TMP-POW1_2003TMP-POW1_2004TMP-POW0" xfId="15076"/>
    <cellStyle name="_인원계획표 _적격 _2003TMP-POW0_2003TMP-POW1_2003TMP-POW1_2004TMP-POW0 2" xfId="15077"/>
    <cellStyle name="_인원계획표 _적격 _2003TMP-POW0_2003TMP-POW1_2003TMP-POW1_2004TMP-POW0_2004TMP-POW0" xfId="15078"/>
    <cellStyle name="_인원계획표 _적격 _2003TMP-POW0_2003TMP-POW1_2003TMP-POW1_2004TMP-POW0_2004TMP-POW0 2" xfId="15079"/>
    <cellStyle name="_인원계획표 _적격 _2003TMP-POW0_2003TMP-POW1_2003TMP-POW1_2004TMP-POW0_2004TMP-POW0_2004TMP-POW0" xfId="15080"/>
    <cellStyle name="_인원계획표 _적격 _2003TMP-POW0_2003TMP-POW1_2003TMP-POW1_2004TMP-POW0_2004TMP-POW0_2004TMP-POW0 2" xfId="15081"/>
    <cellStyle name="_인원계획표 _적격 _2003TMP-POW0_2003TMP-POW1_2003TMP-POW1_2004TMP-POW0_2004TMP-POW0_2004TMP-POW0_2004TMP-POW0" xfId="15082"/>
    <cellStyle name="_인원계획표 _적격 _2003TMP-POW0_2003TMP-POW1_2003TMP-POW1_2004TMP-POW0_2004TMP-POW0_2004TMP-POW0_2004TMP-POW0 2" xfId="15083"/>
    <cellStyle name="_인원계획표 _적격 _2003TMP-POW0_2003TMP-POW1_2003TMP-POW1_Book2" xfId="15084"/>
    <cellStyle name="_인원계획표 _적격 _2003TMP-POW0_2003TMP-POW1_2003TMP-POW1_Book2 2" xfId="15085"/>
    <cellStyle name="_인원계획표 _적격 _2003TMP-POW0_2003TMP-POW1_2003TMP-POW1_Book4" xfId="15086"/>
    <cellStyle name="_인원계획표 _적격 _2003TMP-POW0_2003TMP-POW1_2003TMP-POW1_Book4 2" xfId="15087"/>
    <cellStyle name="_인원계획표 _적격 _2003TMP-POW0_2003TMP-POW1_2004TMP-POW0" xfId="15088"/>
    <cellStyle name="_인원계획표 _적격 _2003TMP-POW0_2003TMP-POW1_2004TMP-POW0 2" xfId="15089"/>
    <cellStyle name="_인원계획표 _적격 _2003TMP-POW0_2003TMP-POW1_2004TMP-POW0_2004TMP-POW0" xfId="15090"/>
    <cellStyle name="_인원계획표 _적격 _2003TMP-POW0_2003TMP-POW1_2004TMP-POW0_2004TMP-POW0 2" xfId="15091"/>
    <cellStyle name="_인원계획표 _적격 _2003TMP-POW0_2003TMP-POW1_2004TMP-POW0_2004TMP-POW0_2004TMP-POW0" xfId="15092"/>
    <cellStyle name="_인원계획표 _적격 _2003TMP-POW0_2003TMP-POW1_2004TMP-POW0_2004TMP-POW0_2004TMP-POW0 2" xfId="15093"/>
    <cellStyle name="_인원계획표 _적격 _2003TMP-POW0_2003TMP-POW1_Book2" xfId="15094"/>
    <cellStyle name="_인원계획표 _적격 _2003TMP-POW0_2003TMP-POW1_Book2 2" xfId="15095"/>
    <cellStyle name="_인원계획표 _적격 _2003TMP-POW0_2003TMP-POW1_Book4" xfId="15096"/>
    <cellStyle name="_인원계획표 _적격 _2003TMP-POW0_2003TMP-POW1_Book4 2" xfId="15097"/>
    <cellStyle name="_인원계획표 _적격 _2003TMP-POW0_2004TMP-POW0" xfId="15098"/>
    <cellStyle name="_인원계획표 _적격 _2003TMP-POW0_2004TMP-POW0 2" xfId="15099"/>
    <cellStyle name="_인원계획표 _적격 _2003TMP-POW0_2004TMP-POW0_2004TMP-POW0" xfId="15100"/>
    <cellStyle name="_인원계획표 _적격 _2003TMP-POW0_2004TMP-POW0_2004TMP-POW0 2" xfId="15101"/>
    <cellStyle name="_인원계획표 _적격 _2003TMP-POW0_2004TMP-POW0_2004TMP-POW0_2004TMP-POW0" xfId="15102"/>
    <cellStyle name="_인원계획표 _적격 _2003TMP-POW0_2004TMP-POW0_2004TMP-POW0_2004TMP-POW0 2" xfId="15103"/>
    <cellStyle name="_인원계획표 _적격 _2003TMP-POW0_2004TMP-POW0_2004TMP-POW0_2004TMP-POW0_2004TMP-POW0" xfId="15104"/>
    <cellStyle name="_인원계획표 _적격 _2003TMP-POW0_2004TMP-POW0_2004TMP-POW0_2004TMP-POW0_2004TMP-POW0 2" xfId="15105"/>
    <cellStyle name="_인원계획표 _적격 _2003TMP-POW0_Book2" xfId="15106"/>
    <cellStyle name="_인원계획표 _적격 _2003TMP-POW0_Book2 2" xfId="15107"/>
    <cellStyle name="_인원계획표 _적격 _2003TMP-POW0_Book4" xfId="15108"/>
    <cellStyle name="_인원계획표 _적격 _2003TMP-POW0_Book4 2" xfId="15109"/>
    <cellStyle name="_인원계획표 _적격 _2003TMP-POW1" xfId="15110"/>
    <cellStyle name="_인원계획표 _적격 _2003TMP-POW1 2" xfId="15111"/>
    <cellStyle name="_인원계획표 _적격 _2003TMP-POW1_2003TMP-POW1" xfId="15170"/>
    <cellStyle name="_인원계획표 _적격 _2003TMP-POW1_2003TMP-POW1 2" xfId="15171"/>
    <cellStyle name="_인원계획표 _적격 _2003TMP-POW1_2003TMP-POW1_2003TMP-POW1" xfId="15172"/>
    <cellStyle name="_인원계획표 _적격 _2003TMP-POW1_2003TMP-POW1_2003TMP-POW1 2" xfId="15173"/>
    <cellStyle name="_인원계획표 _적격 _2003TMP-POW1_2003TMP-POW1_2003TMP-POW1_2003TMP-POW1" xfId="15174"/>
    <cellStyle name="_인원계획표 _적격 _2003TMP-POW1_2003TMP-POW1_2003TMP-POW1_2003TMP-POW1 2" xfId="15175"/>
    <cellStyle name="_인원계획표 _적격 _2003TMP-POW1_2003TMP-POW1_2003TMP-POW1_2003TMP-POW1_2003TMP-POW1" xfId="15176"/>
    <cellStyle name="_인원계획표 _적격 _2003TMP-POW1_2003TMP-POW1_2003TMP-POW1_2003TMP-POW1_2003TMP-POW1 2" xfId="15177"/>
    <cellStyle name="_인원계획표 _적격 _2003TMP-POW1_2003TMP-POW1_2003TMP-POW1_2003TMP-POW1_2003TMP-POW1_2004TMP-POW0" xfId="15178"/>
    <cellStyle name="_인원계획표 _적격 _2003TMP-POW1_2003TMP-POW1_2003TMP-POW1_2003TMP-POW1_2003TMP-POW1_2004TMP-POW0 2" xfId="15179"/>
    <cellStyle name="_인원계획표 _적격 _2003TMP-POW1_2003TMP-POW1_2003TMP-POW1_2003TMP-POW1_2003TMP-POW1_2004TMP-POW0_2004TMP-POW0" xfId="15180"/>
    <cellStyle name="_인원계획표 _적격 _2003TMP-POW1_2003TMP-POW1_2003TMP-POW1_2003TMP-POW1_2003TMP-POW1_2004TMP-POW0_2004TMP-POW0 2" xfId="15181"/>
    <cellStyle name="_인원계획표 _적격 _2003TMP-POW1_2003TMP-POW1_2003TMP-POW1_2003TMP-POW1_2003TMP-POW1_2004TMP-POW0_2004TMP-POW0_2004TMP-POW0" xfId="15182"/>
    <cellStyle name="_인원계획표 _적격 _2003TMP-POW1_2003TMP-POW1_2003TMP-POW1_2003TMP-POW1_2003TMP-POW1_2004TMP-POW0_2004TMP-POW0_2004TMP-POW0 2" xfId="15183"/>
    <cellStyle name="_인원계획표 _적격 _2003TMP-POW1_2003TMP-POW1_2003TMP-POW1_2003TMP-POW1_2003TMP-POW1_2004TMP-POW0_2004TMP-POW0_2004TMP-POW0_2004TMP-POW0" xfId="15184"/>
    <cellStyle name="_인원계획표 _적격 _2003TMP-POW1_2003TMP-POW1_2003TMP-POW1_2003TMP-POW1_2003TMP-POW1_2004TMP-POW0_2004TMP-POW0_2004TMP-POW0_2004TMP-POW0 2" xfId="15185"/>
    <cellStyle name="_인원계획표 _적격 _2003TMP-POW1_2003TMP-POW1_2003TMP-POW1_2003TMP-POW1_2004TMP-POW0" xfId="15186"/>
    <cellStyle name="_인원계획표 _적격 _2003TMP-POW1_2003TMP-POW1_2003TMP-POW1_2003TMP-POW1_2004TMP-POW0 2" xfId="15187"/>
    <cellStyle name="_인원계획표 _적격 _2003TMP-POW1_2003TMP-POW1_2003TMP-POW1_2003TMP-POW1_2004TMP-POW0_2004TMP-POW0" xfId="15188"/>
    <cellStyle name="_인원계획표 _적격 _2003TMP-POW1_2003TMP-POW1_2003TMP-POW1_2003TMP-POW1_2004TMP-POW0_2004TMP-POW0 2" xfId="15189"/>
    <cellStyle name="_인원계획표 _적격 _2003TMP-POW1_2003TMP-POW1_2003TMP-POW1_2003TMP-POW1_2004TMP-POW0_2004TMP-POW0_2004TMP-POW0" xfId="15190"/>
    <cellStyle name="_인원계획표 _적격 _2003TMP-POW1_2003TMP-POW1_2003TMP-POW1_2003TMP-POW1_2004TMP-POW0_2004TMP-POW0_2004TMP-POW0 2" xfId="15191"/>
    <cellStyle name="_인원계획표 _적격 _2003TMP-POW1_2003TMP-POW1_2003TMP-POW1_2004TMP-POW0" xfId="15192"/>
    <cellStyle name="_인원계획표 _적격 _2003TMP-POW1_2003TMP-POW1_2003TMP-POW1_2004TMP-POW0 2" xfId="15193"/>
    <cellStyle name="_인원계획표 _적격 _2003TMP-POW1_2003TMP-POW1_2003TMP-POW1_2004TMP-POW0_2004TMP-POW0" xfId="15194"/>
    <cellStyle name="_인원계획표 _적격 _2003TMP-POW1_2003TMP-POW1_2003TMP-POW1_2004TMP-POW0_2004TMP-POW0 2" xfId="15195"/>
    <cellStyle name="_인원계획표 _적격 _2003TMP-POW1_2003TMP-POW1_2003TMP-POW1_2004TMP-POW0_2004TMP-POW0_2004TMP-POW0" xfId="15196"/>
    <cellStyle name="_인원계획표 _적격 _2003TMP-POW1_2003TMP-POW1_2003TMP-POW1_2004TMP-POW0_2004TMP-POW0_2004TMP-POW0 2" xfId="15197"/>
    <cellStyle name="_인원계획표 _적격 _2003TMP-POW1_2003TMP-POW1_2003TMP-POW1_2004TMP-POW0_2004TMP-POW0_2004TMP-POW0_2004TMP-POW0" xfId="15198"/>
    <cellStyle name="_인원계획표 _적격 _2003TMP-POW1_2003TMP-POW1_2003TMP-POW1_2004TMP-POW0_2004TMP-POW0_2004TMP-POW0_2004TMP-POW0 2" xfId="15199"/>
    <cellStyle name="_인원계획표 _적격 _2003TMP-POW1_2003TMP-POW1_2003TMP-POW1_Book2" xfId="15200"/>
    <cellStyle name="_인원계획표 _적격 _2003TMP-POW1_2003TMP-POW1_2003TMP-POW1_Book2 2" xfId="15201"/>
    <cellStyle name="_인원계획표 _적격 _2003TMP-POW1_2003TMP-POW1_2003TMP-POW1_Book4" xfId="15202"/>
    <cellStyle name="_인원계획표 _적격 _2003TMP-POW1_2003TMP-POW1_2003TMP-POW1_Book4 2" xfId="15203"/>
    <cellStyle name="_인원계획표 _적격 _2003TMP-POW1_2003TMP-POW1_2004TMP-POW0" xfId="15204"/>
    <cellStyle name="_인원계획표 _적격 _2003TMP-POW1_2003TMP-POW1_2004TMP-POW0 2" xfId="15205"/>
    <cellStyle name="_인원계획표 _적격 _2003TMP-POW1_2003TMP-POW1_2004TMP-POW0_2004TMP-POW0" xfId="15206"/>
    <cellStyle name="_인원계획표 _적격 _2003TMP-POW1_2003TMP-POW1_2004TMP-POW0_2004TMP-POW0 2" xfId="15207"/>
    <cellStyle name="_인원계획표 _적격 _2003TMP-POW1_2003TMP-POW1_2004TMP-POW0_2004TMP-POW0_2004TMP-POW0" xfId="15208"/>
    <cellStyle name="_인원계획표 _적격 _2003TMP-POW1_2003TMP-POW1_2004TMP-POW0_2004TMP-POW0_2004TMP-POW0 2" xfId="15209"/>
    <cellStyle name="_인원계획표 _적격 _2003TMP-POW1_2003TMP-POW1_Book2" xfId="15210"/>
    <cellStyle name="_인원계획표 _적격 _2003TMP-POW1_2003TMP-POW1_Book2 2" xfId="15211"/>
    <cellStyle name="_인원계획표 _적격 _2003TMP-POW1_2003TMP-POW1_Book4" xfId="15212"/>
    <cellStyle name="_인원계획표 _적격 _2003TMP-POW1_2003TMP-POW1_Book4 2" xfId="15213"/>
    <cellStyle name="_인원계획표 _적격 _2003TMP-POW1_2004TMP-POW0" xfId="15214"/>
    <cellStyle name="_인원계획표 _적격 _2003TMP-POW1_2004TMP-POW0 2" xfId="15215"/>
    <cellStyle name="_인원계획표 _적격 _2003TMP-POW1_2004TMP-POW0_2004TMP-POW0" xfId="15216"/>
    <cellStyle name="_인원계획표 _적격 _2003TMP-POW1_2004TMP-POW0_2004TMP-POW0 2" xfId="15217"/>
    <cellStyle name="_인원계획표 _적격 _2003TMP-POW1_2004TMP-POW0_2004TMP-POW0_2004TMP-POW0" xfId="15218"/>
    <cellStyle name="_인원계획표 _적격 _2003TMP-POW1_2004TMP-POW0_2004TMP-POW0_2004TMP-POW0 2" xfId="15219"/>
    <cellStyle name="_인원계획표 _적격 _2003TMP-POW1_2004TMP-POW0_2004TMP-POW0_2004TMP-POW0_2004TMP-POW0" xfId="15220"/>
    <cellStyle name="_인원계획표 _적격 _2003TMP-POW1_2004TMP-POW0_2004TMP-POW0_2004TMP-POW0_2004TMP-POW0 2" xfId="15221"/>
    <cellStyle name="_인원계획표 _적격 _2003TMP-POW1_Book2" xfId="15222"/>
    <cellStyle name="_인원계획표 _적격 _2003TMP-POW1_Book2 2" xfId="15223"/>
    <cellStyle name="_인원계획표 _적격 _2003TMP-POW1_Book4" xfId="15224"/>
    <cellStyle name="_인원계획표 _적격 _2003TMP-POW1_Book4 2" xfId="15225"/>
    <cellStyle name="_인원계획표 _적격 _2003TMP-POW1-1" xfId="15112"/>
    <cellStyle name="_인원계획표 _적격 _2003TMP-POW1-1 2" xfId="15113"/>
    <cellStyle name="_인원계획표 _적격 _2003TMP-POW1-1_2003TMP-POW1" xfId="15114"/>
    <cellStyle name="_인원계획표 _적격 _2003TMP-POW1-1_2003TMP-POW1 2" xfId="15115"/>
    <cellStyle name="_인원계획표 _적격 _2003TMP-POW1-1_2003TMP-POW1_2003TMP-POW1" xfId="15116"/>
    <cellStyle name="_인원계획표 _적격 _2003TMP-POW1-1_2003TMP-POW1_2003TMP-POW1 2" xfId="15117"/>
    <cellStyle name="_인원계획표 _적격 _2003TMP-POW1-1_2003TMP-POW1_2003TMP-POW1_2003TMP-POW1" xfId="15118"/>
    <cellStyle name="_인원계획표 _적격 _2003TMP-POW1-1_2003TMP-POW1_2003TMP-POW1_2003TMP-POW1 2" xfId="15119"/>
    <cellStyle name="_인원계획표 _적격 _2003TMP-POW1-1_2003TMP-POW1_2003TMP-POW1_2003TMP-POW1_2003TMP-POW1" xfId="15120"/>
    <cellStyle name="_인원계획표 _적격 _2003TMP-POW1-1_2003TMP-POW1_2003TMP-POW1_2003TMP-POW1_2003TMP-POW1 2" xfId="15121"/>
    <cellStyle name="_인원계획표 _적격 _2003TMP-POW1-1_2003TMP-POW1_2003TMP-POW1_2003TMP-POW1_2003TMP-POW1_2004TMP-POW0" xfId="15122"/>
    <cellStyle name="_인원계획표 _적격 _2003TMP-POW1-1_2003TMP-POW1_2003TMP-POW1_2003TMP-POW1_2003TMP-POW1_2004TMP-POW0 2" xfId="15123"/>
    <cellStyle name="_인원계획표 _적격 _2003TMP-POW1-1_2003TMP-POW1_2003TMP-POW1_2003TMP-POW1_2003TMP-POW1_2004TMP-POW0_2004TMP-POW0" xfId="15124"/>
    <cellStyle name="_인원계획표 _적격 _2003TMP-POW1-1_2003TMP-POW1_2003TMP-POW1_2003TMP-POW1_2003TMP-POW1_2004TMP-POW0_2004TMP-POW0 2" xfId="15125"/>
    <cellStyle name="_인원계획표 _적격 _2003TMP-POW1-1_2003TMP-POW1_2003TMP-POW1_2003TMP-POW1_2003TMP-POW1_2004TMP-POW0_2004TMP-POW0_2004TMP-POW0" xfId="15126"/>
    <cellStyle name="_인원계획표 _적격 _2003TMP-POW1-1_2003TMP-POW1_2003TMP-POW1_2003TMP-POW1_2003TMP-POW1_2004TMP-POW0_2004TMP-POW0_2004TMP-POW0 2" xfId="15127"/>
    <cellStyle name="_인원계획표 _적격 _2003TMP-POW1-1_2003TMP-POW1_2003TMP-POW1_2003TMP-POW1_2003TMP-POW1_2004TMP-POW0_2004TMP-POW0_2004TMP-POW0_2004TMP-POW0" xfId="15128"/>
    <cellStyle name="_인원계획표 _적격 _2003TMP-POW1-1_2003TMP-POW1_2003TMP-POW1_2003TMP-POW1_2003TMP-POW1_2004TMP-POW0_2004TMP-POW0_2004TMP-POW0_2004TMP-POW0 2" xfId="15129"/>
    <cellStyle name="_인원계획표 _적격 _2003TMP-POW1-1_2003TMP-POW1_2003TMP-POW1_2003TMP-POW1_2004TMP-POW0" xfId="15130"/>
    <cellStyle name="_인원계획표 _적격 _2003TMP-POW1-1_2003TMP-POW1_2003TMP-POW1_2003TMP-POW1_2004TMP-POW0 2" xfId="15131"/>
    <cellStyle name="_인원계획표 _적격 _2003TMP-POW1-1_2003TMP-POW1_2003TMP-POW1_2003TMP-POW1_2004TMP-POW0_2004TMP-POW0" xfId="15132"/>
    <cellStyle name="_인원계획표 _적격 _2003TMP-POW1-1_2003TMP-POW1_2003TMP-POW1_2003TMP-POW1_2004TMP-POW0_2004TMP-POW0 2" xfId="15133"/>
    <cellStyle name="_인원계획표 _적격 _2003TMP-POW1-1_2003TMP-POW1_2003TMP-POW1_2003TMP-POW1_2004TMP-POW0_2004TMP-POW0_2004TMP-POW0" xfId="15134"/>
    <cellStyle name="_인원계획표 _적격 _2003TMP-POW1-1_2003TMP-POW1_2003TMP-POW1_2003TMP-POW1_2004TMP-POW0_2004TMP-POW0_2004TMP-POW0 2" xfId="15135"/>
    <cellStyle name="_인원계획표 _적격 _2003TMP-POW1-1_2003TMP-POW1_2003TMP-POW1_2004TMP-POW0" xfId="15136"/>
    <cellStyle name="_인원계획표 _적격 _2003TMP-POW1-1_2003TMP-POW1_2003TMP-POW1_2004TMP-POW0 2" xfId="15137"/>
    <cellStyle name="_인원계획표 _적격 _2003TMP-POW1-1_2003TMP-POW1_2003TMP-POW1_2004TMP-POW0_2004TMP-POW0" xfId="15138"/>
    <cellStyle name="_인원계획표 _적격 _2003TMP-POW1-1_2003TMP-POW1_2003TMP-POW1_2004TMP-POW0_2004TMP-POW0 2" xfId="15139"/>
    <cellStyle name="_인원계획표 _적격 _2003TMP-POW1-1_2003TMP-POW1_2003TMP-POW1_2004TMP-POW0_2004TMP-POW0_2004TMP-POW0" xfId="15140"/>
    <cellStyle name="_인원계획표 _적격 _2003TMP-POW1-1_2003TMP-POW1_2003TMP-POW1_2004TMP-POW0_2004TMP-POW0_2004TMP-POW0 2" xfId="15141"/>
    <cellStyle name="_인원계획표 _적격 _2003TMP-POW1-1_2003TMP-POW1_2003TMP-POW1_2004TMP-POW0_2004TMP-POW0_2004TMP-POW0_2004TMP-POW0" xfId="15142"/>
    <cellStyle name="_인원계획표 _적격 _2003TMP-POW1-1_2003TMP-POW1_2003TMP-POW1_2004TMP-POW0_2004TMP-POW0_2004TMP-POW0_2004TMP-POW0 2" xfId="15143"/>
    <cellStyle name="_인원계획표 _적격 _2003TMP-POW1-1_2003TMP-POW1_2003TMP-POW1_Book2" xfId="15144"/>
    <cellStyle name="_인원계획표 _적격 _2003TMP-POW1-1_2003TMP-POW1_2003TMP-POW1_Book2 2" xfId="15145"/>
    <cellStyle name="_인원계획표 _적격 _2003TMP-POW1-1_2003TMP-POW1_2003TMP-POW1_Book4" xfId="15146"/>
    <cellStyle name="_인원계획표 _적격 _2003TMP-POW1-1_2003TMP-POW1_2003TMP-POW1_Book4 2" xfId="15147"/>
    <cellStyle name="_인원계획표 _적격 _2003TMP-POW1-1_2003TMP-POW1_2004TMP-POW0" xfId="15148"/>
    <cellStyle name="_인원계획표 _적격 _2003TMP-POW1-1_2003TMP-POW1_2004TMP-POW0 2" xfId="15149"/>
    <cellStyle name="_인원계획표 _적격 _2003TMP-POW1-1_2003TMP-POW1_2004TMP-POW0_2004TMP-POW0" xfId="15150"/>
    <cellStyle name="_인원계획표 _적격 _2003TMP-POW1-1_2003TMP-POW1_2004TMP-POW0_2004TMP-POW0 2" xfId="15151"/>
    <cellStyle name="_인원계획표 _적격 _2003TMP-POW1-1_2003TMP-POW1_2004TMP-POW0_2004TMP-POW0_2004TMP-POW0" xfId="15152"/>
    <cellStyle name="_인원계획표 _적격 _2003TMP-POW1-1_2003TMP-POW1_2004TMP-POW0_2004TMP-POW0_2004TMP-POW0 2" xfId="15153"/>
    <cellStyle name="_인원계획표 _적격 _2003TMP-POW1-1_2003TMP-POW1_Book2" xfId="15154"/>
    <cellStyle name="_인원계획표 _적격 _2003TMP-POW1-1_2003TMP-POW1_Book2 2" xfId="15155"/>
    <cellStyle name="_인원계획표 _적격 _2003TMP-POW1-1_2003TMP-POW1_Book4" xfId="15156"/>
    <cellStyle name="_인원계획표 _적격 _2003TMP-POW1-1_2003TMP-POW1_Book4 2" xfId="15157"/>
    <cellStyle name="_인원계획표 _적격 _2003TMP-POW1-1_2004TMP-POW0" xfId="15158"/>
    <cellStyle name="_인원계획표 _적격 _2003TMP-POW1-1_2004TMP-POW0 2" xfId="15159"/>
    <cellStyle name="_인원계획표 _적격 _2003TMP-POW1-1_2004TMP-POW0_2004TMP-POW0" xfId="15160"/>
    <cellStyle name="_인원계획표 _적격 _2003TMP-POW1-1_2004TMP-POW0_2004TMP-POW0 2" xfId="15161"/>
    <cellStyle name="_인원계획표 _적격 _2003TMP-POW1-1_2004TMP-POW0_2004TMP-POW0_2004TMP-POW0" xfId="15162"/>
    <cellStyle name="_인원계획표 _적격 _2003TMP-POW1-1_2004TMP-POW0_2004TMP-POW0_2004TMP-POW0 2" xfId="15163"/>
    <cellStyle name="_인원계획표 _적격 _2003TMP-POW1-1_2004TMP-POW0_2004TMP-POW0_2004TMP-POW0_2004TMP-POW0" xfId="15164"/>
    <cellStyle name="_인원계획표 _적격 _2003TMP-POW1-1_2004TMP-POW0_2004TMP-POW0_2004TMP-POW0_2004TMP-POW0 2" xfId="15165"/>
    <cellStyle name="_인원계획표 _적격 _2003TMP-POW1-1_Book2" xfId="15166"/>
    <cellStyle name="_인원계획표 _적격 _2003TMP-POW1-1_Book2 2" xfId="15167"/>
    <cellStyle name="_인원계획표 _적격 _2003TMP-POW1-1_Book4" xfId="15168"/>
    <cellStyle name="_인원계획표 _적격 _2003TMP-POW1-1_Book4 2" xfId="15169"/>
    <cellStyle name="_인원계획표 _적격 _2003TMP-POWER" xfId="15226"/>
    <cellStyle name="_인원계획표 _적격 _2003TMP-POWER 2" xfId="15227"/>
    <cellStyle name="_인원계획표 _적격 _2003TMP-POWER_2003TMP-POW1" xfId="15228"/>
    <cellStyle name="_인원계획표 _적격 _2003TMP-POWER_2003TMP-POW1 2" xfId="15229"/>
    <cellStyle name="_인원계획표 _적격 _2003TMP-POWER_2003TMP-POW1_2003TMP-POW1" xfId="15230"/>
    <cellStyle name="_인원계획표 _적격 _2003TMP-POWER_2003TMP-POW1_2003TMP-POW1 2" xfId="15231"/>
    <cellStyle name="_인원계획표 _적격 _2003TMP-POWER_2003TMP-POW1_2003TMP-POW1_2003TMP-POW1" xfId="15232"/>
    <cellStyle name="_인원계획표 _적격 _2003TMP-POWER_2003TMP-POW1_2003TMP-POW1_2003TMP-POW1 2" xfId="15233"/>
    <cellStyle name="_인원계획표 _적격 _2003TMP-POWER_2003TMP-POW1_2003TMP-POW1_2003TMP-POW1_2003TMP-POW1" xfId="15234"/>
    <cellStyle name="_인원계획표 _적격 _2003TMP-POWER_2003TMP-POW1_2003TMP-POW1_2003TMP-POW1_2003TMP-POW1 2" xfId="15235"/>
    <cellStyle name="_인원계획표 _적격 _2003TMP-POWER_2003TMP-POW1_2003TMP-POW1_2003TMP-POW1_2003TMP-POW1_2004TMP-POW0" xfId="15236"/>
    <cellStyle name="_인원계획표 _적격 _2003TMP-POWER_2003TMP-POW1_2003TMP-POW1_2003TMP-POW1_2003TMP-POW1_2004TMP-POW0 2" xfId="15237"/>
    <cellStyle name="_인원계획표 _적격 _2003TMP-POWER_2003TMP-POW1_2003TMP-POW1_2003TMP-POW1_2003TMP-POW1_2004TMP-POW0_2004TMP-POW0" xfId="15238"/>
    <cellStyle name="_인원계획표 _적격 _2003TMP-POWER_2003TMP-POW1_2003TMP-POW1_2003TMP-POW1_2003TMP-POW1_2004TMP-POW0_2004TMP-POW0 2" xfId="15239"/>
    <cellStyle name="_인원계획표 _적격 _2003TMP-POWER_2003TMP-POW1_2003TMP-POW1_2003TMP-POW1_2003TMP-POW1_2004TMP-POW0_2004TMP-POW0_2004TMP-POW0" xfId="15240"/>
    <cellStyle name="_인원계획표 _적격 _2003TMP-POWER_2003TMP-POW1_2003TMP-POW1_2003TMP-POW1_2003TMP-POW1_2004TMP-POW0_2004TMP-POW0_2004TMP-POW0 2" xfId="15241"/>
    <cellStyle name="_인원계획표 _적격 _2003TMP-POWER_2003TMP-POW1_2003TMP-POW1_2003TMP-POW1_2003TMP-POW1_2004TMP-POW0_2004TMP-POW0_2004TMP-POW0_2004TMP-POW0" xfId="15242"/>
    <cellStyle name="_인원계획표 _적격 _2003TMP-POWER_2003TMP-POW1_2003TMP-POW1_2003TMP-POW1_2003TMP-POW1_2004TMP-POW0_2004TMP-POW0_2004TMP-POW0_2004TMP-POW0 2" xfId="15243"/>
    <cellStyle name="_인원계획표 _적격 _2003TMP-POWER_2003TMP-POW1_2003TMP-POW1_2003TMP-POW1_2004TMP-POW0" xfId="15244"/>
    <cellStyle name="_인원계획표 _적격 _2003TMP-POWER_2003TMP-POW1_2003TMP-POW1_2003TMP-POW1_2004TMP-POW0 2" xfId="15245"/>
    <cellStyle name="_인원계획표 _적격 _2003TMP-POWER_2003TMP-POW1_2003TMP-POW1_2003TMP-POW1_2004TMP-POW0_2004TMP-POW0" xfId="15246"/>
    <cellStyle name="_인원계획표 _적격 _2003TMP-POWER_2003TMP-POW1_2003TMP-POW1_2003TMP-POW1_2004TMP-POW0_2004TMP-POW0 2" xfId="15247"/>
    <cellStyle name="_인원계획표 _적격 _2003TMP-POWER_2003TMP-POW1_2003TMP-POW1_2003TMP-POW1_2004TMP-POW0_2004TMP-POW0_2004TMP-POW0" xfId="15248"/>
    <cellStyle name="_인원계획표 _적격 _2003TMP-POWER_2003TMP-POW1_2003TMP-POW1_2003TMP-POW1_2004TMP-POW0_2004TMP-POW0_2004TMP-POW0 2" xfId="15249"/>
    <cellStyle name="_인원계획표 _적격 _2003TMP-POWER_2003TMP-POW1_2003TMP-POW1_2004TMP-POW0" xfId="15250"/>
    <cellStyle name="_인원계획표 _적격 _2003TMP-POWER_2003TMP-POW1_2003TMP-POW1_2004TMP-POW0 2" xfId="15251"/>
    <cellStyle name="_인원계획표 _적격 _2003TMP-POWER_2003TMP-POW1_2003TMP-POW1_2004TMP-POW0_2004TMP-POW0" xfId="15252"/>
    <cellStyle name="_인원계획표 _적격 _2003TMP-POWER_2003TMP-POW1_2003TMP-POW1_2004TMP-POW0_2004TMP-POW0 2" xfId="15253"/>
    <cellStyle name="_인원계획표 _적격 _2003TMP-POWER_2003TMP-POW1_2003TMP-POW1_2004TMP-POW0_2004TMP-POW0_2004TMP-POW0" xfId="15254"/>
    <cellStyle name="_인원계획표 _적격 _2003TMP-POWER_2003TMP-POW1_2003TMP-POW1_2004TMP-POW0_2004TMP-POW0_2004TMP-POW0 2" xfId="15255"/>
    <cellStyle name="_인원계획표 _적격 _2003TMP-POWER_2003TMP-POW1_2003TMP-POW1_2004TMP-POW0_2004TMP-POW0_2004TMP-POW0_2004TMP-POW0" xfId="15256"/>
    <cellStyle name="_인원계획표 _적격 _2003TMP-POWER_2003TMP-POW1_2003TMP-POW1_2004TMP-POW0_2004TMP-POW0_2004TMP-POW0_2004TMP-POW0 2" xfId="15257"/>
    <cellStyle name="_인원계획표 _적격 _2003TMP-POWER_2003TMP-POW1_2003TMP-POW1_Book2" xfId="15258"/>
    <cellStyle name="_인원계획표 _적격 _2003TMP-POWER_2003TMP-POW1_2003TMP-POW1_Book2 2" xfId="15259"/>
    <cellStyle name="_인원계획표 _적격 _2003TMP-POWER_2003TMP-POW1_2003TMP-POW1_Book4" xfId="15260"/>
    <cellStyle name="_인원계획표 _적격 _2003TMP-POWER_2003TMP-POW1_2003TMP-POW1_Book4 2" xfId="15261"/>
    <cellStyle name="_인원계획표 _적격 _2003TMP-POWER_2003TMP-POW1_2004TMP-POW0" xfId="15262"/>
    <cellStyle name="_인원계획표 _적격 _2003TMP-POWER_2003TMP-POW1_2004TMP-POW0 2" xfId="15263"/>
    <cellStyle name="_인원계획표 _적격 _2003TMP-POWER_2003TMP-POW1_2004TMP-POW0_2004TMP-POW0" xfId="15264"/>
    <cellStyle name="_인원계획표 _적격 _2003TMP-POWER_2003TMP-POW1_2004TMP-POW0_2004TMP-POW0 2" xfId="15265"/>
    <cellStyle name="_인원계획표 _적격 _2003TMP-POWER_2003TMP-POW1_2004TMP-POW0_2004TMP-POW0_2004TMP-POW0" xfId="15266"/>
    <cellStyle name="_인원계획표 _적격 _2003TMP-POWER_2003TMP-POW1_2004TMP-POW0_2004TMP-POW0_2004TMP-POW0 2" xfId="15267"/>
    <cellStyle name="_인원계획표 _적격 _2003TMP-POWER_2003TMP-POW1_Book2" xfId="15268"/>
    <cellStyle name="_인원계획표 _적격 _2003TMP-POWER_2003TMP-POW1_Book2 2" xfId="15269"/>
    <cellStyle name="_인원계획표 _적격 _2003TMP-POWER_2003TMP-POW1_Book4" xfId="15270"/>
    <cellStyle name="_인원계획표 _적격 _2003TMP-POWER_2003TMP-POW1_Book4 2" xfId="15271"/>
    <cellStyle name="_인원계획표 _적격 _2003TMP-POWER_2004TMP-POW0" xfId="15272"/>
    <cellStyle name="_인원계획표 _적격 _2003TMP-POWER_2004TMP-POW0 2" xfId="15273"/>
    <cellStyle name="_인원계획표 _적격 _2003TMP-POWER_2004TMP-POW0_2004TMP-POW0" xfId="15274"/>
    <cellStyle name="_인원계획표 _적격 _2003TMP-POWER_2004TMP-POW0_2004TMP-POW0 2" xfId="15275"/>
    <cellStyle name="_인원계획표 _적격 _2003TMP-POWER_2004TMP-POW0_2004TMP-POW0_2004TMP-POW0" xfId="15276"/>
    <cellStyle name="_인원계획표 _적격 _2003TMP-POWER_2004TMP-POW0_2004TMP-POW0_2004TMP-POW0 2" xfId="15277"/>
    <cellStyle name="_인원계획표 _적격 _2003TMP-POWER_2004TMP-POW0_2004TMP-POW0_2004TMP-POW0_2004TMP-POW0" xfId="15278"/>
    <cellStyle name="_인원계획표 _적격 _2003TMP-POWER_2004TMP-POW0_2004TMP-POW0_2004TMP-POW0_2004TMP-POW0 2" xfId="15279"/>
    <cellStyle name="_인원계획표 _적격 _2003TMP-POWER_Book2" xfId="15280"/>
    <cellStyle name="_인원계획표 _적격 _2003TMP-POWER_Book2 2" xfId="15281"/>
    <cellStyle name="_인원계획표 _적격 _2003TMP-POWER_Book4" xfId="15282"/>
    <cellStyle name="_인원계획표 _적격 _2003TMP-POWER_Book4 2" xfId="15283"/>
    <cellStyle name="_인원계획표 _적격 _2004TMP-POW0" xfId="15284"/>
    <cellStyle name="_인원계획표 _적격 _2004TMP-POW0 2" xfId="15285"/>
    <cellStyle name="_인원계획표 _적격 _2004TMP-POW0_2004TMP-POW0" xfId="15286"/>
    <cellStyle name="_인원계획표 _적격 _2004TMP-POW0_2004TMP-POW0 2" xfId="15287"/>
    <cellStyle name="_인원계획표 _적격 _2004TMP-POW0_2004TMP-POW0_2004TMP-POW0" xfId="15288"/>
    <cellStyle name="_인원계획표 _적격 _2004TMP-POW0_2004TMP-POW0_2004TMP-POW0 2" xfId="15289"/>
    <cellStyle name="_인원계획표 _적격 _3-1(금강)-여의도 세우회관 철거공사" xfId="15290"/>
    <cellStyle name="_인원계획표 _적격 _3-1(금강)-여의도 세우회관 철거공사_24-1(동부)-두능-연곡 도로건설공사 중 기존교량철거" xfId="15291"/>
    <cellStyle name="_인원계획표 _적격 _3-1(금강)-여의도 세우회관 철거공사_견적1" xfId="15292"/>
    <cellStyle name="_인원계획표 _적격 _3-1(금강)-여의도 세우회관 철거공사_견적1_28-3-2 삼환-대한생명 63빌딩 현장 철거공사 (재노경)" xfId="15293"/>
    <cellStyle name="_인원계획표 _적격 _35호(기숙사)" xfId="15294"/>
    <cellStyle name="_인원계획표 _적격 _35호(기숙사) 2" xfId="15295"/>
    <cellStyle name="_인원계획표 _적격 _35호(기숙사)_53호견적최종" xfId="15296"/>
    <cellStyle name="_인원계획표 _적격 _35호(기숙사)_53호견적최종 2" xfId="15297"/>
    <cellStyle name="_인원계획표 _적격 _35호(기숙사)_R-0053" xfId="15298"/>
    <cellStyle name="_인원계획표 _적격 _35호(기숙사)_R-0053 2" xfId="15299"/>
    <cellStyle name="_인원계획표 _적격 _35호(기숙사)_R-0053ELEC대" xfId="15300"/>
    <cellStyle name="_인원계획표 _적격 _35호(기숙사)_R-0053ELEC대 2" xfId="15301"/>
    <cellStyle name="_인원계획표 _적격 _35호(기숙사)_R-0053SITE" xfId="15302"/>
    <cellStyle name="_인원계획표 _적격 _35호(기숙사)_R-0053SITE 2" xfId="15303"/>
    <cellStyle name="_인원계획표 _적격 _35호(기숙사)POO" xfId="15304"/>
    <cellStyle name="_인원계획표 _적격 _35호(기숙사)POO 2" xfId="15305"/>
    <cellStyle name="_인원계획표 _적격 _35호(기숙사)POO_53호견적최종" xfId="15306"/>
    <cellStyle name="_인원계획표 _적격 _35호(기숙사)POO_53호견적최종 2" xfId="15307"/>
    <cellStyle name="_인원계획표 _적격 _35호(기숙사)POO_R-0053" xfId="15308"/>
    <cellStyle name="_인원계획표 _적격 _35호(기숙사)POO_R-0053 2" xfId="15309"/>
    <cellStyle name="_인원계획표 _적격 _35호(기숙사)POO_R-0053ELEC대" xfId="15310"/>
    <cellStyle name="_인원계획표 _적격 _35호(기숙사)POO_R-0053ELEC대 2" xfId="15311"/>
    <cellStyle name="_인원계획표 _적격 _35호(기숙사)POO_R-0053SITE" xfId="15312"/>
    <cellStyle name="_인원계획표 _적격 _35호(기숙사)POO_R-0053SITE 2" xfId="15313"/>
    <cellStyle name="_인원계획표 _적격 _38고대리" xfId="15314"/>
    <cellStyle name="_인원계획표 _적격 _38고대리 2" xfId="15315"/>
    <cellStyle name="_인원계획표 _적격 _38고대리_53호견적최종" xfId="15316"/>
    <cellStyle name="_인원계획표 _적격 _38고대리_53호견적최종 2" xfId="15317"/>
    <cellStyle name="_인원계획표 _적격 _38고대리_R-0053" xfId="15318"/>
    <cellStyle name="_인원계획표 _적격 _38고대리_R-0053 2" xfId="15319"/>
    <cellStyle name="_인원계획표 _적격 _38고대리_R-0053ELEC대" xfId="15320"/>
    <cellStyle name="_인원계획표 _적격 _38고대리_R-0053ELEC대 2" xfId="15321"/>
    <cellStyle name="_인원계획표 _적격 _38고대리_R-0053SITE" xfId="15322"/>
    <cellStyle name="_인원계획표 _적격 _38고대리_R-0053SITE 2" xfId="15323"/>
    <cellStyle name="_인원계획표 _적격 _38호" xfId="15324"/>
    <cellStyle name="_인원계획표 _적격 _38호 2" xfId="15325"/>
    <cellStyle name="_인원계획표 _적격 _38호_53호견적최종" xfId="15326"/>
    <cellStyle name="_인원계획표 _적격 _38호_53호견적최종 2" xfId="15327"/>
    <cellStyle name="_인원계획표 _적격 _38호_R-0053" xfId="15328"/>
    <cellStyle name="_인원계획표 _적격 _38호_R-0053 2" xfId="15329"/>
    <cellStyle name="_인원계획표 _적격 _38호_R-0053ELEC대" xfId="15330"/>
    <cellStyle name="_인원계획표 _적격 _38호_R-0053ELEC대 2" xfId="15331"/>
    <cellStyle name="_인원계획표 _적격 _38호_R-0053SITE" xfId="15332"/>
    <cellStyle name="_인원계획표 _적격 _38호_R-0053SITE 2" xfId="15333"/>
    <cellStyle name="_인원계획표 _적격 _53호견적최종" xfId="15334"/>
    <cellStyle name="_인원계획표 _적격 _53호견적최종 2" xfId="15335"/>
    <cellStyle name="_인원계획표 _적격 _8-2(삼성)-김해공항 국제청 화물청사 세관창고철거" xfId="15336"/>
    <cellStyle name="_인원계획표 _적격 _8-2(삼성)-김해공항 국제청 화물청사 세관창고철거_24-1(동부)-두능-연곡 도로건설공사 중 기존교량철거" xfId="15337"/>
    <cellStyle name="_인원계획표 _적격 _8-2(삼성)-김해공항 국제청 화물청사 세관창고철거_견적1" xfId="15338"/>
    <cellStyle name="_인원계획표 _적격 _8-2(삼성)-김해공항 국제청 화물청사 세관창고철거_견적1_28-3-2 삼환-대한생명 63빌딩 현장 철거공사 (재노경)" xfId="15339"/>
    <cellStyle name="_인원계획표 _적격 _B-2-b(1).부대입찰 공내역" xfId="15340"/>
    <cellStyle name="_인원계획표 _적격 _B-2-b(1).부대입찰 공내역 2" xfId="15341"/>
    <cellStyle name="_인원계획표 _적격 _Book1" xfId="15342"/>
    <cellStyle name="_인원계획표 _적격 _Book1 2" xfId="15343"/>
    <cellStyle name="_인원계획표 _적격 _Book1_내역서(최초)" xfId="15344"/>
    <cellStyle name="_인원계획표 _적격 _Book1_내역서(최초) 2" xfId="15345"/>
    <cellStyle name="_인원계획표 _적격 _Book1_설계내역서" xfId="15346"/>
    <cellStyle name="_인원계획표 _적격 _Book1_설계내역서 2" xfId="15347"/>
    <cellStyle name="_인원계획표 _적격 _Book1_설계내역서(2차)" xfId="15348"/>
    <cellStyle name="_인원계획표 _적격 _Book1_설계내역서(2차) 2" xfId="15349"/>
    <cellStyle name="_인원계획표 _적격 _Book2" xfId="15350"/>
    <cellStyle name="_인원계획표 _적격 _Book2 2" xfId="15351"/>
    <cellStyle name="_인원계획표 _적격 _Book2_Book2" xfId="15352"/>
    <cellStyle name="_인원계획표 _적격 _Book2_Book2 2" xfId="15353"/>
    <cellStyle name="_인원계획표 _적격 _Book2_Book4" xfId="15354"/>
    <cellStyle name="_인원계획표 _적격 _Book2_Book4 2" xfId="15355"/>
    <cellStyle name="_인원계획표 _적격 _IMSI-POW1" xfId="15356"/>
    <cellStyle name="_인원계획표 _적격 _IMSI-POW1 2" xfId="15357"/>
    <cellStyle name="_인원계획표 _적격 _IMSI-POW1_서초풍림아이원플러스(0723)(2)" xfId="15358"/>
    <cellStyle name="_인원계획표 _적격 _IMSI-POW1_서초풍림아이원플러스(0723)(2) 2" xfId="15359"/>
    <cellStyle name="_인원계획표 _적격 _IMSI-POW1_파주시금촌(2)지구C2BL풍림APT(1001)-공" xfId="15360"/>
    <cellStyle name="_인원계획표 _적격 _IMSI-POW1_파주시금촌(2)지구C2BL풍림APT(1001)-공 2" xfId="15361"/>
    <cellStyle name="_인원계획표 _적격 _nafkp5-02-r-0014" xfId="15362"/>
    <cellStyle name="_인원계획표 _적격 _nafkp5-02-r-0014 2" xfId="15363"/>
    <cellStyle name="_인원계획표 _적격 _nafkp5-02-r-0014_53호견적최종" xfId="15364"/>
    <cellStyle name="_인원계획표 _적격 _nafkp5-02-r-0014_53호견적최종 2" xfId="15365"/>
    <cellStyle name="_인원계획표 _적격 _nafkp5-02-r-0014_R-0053" xfId="15366"/>
    <cellStyle name="_인원계획표 _적격 _nafkp5-02-r-0014_R-0053 2" xfId="15367"/>
    <cellStyle name="_인원계획표 _적격 _nafkp5-02-r-0014_R-0053ELEC대" xfId="15368"/>
    <cellStyle name="_인원계획표 _적격 _nafkp5-02-r-0014_R-0053ELEC대 2" xfId="15369"/>
    <cellStyle name="_인원계획표 _적격 _nafkp5-02-r-0014_R-0053SITE" xfId="15370"/>
    <cellStyle name="_인원계획표 _적격 _nafkp5-02-r-0014_R-0053SITE 2" xfId="15371"/>
    <cellStyle name="_인원계획표 _적격 _P-(현리-신팔)" xfId="15372"/>
    <cellStyle name="_인원계획표 _적격 _P-(현리-신팔) 2" xfId="15373"/>
    <cellStyle name="_인원계획표 _적격 _P-(현리-신팔)_내역서(최초)" xfId="15374"/>
    <cellStyle name="_인원계획표 _적격 _P-(현리-신팔)_내역서(최초) 2" xfId="15375"/>
    <cellStyle name="_인원계획표 _적격 _P-(현리-신팔)_설계내역서" xfId="15376"/>
    <cellStyle name="_인원계획표 _적격 _P-(현리-신팔)_설계내역서 2" xfId="15377"/>
    <cellStyle name="_인원계획표 _적격 _P-(현리-신팔)_설계내역서(2차)" xfId="15378"/>
    <cellStyle name="_인원계획표 _적격 _P-(현리-신팔)_설계내역서(2차) 2" xfId="15379"/>
    <cellStyle name="_인원계획표 _적격 _p-하남강일1" xfId="15380"/>
    <cellStyle name="_인원계획표 _적격 _p-하남강일1 2" xfId="15381"/>
    <cellStyle name="_인원계획표 _적격 _p-하남강일1_내역서(최초)" xfId="15382"/>
    <cellStyle name="_인원계획표 _적격 _p-하남강일1_내역서(최초) 2" xfId="15383"/>
    <cellStyle name="_인원계획표 _적격 _p-하남강일1_설계내역서" xfId="15384"/>
    <cellStyle name="_인원계획표 _적격 _p-하남강일1_설계내역서 2" xfId="15385"/>
    <cellStyle name="_인원계획표 _적격 _p-하남강일1_설계내역서(2차)" xfId="15386"/>
    <cellStyle name="_인원계획표 _적격 _p-하남강일1_설계내역서(2차) 2" xfId="15387"/>
    <cellStyle name="_인원계획표 _적격 _R0003CostBD원본261" xfId="15424"/>
    <cellStyle name="_인원계획표 _적격 _R0003CostBD원본261 2" xfId="15425"/>
    <cellStyle name="_인원계획표 _적격 _R0003CostBD원본261_53호견적최종" xfId="15426"/>
    <cellStyle name="_인원계획표 _적격 _R0003CostBD원본261_53호견적최종 2" xfId="15427"/>
    <cellStyle name="_인원계획표 _적격 _R0003CostBD원본261_R-0053" xfId="15428"/>
    <cellStyle name="_인원계획표 _적격 _R0003CostBD원본261_R-0053 2" xfId="15429"/>
    <cellStyle name="_인원계획표 _적격 _R0003CostBD원본261_R-0053ELEC대" xfId="15430"/>
    <cellStyle name="_인원계획표 _적격 _R0003CostBD원본261_R-0053ELEC대 2" xfId="15431"/>
    <cellStyle name="_인원계획표 _적격 _R0003CostBD원본261_R-0053SITE" xfId="15432"/>
    <cellStyle name="_인원계획표 _적격 _R0003CostBD원본261_R-0053SITE 2" xfId="15433"/>
    <cellStyle name="_인원계획표 _적격 _R-0003입찰내역" xfId="15388"/>
    <cellStyle name="_인원계획표 _적격 _R-0003입찰내역 2" xfId="15389"/>
    <cellStyle name="_인원계획표 _적격 _R-0003입찰내역_53호견적최종" xfId="15390"/>
    <cellStyle name="_인원계획표 _적격 _R-0003입찰내역_53호견적최종 2" xfId="15391"/>
    <cellStyle name="_인원계획표 _적격 _R-0003입찰내역_R-0053" xfId="15392"/>
    <cellStyle name="_인원계획표 _적격 _R-0003입찰내역_R-0053 2" xfId="15393"/>
    <cellStyle name="_인원계획표 _적격 _R-0003입찰내역_R-0053ELEC대" xfId="15394"/>
    <cellStyle name="_인원계획표 _적격 _R-0003입찰내역_R-0053ELEC대 2" xfId="15395"/>
    <cellStyle name="_인원계획표 _적격 _R-0003입찰내역_R-0053SITE" xfId="15396"/>
    <cellStyle name="_인원계획표 _적격 _R-0003입찰내역_R-0053SITE 2" xfId="15397"/>
    <cellStyle name="_인원계획표 _적격 _R0038CostBD(version2)" xfId="15434"/>
    <cellStyle name="_인원계획표 _적격 _R0038CostBD(version2) 2" xfId="15435"/>
    <cellStyle name="_인원계획표 _적격 _R0038CostBD(version2)_53호견적최종" xfId="15436"/>
    <cellStyle name="_인원계획표 _적격 _R0038CostBD(version2)_53호견적최종 2" xfId="15437"/>
    <cellStyle name="_인원계획표 _적격 _R0038CostBD(version2)_R-0053" xfId="15438"/>
    <cellStyle name="_인원계획표 _적격 _R0038CostBD(version2)_R-0053 2" xfId="15439"/>
    <cellStyle name="_인원계획표 _적격 _R0038CostBD(version2)_R-0053ELEC대" xfId="15440"/>
    <cellStyle name="_인원계획표 _적격 _R0038CostBD(version2)_R-0053ELEC대 2" xfId="15441"/>
    <cellStyle name="_인원계획표 _적격 _R0038CostBD(version2)_R-0053SITE" xfId="15442"/>
    <cellStyle name="_인원계획표 _적격 _R0038CostBD(version2)_R-0053SITE 2" xfId="15443"/>
    <cellStyle name="_인원계획표 _적격 _R0038CostBD(화인)" xfId="15444"/>
    <cellStyle name="_인원계획표 _적격 _R0038CostBD(화인) 2" xfId="15445"/>
    <cellStyle name="_인원계획표 _적격 _R0038CostBD(화인)_53호견적최종" xfId="15446"/>
    <cellStyle name="_인원계획표 _적격 _R0038CostBD(화인)_53호견적최종 2" xfId="15447"/>
    <cellStyle name="_인원계획표 _적격 _R0038CostBD(화인)_R-0053" xfId="15448"/>
    <cellStyle name="_인원계획표 _적격 _R0038CostBD(화인)_R-0053 2" xfId="15449"/>
    <cellStyle name="_인원계획표 _적격 _R0038CostBD(화인)_R-0053ELEC대" xfId="15450"/>
    <cellStyle name="_인원계획표 _적격 _R0038CostBD(화인)_R-0053ELEC대 2" xfId="15451"/>
    <cellStyle name="_인원계획표 _적격 _R0038CostBD(화인)_R-0053SITE" xfId="15452"/>
    <cellStyle name="_인원계획표 _적격 _R0038CostBD(화인)_R-0053SITE 2" xfId="15453"/>
    <cellStyle name="_인원계획표 _적격 _R-0053" xfId="15398"/>
    <cellStyle name="_인원계획표 _적격 _R-0053 2" xfId="15399"/>
    <cellStyle name="_인원계획표 _적격 _R0053CostBD-건축-김이사님" xfId="15454"/>
    <cellStyle name="_인원계획표 _적격 _R0053CostBD-건축-김이사님 2" xfId="15455"/>
    <cellStyle name="_인원계획표 _적격 _R0053CostBD-건축-김이사님_53호견적최종" xfId="15456"/>
    <cellStyle name="_인원계획표 _적격 _R0053CostBD-건축-김이사님_53호견적최종 2" xfId="15457"/>
    <cellStyle name="_인원계획표 _적격 _R0053CostBD-건축-김이사님_R-0053" xfId="15458"/>
    <cellStyle name="_인원계획표 _적격 _R0053CostBD-건축-김이사님_R-0053 2" xfId="15459"/>
    <cellStyle name="_인원계획표 _적격 _R0053CostBD-건축-김이사님_R-0053ELEC대" xfId="15460"/>
    <cellStyle name="_인원계획표 _적격 _R0053CostBD-건축-김이사님_R-0053ELEC대 2" xfId="15461"/>
    <cellStyle name="_인원계획표 _적격 _R0053CostBD-건축-김이사님_R-0053SITE" xfId="15462"/>
    <cellStyle name="_인원계획표 _적격 _R0053CostBD-건축-김이사님_R-0053SITE 2" xfId="15463"/>
    <cellStyle name="_인원계획표 _적격 _R-0053ELEC대" xfId="15400"/>
    <cellStyle name="_인원계획표 _적격 _R-0053ELEC대 2" xfId="15401"/>
    <cellStyle name="_인원계획표 _적격 _R-0053SITE" xfId="15402"/>
    <cellStyle name="_인원계획표 _적격 _R-0053SITE 2" xfId="15403"/>
    <cellStyle name="_인원계획표 _적격 _R-0053건축" xfId="15404"/>
    <cellStyle name="_인원계획표 _적격 _R-0053건축 2" xfId="15405"/>
    <cellStyle name="_인원계획표 _적격 _R-0053건축_53호견적최종" xfId="15406"/>
    <cellStyle name="_인원계획표 _적격 _R-0053건축_53호견적최종 2" xfId="15407"/>
    <cellStyle name="_인원계획표 _적격 _R-0053건축_R-0053" xfId="15408"/>
    <cellStyle name="_인원계획표 _적격 _R-0053건축_R-0053 2" xfId="15409"/>
    <cellStyle name="_인원계획표 _적격 _R-0053건축_R-0053ELEC대" xfId="15410"/>
    <cellStyle name="_인원계획표 _적격 _R-0053건축_R-0053ELEC대 2" xfId="15411"/>
    <cellStyle name="_인원계획표 _적격 _R-0053건축_R-0053SITE" xfId="15412"/>
    <cellStyle name="_인원계획표 _적격 _R-0053건축_R-0053SITE 2" xfId="15413"/>
    <cellStyle name="_인원계획표 _적격 _R-0053입찰내역" xfId="15414"/>
    <cellStyle name="_인원계획표 _적격 _R-0053입찰내역 2" xfId="15415"/>
    <cellStyle name="_인원계획표 _적격 _R-0053입찰내역_53호견적최종" xfId="15416"/>
    <cellStyle name="_인원계획표 _적격 _R-0053입찰내역_53호견적최종 2" xfId="15417"/>
    <cellStyle name="_인원계획표 _적격 _R-0053입찰내역_R-0053" xfId="15418"/>
    <cellStyle name="_인원계획표 _적격 _R-0053입찰내역_R-0053 2" xfId="15419"/>
    <cellStyle name="_인원계획표 _적격 _R-0053입찰내역_R-0053ELEC대" xfId="15420"/>
    <cellStyle name="_인원계획표 _적격 _R-0053입찰내역_R-0053ELEC대 2" xfId="15421"/>
    <cellStyle name="_인원계획표 _적격 _R-0053입찰내역_R-0053SITE" xfId="15422"/>
    <cellStyle name="_인원계획표 _적격 _R-0053입찰내역_R-0053SITE 2" xfId="15423"/>
    <cellStyle name="_인원계획표 _적격 _TMP-POW1" xfId="15464"/>
    <cellStyle name="_인원계획표 _적격 _TMP-POW1 2" xfId="15465"/>
    <cellStyle name="_인원계획표 _적격 _TMP-POW1_서초풍림아이원플러스(0723)(2)" xfId="15466"/>
    <cellStyle name="_인원계획표 _적격 _TMP-POW1_서초풍림아이원플러스(0723)(2) 2" xfId="15467"/>
    <cellStyle name="_인원계획표 _적격 _TMP-POW1_파주시금촌(2)지구C2BL풍림APT(1001)-공" xfId="15468"/>
    <cellStyle name="_인원계획표 _적격 _TMP-POW1_파주시금촌(2)지구C2BL풍림APT(1001)-공 2" xfId="15469"/>
    <cellStyle name="_인원계획표 _적격 _TMP-POW2" xfId="15470"/>
    <cellStyle name="_인원계획표 _적격 _TMP-POW2 2" xfId="15471"/>
    <cellStyle name="_인원계획표 _적격 _TMP-POW2_서초풍림아이원플러스(0723)(2)" xfId="15472"/>
    <cellStyle name="_인원계획표 _적격 _TMP-POW2_서초풍림아이원플러스(0723)(2) 2" xfId="15473"/>
    <cellStyle name="_인원계획표 _적격 _TMP-POW2_파주시금촌(2)지구C2BL풍림APT(1001)-공" xfId="15474"/>
    <cellStyle name="_인원계획표 _적격 _TMP-POW2_파주시금촌(2)지구C2BL풍림APT(1001)-공 2" xfId="15475"/>
    <cellStyle name="_인원계획표 _적격 _V-M-0001AB1216" xfId="15476"/>
    <cellStyle name="_인원계획표 _적격 _V-M-0001AB1216 2" xfId="15477"/>
    <cellStyle name="_인원계획표 _적격 _V-M-0001AB1216_53호견적최종" xfId="15478"/>
    <cellStyle name="_인원계획표 _적격 _V-M-0001AB1216_53호견적최종 2" xfId="15479"/>
    <cellStyle name="_인원계획표 _적격 _V-M-0001AB1216_R-0053" xfId="15480"/>
    <cellStyle name="_인원계획표 _적격 _V-M-0001AB1216_R-0053 2" xfId="15481"/>
    <cellStyle name="_인원계획표 _적격 _V-M-0001AB1216_R-0053ELEC대" xfId="15482"/>
    <cellStyle name="_인원계획표 _적격 _V-M-0001AB1216_R-0053ELEC대 2" xfId="15483"/>
    <cellStyle name="_인원계획표 _적격 _V-M-0001AB1216_R-0053SITE" xfId="15484"/>
    <cellStyle name="_인원계획표 _적격 _V-M-0001AB1216_R-0053SITE 2" xfId="15485"/>
    <cellStyle name="_인원계획표 _적격 _V-M-0001AC1217" xfId="15486"/>
    <cellStyle name="_인원계획표 _적격 _V-M-0001AC1217 2" xfId="15487"/>
    <cellStyle name="_인원계획표 _적격 _V-M-0001AC1217_53호견적최종" xfId="15488"/>
    <cellStyle name="_인원계획표 _적격 _V-M-0001AC1217_53호견적최종 2" xfId="15489"/>
    <cellStyle name="_인원계획표 _적격 _V-M-0001AC1217_R-0053" xfId="15490"/>
    <cellStyle name="_인원계획표 _적격 _V-M-0001AC1217_R-0053 2" xfId="15491"/>
    <cellStyle name="_인원계획표 _적격 _V-M-0001AC1217_R-0053ELEC대" xfId="15492"/>
    <cellStyle name="_인원계획표 _적격 _V-M-0001AC1217_R-0053ELEC대 2" xfId="15493"/>
    <cellStyle name="_인원계획표 _적격 _V-M-0001AC1217_R-0053SITE" xfId="15494"/>
    <cellStyle name="_인원계획표 _적격 _V-M-0001AC1217_R-0053SITE 2" xfId="15495"/>
    <cellStyle name="_인원계획표 _적격 _V-M-0001AD2460" xfId="15496"/>
    <cellStyle name="_인원계획표 _적격 _V-M-0001AD2460 2" xfId="15497"/>
    <cellStyle name="_인원계획표 _적격 _V-M-0001AD2460_53호견적최종" xfId="15498"/>
    <cellStyle name="_인원계획표 _적격 _V-M-0001AD2460_53호견적최종 2" xfId="15499"/>
    <cellStyle name="_인원계획표 _적격 _V-M-0001AD2460_R-0053" xfId="15500"/>
    <cellStyle name="_인원계획표 _적격 _V-M-0001AD2460_R-0053 2" xfId="15501"/>
    <cellStyle name="_인원계획표 _적격 _V-M-0001AD2460_R-0053ELEC대" xfId="15502"/>
    <cellStyle name="_인원계획표 _적격 _V-M-0001AD2460_R-0053ELEC대 2" xfId="15503"/>
    <cellStyle name="_인원계획표 _적격 _V-M-0001AD2460_R-0053SITE" xfId="15504"/>
    <cellStyle name="_인원계획표 _적격 _V-M-0001AD2460_R-0053SITE 2" xfId="15505"/>
    <cellStyle name="_인원계획표 _적격 _V-M-0001AE RENOVATE BLDG1216" xfId="15506"/>
    <cellStyle name="_인원계획표 _적격 _V-M-0001AE RENOVATE BLDG1216 2" xfId="15507"/>
    <cellStyle name="_인원계획표 _적격 _V-M-0001AE RENOVATE BLDG1216_53호견적최종" xfId="15508"/>
    <cellStyle name="_인원계획표 _적격 _V-M-0001AE RENOVATE BLDG1216_53호견적최종 2" xfId="15509"/>
    <cellStyle name="_인원계획표 _적격 _V-M-0001AE RENOVATE BLDG1216_R-0053" xfId="15510"/>
    <cellStyle name="_인원계획표 _적격 _V-M-0001AE RENOVATE BLDG1216_R-0053 2" xfId="15511"/>
    <cellStyle name="_인원계획표 _적격 _V-M-0001AE RENOVATE BLDG1216_R-0053ELEC대" xfId="15512"/>
    <cellStyle name="_인원계획표 _적격 _V-M-0001AE RENOVATE BLDG1216_R-0053ELEC대 2" xfId="15513"/>
    <cellStyle name="_인원계획표 _적격 _V-M-0001AE RENOVATE BLDG1216_R-0053SITE" xfId="15514"/>
    <cellStyle name="_인원계획표 _적격 _V-M-0001AE RENOVATE BLDG1216_R-0053SITE 2" xfId="15515"/>
    <cellStyle name="_인원계획표 _적격 _V-M-0002" xfId="15516"/>
    <cellStyle name="_인원계획표 _적격 _V-M-0002 2" xfId="15517"/>
    <cellStyle name="_인원계획표 _적격 _V-M-0002_53호견적최종" xfId="15518"/>
    <cellStyle name="_인원계획표 _적격 _V-M-0002_53호견적최종 2" xfId="15519"/>
    <cellStyle name="_인원계획표 _적격 _V-M-0002_R-0053" xfId="15520"/>
    <cellStyle name="_인원계획표 _적격 _V-M-0002_R-0053 2" xfId="15521"/>
    <cellStyle name="_인원계획표 _적격 _V-M-0002_R-0053ELEC대" xfId="15522"/>
    <cellStyle name="_인원계획표 _적격 _V-M-0002_R-0053ELEC대 2" xfId="15523"/>
    <cellStyle name="_인원계획표 _적격 _V-M-0002_R-0053SITE" xfId="15524"/>
    <cellStyle name="_인원계획표 _적격 _V-M-0002_R-0053SITE 2" xfId="15525"/>
    <cellStyle name="_인원계획표 _적격 _V-M-0004" xfId="15526"/>
    <cellStyle name="_인원계획표 _적격 _V-M-0004 2" xfId="15527"/>
    <cellStyle name="_인원계획표 _적격 _V-M-0004_53호견적최종" xfId="15528"/>
    <cellStyle name="_인원계획표 _적격 _V-M-0004_53호견적최종 2" xfId="15529"/>
    <cellStyle name="_인원계획표 _적격 _V-M-0004_R-0053" xfId="15530"/>
    <cellStyle name="_인원계획표 _적격 _V-M-0004_R-0053 2" xfId="15531"/>
    <cellStyle name="_인원계획표 _적격 _V-M-0004_R-0053ELEC대" xfId="15532"/>
    <cellStyle name="_인원계획표 _적격 _V-M-0004_R-0053ELEC대 2" xfId="15533"/>
    <cellStyle name="_인원계획표 _적격 _V-M-0004_R-0053SITE" xfId="15534"/>
    <cellStyle name="_인원계획표 _적격 _V-M-0004_R-0053SITE 2" xfId="15535"/>
    <cellStyle name="_인원계획표 _적격 _V-M-0005" xfId="15536"/>
    <cellStyle name="_인원계획표 _적격 _V-M-0005 2" xfId="15537"/>
    <cellStyle name="_인원계획표 _적격 _V-M-0005_53호견적최종" xfId="15538"/>
    <cellStyle name="_인원계획표 _적격 _V-M-0005_53호견적최종 2" xfId="15539"/>
    <cellStyle name="_인원계획표 _적격 _V-M-0005_R-0053" xfId="15540"/>
    <cellStyle name="_인원계획표 _적격 _V-M-0005_R-0053 2" xfId="15541"/>
    <cellStyle name="_인원계획표 _적격 _V-M-0005_R-0053ELEC대" xfId="15542"/>
    <cellStyle name="_인원계획표 _적격 _V-M-0005_R-0053ELEC대 2" xfId="15543"/>
    <cellStyle name="_인원계획표 _적격 _V-M-0005_R-0053SITE" xfId="15544"/>
    <cellStyle name="_인원계획표 _적격 _V-M-0005_R-0053SITE 2" xfId="15545"/>
    <cellStyle name="_인원계획표 _적격 _V-O-0007" xfId="15546"/>
    <cellStyle name="_인원계획표 _적격 _V-O-0007 2" xfId="15547"/>
    <cellStyle name="_인원계획표 _적격 _V-O-0007_53호견적최종" xfId="15548"/>
    <cellStyle name="_인원계획표 _적격 _V-O-0007_53호견적최종 2" xfId="15549"/>
    <cellStyle name="_인원계획표 _적격 _V-O-0007_R-0053" xfId="15550"/>
    <cellStyle name="_인원계획표 _적격 _V-O-0007_R-0053 2" xfId="15551"/>
    <cellStyle name="_인원계획표 _적격 _V-O-0007_R-0053ELEC대" xfId="15552"/>
    <cellStyle name="_인원계획표 _적격 _V-O-0007_R-0053ELEC대 2" xfId="15553"/>
    <cellStyle name="_인원계획표 _적격 _V-O-0007_R-0053SITE" xfId="15554"/>
    <cellStyle name="_인원계획표 _적격 _V-O-0007_R-0053SITE 2" xfId="15555"/>
    <cellStyle name="_인원계획표 _적격 _V-O-0009" xfId="15556"/>
    <cellStyle name="_인원계획표 _적격 _V-O-0009 2" xfId="15557"/>
    <cellStyle name="_인원계획표 _적격 _V-O-0009_53호견적최종" xfId="15558"/>
    <cellStyle name="_인원계획표 _적격 _V-O-0009_53호견적최종 2" xfId="15559"/>
    <cellStyle name="_인원계획표 _적격 _V-O-0009_R-0053" xfId="15560"/>
    <cellStyle name="_인원계획표 _적격 _V-O-0009_R-0053 2" xfId="15561"/>
    <cellStyle name="_인원계획표 _적격 _V-O-0009_R-0053ELEC대" xfId="15562"/>
    <cellStyle name="_인원계획표 _적격 _V-O-0009_R-0053ELEC대 2" xfId="15563"/>
    <cellStyle name="_인원계획표 _적격 _V-O-0009_R-0053SITE" xfId="15564"/>
    <cellStyle name="_인원계획표 _적격 _V-O-0009_R-0053SITE 2" xfId="15565"/>
    <cellStyle name="_인원계획표 _적격 _견적1" xfId="15566"/>
    <cellStyle name="_인원계획표 _적격 _견적1_28-3-2 삼환-대한생명 63빌딩 현장 철거공사 (재노경)" xfId="15567"/>
    <cellStyle name="_인원계획표 _적격 _견적서" xfId="15568"/>
    <cellStyle name="_인원계획표 _적격 _견적서_24-1(동부)-두능-연곡 도로건설공사 중 기존교량철거" xfId="15569"/>
    <cellStyle name="_인원계획표 _적격 _견적서_견적1" xfId="15570"/>
    <cellStyle name="_인원계획표 _적격 _견적서_견적1_28-3-2 삼환-대한생명 63빌딩 현장 철거공사 (재노경)" xfId="15571"/>
    <cellStyle name="_인원계획표 _적격 _공내역서" xfId="15572"/>
    <cellStyle name="_인원계획표 _적격 _공내역서 2" xfId="15573"/>
    <cellStyle name="_인원계획표 _적격 _공내역서_사본 - ☆태평동  도급내역" xfId="15706"/>
    <cellStyle name="_인원계획표 _적격 _공내역서_사본 - ☆태평동  도급내역 2" xfId="15707"/>
    <cellStyle name="_인원계획표 _적격 _공내역서_성남태평동설비공사" xfId="15708"/>
    <cellStyle name="_인원계획표 _적격 _공내역서_성남태평동설비공사 2" xfId="15709"/>
    <cellStyle name="_인원계획표 _적격 _공내역서_수원율전 실행내역" xfId="15710"/>
    <cellStyle name="_인원계획표 _적격 _공내역서_수원율전 실행내역 2" xfId="15711"/>
    <cellStyle name="_인원계획표 _적격 _공내역서_수원율전 실행내역 검토안" xfId="15712"/>
    <cellStyle name="_인원계획표 _적격 _공내역서_수원율전 실행내역 검토안 2" xfId="15713"/>
    <cellStyle name="_인원계획표 _적격 _공내역서_수원율전 실행내역 검토안_사본 - ☆태평동  도급내역" xfId="15714"/>
    <cellStyle name="_인원계획표 _적격 _공내역서_수원율전 실행내역 검토안_사본 - ☆태평동  도급내역 2" xfId="15715"/>
    <cellStyle name="_인원계획표 _적격 _공내역서_수원율전 실행내역 검토안_성남태평동설비공사" xfId="15716"/>
    <cellStyle name="_인원계획표 _적격 _공내역서_수원율전 실행내역 검토안_성남태평동설비공사 2" xfId="15717"/>
    <cellStyle name="_인원계획표 _적격 _공내역서_수원율전 실행내역 검토안_수원율전 실행내역" xfId="15718"/>
    <cellStyle name="_인원계획표 _적격 _공내역서_수원율전 실행내역 검토안_수원율전 실행내역 2" xfId="15719"/>
    <cellStyle name="_인원계획표 _적격 _공내역서_수원율전 실행내역 검토안_수원율전 실행내역 검토안" xfId="15720"/>
    <cellStyle name="_인원계획표 _적격 _공내역서_수원율전 실행내역 검토안_수원율전 실행내역 검토안 2" xfId="15721"/>
    <cellStyle name="_인원계획표 _적격 _공내역서_수원율전 실행내역 검토안_수원율전 실행내역 검토안_사본 - ☆태평동  도급내역" xfId="15722"/>
    <cellStyle name="_인원계획표 _적격 _공내역서_수원율전 실행내역 검토안_수원율전 실행내역 검토안_사본 - ☆태평동  도급내역 2" xfId="15723"/>
    <cellStyle name="_인원계획표 _적격 _공내역서_수원율전 실행내역 검토안_수원율전 실행내역 검토안_성남태평동설비공사" xfId="15724"/>
    <cellStyle name="_인원계획표 _적격 _공내역서_수원율전 실행내역 검토안_수원율전 실행내역 검토안_성남태평동설비공사 2" xfId="15725"/>
    <cellStyle name="_인원계획표 _적격 _공내역서_수원율전 실행내역 검토안_수원율전 실행내역 검토안_수정구 태평동 주상복합 실행내역 검토안" xfId="15726"/>
    <cellStyle name="_인원계획표 _적격 _공내역서_수원율전 실행내역 검토안_수원율전 실행내역 검토안_수정구 태평동 주상복합 실행내역 검토안 2" xfId="15727"/>
    <cellStyle name="_인원계획표 _적격 _공내역서_수원율전 실행내역 검토안_수원율전 실행내역 검토안_태평동 실행내역서" xfId="15728"/>
    <cellStyle name="_인원계획표 _적격 _공내역서_수원율전 실행내역 검토안_수원율전 실행내역 검토안_태평동 실행내역서 2" xfId="15729"/>
    <cellStyle name="_인원계획표 _적격 _공내역서_수원율전 실행내역 검토안_수원율전 실행내역 검토안_태평동도급내역(Rev.2)-12.26" xfId="15730"/>
    <cellStyle name="_인원계획표 _적격 _공내역서_수원율전 실행내역 검토안_수원율전 실행내역 검토안_태평동도급내역(Rev.2)-12.26 2" xfId="15731"/>
    <cellStyle name="_인원계획표 _적격 _공내역서_수원율전 실행내역 검토안_수정구 태평동 주상복합 실행내역 검토안" xfId="15732"/>
    <cellStyle name="_인원계획표 _적격 _공내역서_수원율전 실행내역 검토안_수정구 태평동 주상복합 실행내역 검토안 2" xfId="15733"/>
    <cellStyle name="_인원계획표 _적격 _공내역서_수원율전 실행내역 검토안_태평동 실행내역서" xfId="15734"/>
    <cellStyle name="_인원계획표 _적격 _공내역서_수원율전 실행내역 검토안_태평동 실행내역서 2" xfId="15735"/>
    <cellStyle name="_인원계획표 _적격 _공내역서_수원율전 실행내역 검토안_태평동도급내역(Rev.2)-12.26" xfId="15736"/>
    <cellStyle name="_인원계획표 _적격 _공내역서_수원율전 실행내역 검토안_태평동도급내역(Rev.2)-12.26 2" xfId="15737"/>
    <cellStyle name="_인원계획표 _적격 _공내역서_수원율전조합" xfId="15738"/>
    <cellStyle name="_인원계획표 _적격 _공내역서_수원율전조합 2" xfId="15739"/>
    <cellStyle name="_인원계획표 _적격 _공내역서_수원율전조합_사본 - ☆태평동  도급내역" xfId="15740"/>
    <cellStyle name="_인원계획표 _적격 _공내역서_수원율전조합_사본 - ☆태평동  도급내역 2" xfId="15741"/>
    <cellStyle name="_인원계획표 _적격 _공내역서_수원율전조합_성남태평동설비공사" xfId="15742"/>
    <cellStyle name="_인원계획표 _적격 _공내역서_수원율전조합_성남태평동설비공사 2" xfId="15743"/>
    <cellStyle name="_인원계획표 _적격 _공내역서_수원율전조합_수원율전 실행내역" xfId="15744"/>
    <cellStyle name="_인원계획표 _적격 _공내역서_수원율전조합_수원율전 실행내역 2" xfId="15745"/>
    <cellStyle name="_인원계획표 _적격 _공내역서_수원율전조합_수원율전 실행내역 검토안" xfId="15746"/>
    <cellStyle name="_인원계획표 _적격 _공내역서_수원율전조합_수원율전 실행내역 검토안 2" xfId="15747"/>
    <cellStyle name="_인원계획표 _적격 _공내역서_수원율전조합_수원율전 실행내역 검토안_사본 - ☆태평동  도급내역" xfId="15748"/>
    <cellStyle name="_인원계획표 _적격 _공내역서_수원율전조합_수원율전 실행내역 검토안_사본 - ☆태평동  도급내역 2" xfId="15749"/>
    <cellStyle name="_인원계획표 _적격 _공내역서_수원율전조합_수원율전 실행내역 검토안_성남태평동설비공사" xfId="15750"/>
    <cellStyle name="_인원계획표 _적격 _공내역서_수원율전조합_수원율전 실행내역 검토안_성남태평동설비공사 2" xfId="15751"/>
    <cellStyle name="_인원계획표 _적격 _공내역서_수원율전조합_수원율전 실행내역 검토안_수정구 태평동 주상복합 실행내역 검토안" xfId="15752"/>
    <cellStyle name="_인원계획표 _적격 _공내역서_수원율전조합_수원율전 실행내역 검토안_수정구 태평동 주상복합 실행내역 검토안 2" xfId="15753"/>
    <cellStyle name="_인원계획표 _적격 _공내역서_수원율전조합_수원율전 실행내역 검토안_태평동 실행내역서" xfId="15754"/>
    <cellStyle name="_인원계획표 _적격 _공내역서_수원율전조합_수원율전 실행내역 검토안_태평동 실행내역서 2" xfId="15755"/>
    <cellStyle name="_인원계획표 _적격 _공내역서_수원율전조합_수원율전 실행내역 검토안_태평동도급내역(Rev.2)-12.26" xfId="15756"/>
    <cellStyle name="_인원계획표 _적격 _공내역서_수원율전조합_수원율전 실행내역 검토안_태평동도급내역(Rev.2)-12.26 2" xfId="15757"/>
    <cellStyle name="_인원계획표 _적격 _공내역서_수원율전조합_수정구 태평동 주상복합 실행내역 검토안" xfId="15758"/>
    <cellStyle name="_인원계획표 _적격 _공내역서_수원율전조합_수정구 태평동 주상복합 실행내역 검토안 2" xfId="15759"/>
    <cellStyle name="_인원계획표 _적격 _공내역서_수원율전조합_태평동 실행내역서" xfId="15760"/>
    <cellStyle name="_인원계획표 _적격 _공내역서_수원율전조합_태평동 실행내역서 2" xfId="15761"/>
    <cellStyle name="_인원계획표 _적격 _공내역서_수원율전조합_태평동도급내역(Rev.2)-12.26" xfId="15762"/>
    <cellStyle name="_인원계획표 _적격 _공내역서_수원율전조합_태평동도급내역(Rev.2)-12.26 2" xfId="15763"/>
    <cellStyle name="_인원계획표 _적격 _공내역서_수정구 태평동 주상복합 실행내역 검토안" xfId="15764"/>
    <cellStyle name="_인원계획표 _적격 _공내역서_수정구 태평동 주상복합 실행내역 검토안 2" xfId="15765"/>
    <cellStyle name="_인원계획표 _적격 _공내역서_태평동 실행내역서" xfId="15766"/>
    <cellStyle name="_인원계획표 _적격 _공내역서_태평동 실행내역서 2" xfId="15767"/>
    <cellStyle name="_인원계획표 _적격 _공내역서_태평동도급내역(Rev.2)-12.26" xfId="15768"/>
    <cellStyle name="_인원계획표 _적격 _공내역서_태평동도급내역(Rev.2)-12.26 2" xfId="15769"/>
    <cellStyle name="_인원계획표 _적격 _공내역서-창호" xfId="15574"/>
    <cellStyle name="_인원계획표 _적격 _공내역서-창호 2" xfId="15575"/>
    <cellStyle name="_인원계획표 _적격 _공내역서-창호_사본 - ☆태평동  도급내역" xfId="15576"/>
    <cellStyle name="_인원계획표 _적격 _공내역서-창호_사본 - ☆태평동  도급내역 2" xfId="15577"/>
    <cellStyle name="_인원계획표 _적격 _공내역서-창호_성남태평동설비공사" xfId="15578"/>
    <cellStyle name="_인원계획표 _적격 _공내역서-창호_성남태평동설비공사 2" xfId="15579"/>
    <cellStyle name="_인원계획표 _적격 _공내역서-창호_수원율전 실행내역" xfId="15580"/>
    <cellStyle name="_인원계획표 _적격 _공내역서-창호_수원율전 실행내역 2" xfId="15581"/>
    <cellStyle name="_인원계획표 _적격 _공내역서-창호_수원율전 실행내역 검토안" xfId="15582"/>
    <cellStyle name="_인원계획표 _적격 _공내역서-창호_수원율전 실행내역 검토안 2" xfId="15583"/>
    <cellStyle name="_인원계획표 _적격 _공내역서-창호_수원율전 실행내역 검토안_사본 - ☆태평동  도급내역" xfId="15584"/>
    <cellStyle name="_인원계획표 _적격 _공내역서-창호_수원율전 실행내역 검토안_사본 - ☆태평동  도급내역 2" xfId="15585"/>
    <cellStyle name="_인원계획표 _적격 _공내역서-창호_수원율전 실행내역 검토안_성남태평동설비공사" xfId="15586"/>
    <cellStyle name="_인원계획표 _적격 _공내역서-창호_수원율전 실행내역 검토안_성남태평동설비공사 2" xfId="15587"/>
    <cellStyle name="_인원계획표 _적격 _공내역서-창호_수원율전 실행내역 검토안_수원율전 실행내역" xfId="15588"/>
    <cellStyle name="_인원계획표 _적격 _공내역서-창호_수원율전 실행내역 검토안_수원율전 실행내역 2" xfId="15589"/>
    <cellStyle name="_인원계획표 _적격 _공내역서-창호_수원율전 실행내역 검토안_수원율전 실행내역 검토안" xfId="15590"/>
    <cellStyle name="_인원계획표 _적격 _공내역서-창호_수원율전 실행내역 검토안_수원율전 실행내역 검토안 2" xfId="15591"/>
    <cellStyle name="_인원계획표 _적격 _공내역서-창호_수원율전 실행내역 검토안_수원율전 실행내역 검토안_사본 - ☆태평동  도급내역" xfId="15592"/>
    <cellStyle name="_인원계획표 _적격 _공내역서-창호_수원율전 실행내역 검토안_수원율전 실행내역 검토안_사본 - ☆태평동  도급내역 2" xfId="15593"/>
    <cellStyle name="_인원계획표 _적격 _공내역서-창호_수원율전 실행내역 검토안_수원율전 실행내역 검토안_성남태평동설비공사" xfId="15594"/>
    <cellStyle name="_인원계획표 _적격 _공내역서-창호_수원율전 실행내역 검토안_수원율전 실행내역 검토안_성남태평동설비공사 2" xfId="15595"/>
    <cellStyle name="_인원계획표 _적격 _공내역서-창호_수원율전 실행내역 검토안_수원율전 실행내역 검토안_수정구 태평동 주상복합 실행내역 검토안" xfId="15596"/>
    <cellStyle name="_인원계획표 _적격 _공내역서-창호_수원율전 실행내역 검토안_수원율전 실행내역 검토안_수정구 태평동 주상복합 실행내역 검토안 2" xfId="15597"/>
    <cellStyle name="_인원계획표 _적격 _공내역서-창호_수원율전 실행내역 검토안_수원율전 실행내역 검토안_태평동 실행내역서" xfId="15598"/>
    <cellStyle name="_인원계획표 _적격 _공내역서-창호_수원율전 실행내역 검토안_수원율전 실행내역 검토안_태평동 실행내역서 2" xfId="15599"/>
    <cellStyle name="_인원계획표 _적격 _공내역서-창호_수원율전 실행내역 검토안_수원율전 실행내역 검토안_태평동도급내역(Rev.2)-12.26" xfId="15600"/>
    <cellStyle name="_인원계획표 _적격 _공내역서-창호_수원율전 실행내역 검토안_수원율전 실행내역 검토안_태평동도급내역(Rev.2)-12.26 2" xfId="15601"/>
    <cellStyle name="_인원계획표 _적격 _공내역서-창호_수원율전 실행내역 검토안_수정구 태평동 주상복합 실행내역 검토안" xfId="15602"/>
    <cellStyle name="_인원계획표 _적격 _공내역서-창호_수원율전 실행내역 검토안_수정구 태평동 주상복합 실행내역 검토안 2" xfId="15603"/>
    <cellStyle name="_인원계획표 _적격 _공내역서-창호_수원율전 실행내역 검토안_태평동 실행내역서" xfId="15604"/>
    <cellStyle name="_인원계획표 _적격 _공내역서-창호_수원율전 실행내역 검토안_태평동 실행내역서 2" xfId="15605"/>
    <cellStyle name="_인원계획표 _적격 _공내역서-창호_수원율전 실행내역 검토안_태평동도급내역(Rev.2)-12.26" xfId="15606"/>
    <cellStyle name="_인원계획표 _적격 _공내역서-창호_수원율전 실행내역 검토안_태평동도급내역(Rev.2)-12.26 2" xfId="15607"/>
    <cellStyle name="_인원계획표 _적격 _공내역서-창호_수원율전조합" xfId="15608"/>
    <cellStyle name="_인원계획표 _적격 _공내역서-창호_수원율전조합 2" xfId="15609"/>
    <cellStyle name="_인원계획표 _적격 _공내역서-창호_수원율전조합_사본 - ☆태평동  도급내역" xfId="15610"/>
    <cellStyle name="_인원계획표 _적격 _공내역서-창호_수원율전조합_사본 - ☆태평동  도급내역 2" xfId="15611"/>
    <cellStyle name="_인원계획표 _적격 _공내역서-창호_수원율전조합_성남태평동설비공사" xfId="15612"/>
    <cellStyle name="_인원계획표 _적격 _공내역서-창호_수원율전조합_성남태평동설비공사 2" xfId="15613"/>
    <cellStyle name="_인원계획표 _적격 _공내역서-창호_수원율전조합_수원율전 실행내역" xfId="15614"/>
    <cellStyle name="_인원계획표 _적격 _공내역서-창호_수원율전조합_수원율전 실행내역 2" xfId="15615"/>
    <cellStyle name="_인원계획표 _적격 _공내역서-창호_수원율전조합_수원율전 실행내역 검토안" xfId="15616"/>
    <cellStyle name="_인원계획표 _적격 _공내역서-창호_수원율전조합_수원율전 실행내역 검토안 2" xfId="15617"/>
    <cellStyle name="_인원계획표 _적격 _공내역서-창호_수원율전조합_수원율전 실행내역 검토안_사본 - ☆태평동  도급내역" xfId="15618"/>
    <cellStyle name="_인원계획표 _적격 _공내역서-창호_수원율전조합_수원율전 실행내역 검토안_사본 - ☆태평동  도급내역 2" xfId="15619"/>
    <cellStyle name="_인원계획표 _적격 _공내역서-창호_수원율전조합_수원율전 실행내역 검토안_성남태평동설비공사" xfId="15620"/>
    <cellStyle name="_인원계획표 _적격 _공내역서-창호_수원율전조합_수원율전 실행내역 검토안_성남태평동설비공사 2" xfId="15621"/>
    <cellStyle name="_인원계획표 _적격 _공내역서-창호_수원율전조합_수원율전 실행내역 검토안_수정구 태평동 주상복합 실행내역 검토안" xfId="15622"/>
    <cellStyle name="_인원계획표 _적격 _공내역서-창호_수원율전조합_수원율전 실행내역 검토안_수정구 태평동 주상복합 실행내역 검토안 2" xfId="15623"/>
    <cellStyle name="_인원계획표 _적격 _공내역서-창호_수원율전조합_수원율전 실행내역 검토안_태평동 실행내역서" xfId="15624"/>
    <cellStyle name="_인원계획표 _적격 _공내역서-창호_수원율전조합_수원율전 실행내역 검토안_태평동 실행내역서 2" xfId="15625"/>
    <cellStyle name="_인원계획표 _적격 _공내역서-창호_수원율전조합_수원율전 실행내역 검토안_태평동도급내역(Rev.2)-12.26" xfId="15626"/>
    <cellStyle name="_인원계획표 _적격 _공내역서-창호_수원율전조합_수원율전 실행내역 검토안_태평동도급내역(Rev.2)-12.26 2" xfId="15627"/>
    <cellStyle name="_인원계획표 _적격 _공내역서-창호_수원율전조합_수정구 태평동 주상복합 실행내역 검토안" xfId="15628"/>
    <cellStyle name="_인원계획표 _적격 _공내역서-창호_수원율전조합_수정구 태평동 주상복합 실행내역 검토안 2" xfId="15629"/>
    <cellStyle name="_인원계획표 _적격 _공내역서-창호_수원율전조합_태평동 실행내역서" xfId="15630"/>
    <cellStyle name="_인원계획표 _적격 _공내역서-창호_수원율전조합_태평동 실행내역서 2" xfId="15631"/>
    <cellStyle name="_인원계획표 _적격 _공내역서-창호_수원율전조합_태평동도급내역(Rev.2)-12.26" xfId="15632"/>
    <cellStyle name="_인원계획표 _적격 _공내역서-창호_수원율전조합_태평동도급내역(Rev.2)-12.26 2" xfId="15633"/>
    <cellStyle name="_인원계획표 _적격 _공내역서-창호_수정구 태평동 주상복합 실행내역 검토안" xfId="15634"/>
    <cellStyle name="_인원계획표 _적격 _공내역서-창호_수정구 태평동 주상복합 실행내역 검토안 2" xfId="15635"/>
    <cellStyle name="_인원계획표 _적격 _공내역서-창호_태평동 실행내역서" xfId="15636"/>
    <cellStyle name="_인원계획표 _적격 _공내역서-창호_태평동 실행내역서 2" xfId="15637"/>
    <cellStyle name="_인원계획표 _적격 _공내역서-창호_태평동도급내역(Rev.2)-12.26" xfId="15638"/>
    <cellStyle name="_인원계획표 _적격 _공내역서-창호_태평동도급내역(Rev.2)-12.26 2" xfId="15639"/>
    <cellStyle name="_인원계획표 _적격 _공내역서-창호분개" xfId="15640"/>
    <cellStyle name="_인원계획표 _적격 _공내역서-창호분개 2" xfId="15641"/>
    <cellStyle name="_인원계획표 _적격 _공내역서-창호분개_사본 - ☆태평동  도급내역" xfId="15642"/>
    <cellStyle name="_인원계획표 _적격 _공내역서-창호분개_사본 - ☆태평동  도급내역 2" xfId="15643"/>
    <cellStyle name="_인원계획표 _적격 _공내역서-창호분개_성남태평동설비공사" xfId="15644"/>
    <cellStyle name="_인원계획표 _적격 _공내역서-창호분개_성남태평동설비공사 2" xfId="15645"/>
    <cellStyle name="_인원계획표 _적격 _공내역서-창호분개_수원율전 실행내역" xfId="15646"/>
    <cellStyle name="_인원계획표 _적격 _공내역서-창호분개_수원율전 실행내역 2" xfId="15647"/>
    <cellStyle name="_인원계획표 _적격 _공내역서-창호분개_수원율전 실행내역 검토안" xfId="15648"/>
    <cellStyle name="_인원계획표 _적격 _공내역서-창호분개_수원율전 실행내역 검토안 2" xfId="15649"/>
    <cellStyle name="_인원계획표 _적격 _공내역서-창호분개_수원율전 실행내역 검토안_사본 - ☆태평동  도급내역" xfId="15650"/>
    <cellStyle name="_인원계획표 _적격 _공내역서-창호분개_수원율전 실행내역 검토안_사본 - ☆태평동  도급내역 2" xfId="15651"/>
    <cellStyle name="_인원계획표 _적격 _공내역서-창호분개_수원율전 실행내역 검토안_성남태평동설비공사" xfId="15652"/>
    <cellStyle name="_인원계획표 _적격 _공내역서-창호분개_수원율전 실행내역 검토안_성남태평동설비공사 2" xfId="15653"/>
    <cellStyle name="_인원계획표 _적격 _공내역서-창호분개_수원율전 실행내역 검토안_수원율전 실행내역" xfId="15654"/>
    <cellStyle name="_인원계획표 _적격 _공내역서-창호분개_수원율전 실행내역 검토안_수원율전 실행내역 2" xfId="15655"/>
    <cellStyle name="_인원계획표 _적격 _공내역서-창호분개_수원율전 실행내역 검토안_수원율전 실행내역 검토안" xfId="15656"/>
    <cellStyle name="_인원계획표 _적격 _공내역서-창호분개_수원율전 실행내역 검토안_수원율전 실행내역 검토안 2" xfId="15657"/>
    <cellStyle name="_인원계획표 _적격 _공내역서-창호분개_수원율전 실행내역 검토안_수원율전 실행내역 검토안_사본 - ☆태평동  도급내역" xfId="15658"/>
    <cellStyle name="_인원계획표 _적격 _공내역서-창호분개_수원율전 실행내역 검토안_수원율전 실행내역 검토안_사본 - ☆태평동  도급내역 2" xfId="15659"/>
    <cellStyle name="_인원계획표 _적격 _공내역서-창호분개_수원율전 실행내역 검토안_수원율전 실행내역 검토안_성남태평동설비공사" xfId="15660"/>
    <cellStyle name="_인원계획표 _적격 _공내역서-창호분개_수원율전 실행내역 검토안_수원율전 실행내역 검토안_성남태평동설비공사 2" xfId="15661"/>
    <cellStyle name="_인원계획표 _적격 _공내역서-창호분개_수원율전 실행내역 검토안_수원율전 실행내역 검토안_수정구 태평동 주상복합 실행내역 검토안" xfId="15662"/>
    <cellStyle name="_인원계획표 _적격 _공내역서-창호분개_수원율전 실행내역 검토안_수원율전 실행내역 검토안_수정구 태평동 주상복합 실행내역 검토안 2" xfId="15663"/>
    <cellStyle name="_인원계획표 _적격 _공내역서-창호분개_수원율전 실행내역 검토안_수원율전 실행내역 검토안_태평동 실행내역서" xfId="15664"/>
    <cellStyle name="_인원계획표 _적격 _공내역서-창호분개_수원율전 실행내역 검토안_수원율전 실행내역 검토안_태평동 실행내역서 2" xfId="15665"/>
    <cellStyle name="_인원계획표 _적격 _공내역서-창호분개_수원율전 실행내역 검토안_수원율전 실행내역 검토안_태평동도급내역(Rev.2)-12.26" xfId="15666"/>
    <cellStyle name="_인원계획표 _적격 _공내역서-창호분개_수원율전 실행내역 검토안_수원율전 실행내역 검토안_태평동도급내역(Rev.2)-12.26 2" xfId="15667"/>
    <cellStyle name="_인원계획표 _적격 _공내역서-창호분개_수원율전 실행내역 검토안_수정구 태평동 주상복합 실행내역 검토안" xfId="15668"/>
    <cellStyle name="_인원계획표 _적격 _공내역서-창호분개_수원율전 실행내역 검토안_수정구 태평동 주상복합 실행내역 검토안 2" xfId="15669"/>
    <cellStyle name="_인원계획표 _적격 _공내역서-창호분개_수원율전 실행내역 검토안_태평동 실행내역서" xfId="15670"/>
    <cellStyle name="_인원계획표 _적격 _공내역서-창호분개_수원율전 실행내역 검토안_태평동 실행내역서 2" xfId="15671"/>
    <cellStyle name="_인원계획표 _적격 _공내역서-창호분개_수원율전 실행내역 검토안_태평동도급내역(Rev.2)-12.26" xfId="15672"/>
    <cellStyle name="_인원계획표 _적격 _공내역서-창호분개_수원율전 실행내역 검토안_태평동도급내역(Rev.2)-12.26 2" xfId="15673"/>
    <cellStyle name="_인원계획표 _적격 _공내역서-창호분개_수원율전조합" xfId="15674"/>
    <cellStyle name="_인원계획표 _적격 _공내역서-창호분개_수원율전조합 2" xfId="15675"/>
    <cellStyle name="_인원계획표 _적격 _공내역서-창호분개_수원율전조합_사본 - ☆태평동  도급내역" xfId="15676"/>
    <cellStyle name="_인원계획표 _적격 _공내역서-창호분개_수원율전조합_사본 - ☆태평동  도급내역 2" xfId="15677"/>
    <cellStyle name="_인원계획표 _적격 _공내역서-창호분개_수원율전조합_성남태평동설비공사" xfId="15678"/>
    <cellStyle name="_인원계획표 _적격 _공내역서-창호분개_수원율전조합_성남태평동설비공사 2" xfId="15679"/>
    <cellStyle name="_인원계획표 _적격 _공내역서-창호분개_수원율전조합_수원율전 실행내역" xfId="15680"/>
    <cellStyle name="_인원계획표 _적격 _공내역서-창호분개_수원율전조합_수원율전 실행내역 2" xfId="15681"/>
    <cellStyle name="_인원계획표 _적격 _공내역서-창호분개_수원율전조합_수원율전 실행내역 검토안" xfId="15682"/>
    <cellStyle name="_인원계획표 _적격 _공내역서-창호분개_수원율전조합_수원율전 실행내역 검토안 2" xfId="15683"/>
    <cellStyle name="_인원계획표 _적격 _공내역서-창호분개_수원율전조합_수원율전 실행내역 검토안_사본 - ☆태평동  도급내역" xfId="15684"/>
    <cellStyle name="_인원계획표 _적격 _공내역서-창호분개_수원율전조합_수원율전 실행내역 검토안_사본 - ☆태평동  도급내역 2" xfId="15685"/>
    <cellStyle name="_인원계획표 _적격 _공내역서-창호분개_수원율전조합_수원율전 실행내역 검토안_성남태평동설비공사" xfId="15686"/>
    <cellStyle name="_인원계획표 _적격 _공내역서-창호분개_수원율전조합_수원율전 실행내역 검토안_성남태평동설비공사 2" xfId="15687"/>
    <cellStyle name="_인원계획표 _적격 _공내역서-창호분개_수원율전조합_수원율전 실행내역 검토안_수정구 태평동 주상복합 실행내역 검토안" xfId="15688"/>
    <cellStyle name="_인원계획표 _적격 _공내역서-창호분개_수원율전조합_수원율전 실행내역 검토안_수정구 태평동 주상복합 실행내역 검토안 2" xfId="15689"/>
    <cellStyle name="_인원계획표 _적격 _공내역서-창호분개_수원율전조합_수원율전 실행내역 검토안_태평동 실행내역서" xfId="15690"/>
    <cellStyle name="_인원계획표 _적격 _공내역서-창호분개_수원율전조합_수원율전 실행내역 검토안_태평동 실행내역서 2" xfId="15691"/>
    <cellStyle name="_인원계획표 _적격 _공내역서-창호분개_수원율전조합_수원율전 실행내역 검토안_태평동도급내역(Rev.2)-12.26" xfId="15692"/>
    <cellStyle name="_인원계획표 _적격 _공내역서-창호분개_수원율전조합_수원율전 실행내역 검토안_태평동도급내역(Rev.2)-12.26 2" xfId="15693"/>
    <cellStyle name="_인원계획표 _적격 _공내역서-창호분개_수원율전조합_수정구 태평동 주상복합 실행내역 검토안" xfId="15694"/>
    <cellStyle name="_인원계획표 _적격 _공내역서-창호분개_수원율전조합_수정구 태평동 주상복합 실행내역 검토안 2" xfId="15695"/>
    <cellStyle name="_인원계획표 _적격 _공내역서-창호분개_수원율전조합_태평동 실행내역서" xfId="15696"/>
    <cellStyle name="_인원계획표 _적격 _공내역서-창호분개_수원율전조합_태평동 실행내역서 2" xfId="15697"/>
    <cellStyle name="_인원계획표 _적격 _공내역서-창호분개_수원율전조합_태평동도급내역(Rev.2)-12.26" xfId="15698"/>
    <cellStyle name="_인원계획표 _적격 _공내역서-창호분개_수원율전조합_태평동도급내역(Rev.2)-12.26 2" xfId="15699"/>
    <cellStyle name="_인원계획표 _적격 _공내역서-창호분개_수정구 태평동 주상복합 실행내역 검토안" xfId="15700"/>
    <cellStyle name="_인원계획표 _적격 _공내역서-창호분개_수정구 태평동 주상복합 실행내역 검토안 2" xfId="15701"/>
    <cellStyle name="_인원계획표 _적격 _공내역서-창호분개_태평동 실행내역서" xfId="15702"/>
    <cellStyle name="_인원계획표 _적격 _공내역서-창호분개_태평동 실행내역서 2" xfId="15703"/>
    <cellStyle name="_인원계획표 _적격 _공내역서-창호분개_태평동도급내역(Rev.2)-12.26" xfId="15704"/>
    <cellStyle name="_인원계획표 _적격 _공내역서-창호분개_태평동도급내역(Rev.2)-12.26 2" xfId="15705"/>
    <cellStyle name="_인원계획표 _적격 _공사개요" xfId="15770"/>
    <cellStyle name="_인원계획표 _적격 _공사개요 2" xfId="15771"/>
    <cellStyle name="_인원계획표 _적격 _공사개요_Book2" xfId="15772"/>
    <cellStyle name="_인원계획표 _적격 _공사개요_Book2 2" xfId="15773"/>
    <cellStyle name="_인원계획표 _적격 _공사개요_Book4" xfId="15774"/>
    <cellStyle name="_인원계획표 _적격 _공사개요_Book4 2" xfId="15775"/>
    <cellStyle name="_인원계획표 _적격 _내역서(건설사)" xfId="15776"/>
    <cellStyle name="_인원계획표 _적격 _내역서(건설사) 2" xfId="15777"/>
    <cellStyle name="_인원계획표 _적격 _내역서(작업)" xfId="15778"/>
    <cellStyle name="_인원계획표 _적격 _내역서(작업) 2" xfId="15779"/>
    <cellStyle name="_인원계획표 _적격 _내역서(최초)" xfId="15780"/>
    <cellStyle name="_인원계획표 _적격 _내역서(최초) 2" xfId="15781"/>
    <cellStyle name="_인원계획표 _적격 _롯데마그넷(오산점)" xfId="15782"/>
    <cellStyle name="_인원계획표 _적격 _롯데마그넷(오산점) 2" xfId="15783"/>
    <cellStyle name="_인원계획표 _적격 _롯데마그넷(오산점)_내역서(건설사)" xfId="15784"/>
    <cellStyle name="_인원계획표 _적격 _롯데마그넷(오산점)_내역서(건설사) 2" xfId="15785"/>
    <cellStyle name="_인원계획표 _적격 _롯데마그넷(오산점)_내역서(작업)" xfId="15786"/>
    <cellStyle name="_인원계획표 _적격 _롯데마그넷(오산점)_내역서(작업) 2" xfId="15787"/>
    <cellStyle name="_인원계획표 _적격 _롯데마그넷(오산점)_통영점공조및위생" xfId="15788"/>
    <cellStyle name="_인원계획표 _적격 _롯데마그넷(오산점)_통영점공조및위생 2" xfId="15789"/>
    <cellStyle name="_인원계획표 _적격 _롯데마그넷(오산점)_통영점공조및위생_내역서(건설사)" xfId="15790"/>
    <cellStyle name="_인원계획표 _적격 _롯데마그넷(오산점)_통영점공조및위생_내역서(건설사) 2" xfId="15791"/>
    <cellStyle name="_인원계획표 _적격 _롯데마그넷(오산점)_통영점공조및위생_내역서(작업)" xfId="15792"/>
    <cellStyle name="_인원계획표 _적격 _롯데마그넷(오산점)_통영점공조및위생_내역서(작업) 2" xfId="15793"/>
    <cellStyle name="_인원계획표 _적격 _마그넷오산점내역(020320)" xfId="15794"/>
    <cellStyle name="_인원계획표 _적격 _마그넷오산점내역(020320) 2" xfId="15795"/>
    <cellStyle name="_인원계획표 _적격 _마그넷오산점내역(020320)_내역서(건설사)" xfId="15796"/>
    <cellStyle name="_인원계획표 _적격 _마그넷오산점내역(020320)_내역서(건설사) 2" xfId="15797"/>
    <cellStyle name="_인원계획표 _적격 _마그넷오산점내역(020320)_내역서(작업)" xfId="15798"/>
    <cellStyle name="_인원계획표 _적격 _마그넷오산점내역(020320)_내역서(작업) 2" xfId="15799"/>
    <cellStyle name="_인원계획표 _적격 _마그넷오산점내역(020320)_통영점공조및위생" xfId="15800"/>
    <cellStyle name="_인원계획표 _적격 _마그넷오산점내역(020320)_통영점공조및위생 2" xfId="15801"/>
    <cellStyle name="_인원계획표 _적격 _마그넷오산점내역(020320)_통영점공조및위생_내역서(건설사)" xfId="15802"/>
    <cellStyle name="_인원계획표 _적격 _마그넷오산점내역(020320)_통영점공조및위생_내역서(건설사) 2" xfId="15803"/>
    <cellStyle name="_인원계획표 _적격 _마그넷오산점내역(020320)_통영점공조및위생_내역서(작업)" xfId="15804"/>
    <cellStyle name="_인원계획표 _적격 _마그넷오산점내역(020320)_통영점공조및위생_내역서(작업) 2" xfId="15805"/>
    <cellStyle name="_인원계획표 _적격 _부대결과" xfId="15806"/>
    <cellStyle name="_인원계획표 _적격 _부대결과 2" xfId="15807"/>
    <cellStyle name="_인원계획표 _적격 _부대결과_Book1" xfId="15808"/>
    <cellStyle name="_인원계획표 _적격 _부대결과_Book1 2" xfId="15809"/>
    <cellStyle name="_인원계획표 _적격 _부대결과_Book1_내역서(최초)" xfId="15810"/>
    <cellStyle name="_인원계획표 _적격 _부대결과_Book1_내역서(최초) 2" xfId="15811"/>
    <cellStyle name="_인원계획표 _적격 _부대결과_Book1_설계내역서" xfId="15812"/>
    <cellStyle name="_인원계획표 _적격 _부대결과_Book1_설계내역서 2" xfId="15813"/>
    <cellStyle name="_인원계획표 _적격 _부대결과_Book1_설계내역서(2차)" xfId="15814"/>
    <cellStyle name="_인원계획표 _적격 _부대결과_Book1_설계내역서(2차) 2" xfId="15815"/>
    <cellStyle name="_인원계획표 _적격 _부대결과_P-(현리-신팔)" xfId="15816"/>
    <cellStyle name="_인원계획표 _적격 _부대결과_P-(현리-신팔) 2" xfId="15817"/>
    <cellStyle name="_인원계획표 _적격 _부대결과_P-(현리-신팔)_내역서(최초)" xfId="15818"/>
    <cellStyle name="_인원계획표 _적격 _부대결과_P-(현리-신팔)_내역서(최초) 2" xfId="15819"/>
    <cellStyle name="_인원계획표 _적격 _부대결과_P-(현리-신팔)_설계내역서" xfId="15820"/>
    <cellStyle name="_인원계획표 _적격 _부대결과_P-(현리-신팔)_설계내역서 2" xfId="15821"/>
    <cellStyle name="_인원계획표 _적격 _부대결과_P-(현리-신팔)_설계내역서(2차)" xfId="15822"/>
    <cellStyle name="_인원계획표 _적격 _부대결과_P-(현리-신팔)_설계내역서(2차) 2" xfId="15823"/>
    <cellStyle name="_인원계획표 _적격 _부대결과_내역서(최초)" xfId="15824"/>
    <cellStyle name="_인원계획표 _적격 _부대결과_내역서(최초) 2" xfId="15825"/>
    <cellStyle name="_인원계획표 _적격 _부대결과_설계내역서" xfId="15826"/>
    <cellStyle name="_인원계획표 _적격 _부대결과_설계내역서 2" xfId="15827"/>
    <cellStyle name="_인원계획표 _적격 _부대결과_설계내역서(2차)" xfId="15828"/>
    <cellStyle name="_인원계획표 _적격 _부대결과_설계내역서(2차) 2" xfId="15829"/>
    <cellStyle name="_인원계획표 _적격 _부대결과_현리-신팔도로설계" xfId="15830"/>
    <cellStyle name="_인원계획표 _적격 _부대결과_현리-신팔도로설계 2" xfId="15831"/>
    <cellStyle name="_인원계획표 _적격 _부대결과_현리-신팔도로설계_내역서(최초)" xfId="15832"/>
    <cellStyle name="_인원계획표 _적격 _부대결과_현리-신팔도로설계_내역서(최초) 2" xfId="15833"/>
    <cellStyle name="_인원계획표 _적격 _부대결과_현리-신팔도로설계_설계내역서" xfId="15834"/>
    <cellStyle name="_인원계획표 _적격 _부대결과_현리-신팔도로설계_설계내역서 2" xfId="15835"/>
    <cellStyle name="_인원계획표 _적격 _부대결과_현리-신팔도로설계_설계내역서(2차)" xfId="15836"/>
    <cellStyle name="_인원계획표 _적격 _부대결과_현리-신팔도로설계_설계내역서(2차) 2" xfId="15837"/>
    <cellStyle name="_인원계획표 _적격 _부대입찰특별조건및내역송부(최저가)" xfId="15838"/>
    <cellStyle name="_인원계획표 _적격 _부대입찰특별조건및내역송부(최저가) 2" xfId="15839"/>
    <cellStyle name="_인원계획표 _적격 _부대입찰특별조건및내역송부(최저가)_Book1" xfId="15840"/>
    <cellStyle name="_인원계획표 _적격 _부대입찰특별조건및내역송부(최저가)_Book1 2" xfId="15841"/>
    <cellStyle name="_인원계획표 _적격 _부대입찰특별조건및내역송부(최저가)_Book1_내역서(최초)" xfId="15842"/>
    <cellStyle name="_인원계획표 _적격 _부대입찰특별조건및내역송부(최저가)_Book1_내역서(최초) 2" xfId="15843"/>
    <cellStyle name="_인원계획표 _적격 _부대입찰특별조건및내역송부(최저가)_Book1_설계내역서" xfId="15844"/>
    <cellStyle name="_인원계획표 _적격 _부대입찰특별조건및내역송부(최저가)_Book1_설계내역서 2" xfId="15845"/>
    <cellStyle name="_인원계획표 _적격 _부대입찰특별조건및내역송부(최저가)_Book1_설계내역서(2차)" xfId="15846"/>
    <cellStyle name="_인원계획표 _적격 _부대입찰특별조건및내역송부(최저가)_Book1_설계내역서(2차) 2" xfId="15847"/>
    <cellStyle name="_인원계획표 _적격 _부대입찰특별조건및내역송부(최저가)_P-(현리-신팔)" xfId="15848"/>
    <cellStyle name="_인원계획표 _적격 _부대입찰특별조건및내역송부(최저가)_P-(현리-신팔) 2" xfId="15849"/>
    <cellStyle name="_인원계획표 _적격 _부대입찰특별조건및내역송부(최저가)_P-(현리-신팔)_내역서(최초)" xfId="15850"/>
    <cellStyle name="_인원계획표 _적격 _부대입찰특별조건및내역송부(최저가)_P-(현리-신팔)_내역서(최초) 2" xfId="15851"/>
    <cellStyle name="_인원계획표 _적격 _부대입찰특별조건및내역송부(최저가)_P-(현리-신팔)_설계내역서" xfId="15852"/>
    <cellStyle name="_인원계획표 _적격 _부대입찰특별조건및내역송부(최저가)_P-(현리-신팔)_설계내역서 2" xfId="15853"/>
    <cellStyle name="_인원계획표 _적격 _부대입찰특별조건및내역송부(최저가)_P-(현리-신팔)_설계내역서(2차)" xfId="15854"/>
    <cellStyle name="_인원계획표 _적격 _부대입찰특별조건및내역송부(최저가)_P-(현리-신팔)_설계내역서(2차) 2" xfId="15855"/>
    <cellStyle name="_인원계획표 _적격 _부대입찰특별조건및내역송부(최저가)_내역서(최초)" xfId="15856"/>
    <cellStyle name="_인원계획표 _적격 _부대입찰특별조건및내역송부(최저가)_내역서(최초) 2" xfId="15857"/>
    <cellStyle name="_인원계획표 _적격 _부대입찰특별조건및내역송부(최저가)_부대결과" xfId="15858"/>
    <cellStyle name="_인원계획표 _적격 _부대입찰특별조건및내역송부(최저가)_부대결과 2" xfId="15859"/>
    <cellStyle name="_인원계획표 _적격 _부대입찰특별조건및내역송부(최저가)_부대결과_Book1" xfId="15860"/>
    <cellStyle name="_인원계획표 _적격 _부대입찰특별조건및내역송부(최저가)_부대결과_Book1 2" xfId="15861"/>
    <cellStyle name="_인원계획표 _적격 _부대입찰특별조건및내역송부(최저가)_부대결과_Book1_내역서(최초)" xfId="15862"/>
    <cellStyle name="_인원계획표 _적격 _부대입찰특별조건및내역송부(최저가)_부대결과_Book1_내역서(최초) 2" xfId="15863"/>
    <cellStyle name="_인원계획표 _적격 _부대입찰특별조건및내역송부(최저가)_부대결과_Book1_설계내역서" xfId="15864"/>
    <cellStyle name="_인원계획표 _적격 _부대입찰특별조건및내역송부(최저가)_부대결과_Book1_설계내역서 2" xfId="15865"/>
    <cellStyle name="_인원계획표 _적격 _부대입찰특별조건및내역송부(최저가)_부대결과_Book1_설계내역서(2차)" xfId="15866"/>
    <cellStyle name="_인원계획표 _적격 _부대입찰특별조건및내역송부(최저가)_부대결과_Book1_설계내역서(2차) 2" xfId="15867"/>
    <cellStyle name="_인원계획표 _적격 _부대입찰특별조건및내역송부(최저가)_부대결과_P-(현리-신팔)" xfId="15868"/>
    <cellStyle name="_인원계획표 _적격 _부대입찰특별조건및내역송부(최저가)_부대결과_P-(현리-신팔) 2" xfId="15869"/>
    <cellStyle name="_인원계획표 _적격 _부대입찰특별조건및내역송부(최저가)_부대결과_P-(현리-신팔)_내역서(최초)" xfId="15870"/>
    <cellStyle name="_인원계획표 _적격 _부대입찰특별조건및내역송부(최저가)_부대결과_P-(현리-신팔)_내역서(최초) 2" xfId="15871"/>
    <cellStyle name="_인원계획표 _적격 _부대입찰특별조건및내역송부(최저가)_부대결과_P-(현리-신팔)_설계내역서" xfId="15872"/>
    <cellStyle name="_인원계획표 _적격 _부대입찰특별조건및내역송부(최저가)_부대결과_P-(현리-신팔)_설계내역서 2" xfId="15873"/>
    <cellStyle name="_인원계획표 _적격 _부대입찰특별조건및내역송부(최저가)_부대결과_P-(현리-신팔)_설계내역서(2차)" xfId="15874"/>
    <cellStyle name="_인원계획표 _적격 _부대입찰특별조건및내역송부(최저가)_부대결과_P-(현리-신팔)_설계내역서(2차) 2" xfId="15875"/>
    <cellStyle name="_인원계획표 _적격 _부대입찰특별조건및내역송부(최저가)_부대결과_내역서(최초)" xfId="15876"/>
    <cellStyle name="_인원계획표 _적격 _부대입찰특별조건및내역송부(최저가)_부대결과_내역서(최초) 2" xfId="15877"/>
    <cellStyle name="_인원계획표 _적격 _부대입찰특별조건및내역송부(최저가)_부대결과_설계내역서" xfId="15878"/>
    <cellStyle name="_인원계획표 _적격 _부대입찰특별조건및내역송부(최저가)_부대결과_설계내역서 2" xfId="15879"/>
    <cellStyle name="_인원계획표 _적격 _부대입찰특별조건및내역송부(최저가)_부대결과_설계내역서(2차)" xfId="15880"/>
    <cellStyle name="_인원계획표 _적격 _부대입찰특별조건및내역송부(최저가)_부대결과_설계내역서(2차) 2" xfId="15881"/>
    <cellStyle name="_인원계획표 _적격 _부대입찰특별조건및내역송부(최저가)_부대결과_현리-신팔도로설계" xfId="15882"/>
    <cellStyle name="_인원계획표 _적격 _부대입찰특별조건및내역송부(최저가)_부대결과_현리-신팔도로설계 2" xfId="15883"/>
    <cellStyle name="_인원계획표 _적격 _부대입찰특별조건및내역송부(최저가)_부대결과_현리-신팔도로설계_내역서(최초)" xfId="15884"/>
    <cellStyle name="_인원계획표 _적격 _부대입찰특별조건및내역송부(최저가)_부대결과_현리-신팔도로설계_내역서(최초) 2" xfId="15885"/>
    <cellStyle name="_인원계획표 _적격 _부대입찰특별조건및내역송부(최저가)_부대결과_현리-신팔도로설계_설계내역서" xfId="15886"/>
    <cellStyle name="_인원계획표 _적격 _부대입찰특별조건및내역송부(최저가)_부대결과_현리-신팔도로설계_설계내역서 2" xfId="15887"/>
    <cellStyle name="_인원계획표 _적격 _부대입찰특별조건및내역송부(최저가)_부대결과_현리-신팔도로설계_설계내역서(2차)" xfId="15888"/>
    <cellStyle name="_인원계획표 _적격 _부대입찰특별조건및내역송부(최저가)_부대결과_현리-신팔도로설계_설계내역서(2차) 2" xfId="15889"/>
    <cellStyle name="_인원계획표 _적격 _부대입찰특별조건및내역송부(최저가)_설계내역서" xfId="15890"/>
    <cellStyle name="_인원계획표 _적격 _부대입찰특별조건및내역송부(최저가)_설계내역서 2" xfId="15891"/>
    <cellStyle name="_인원계획표 _적격 _부대입찰특별조건및내역송부(최저가)_설계내역서(2차)" xfId="15892"/>
    <cellStyle name="_인원계획표 _적격 _부대입찰특별조건및내역송부(최저가)_설계내역서(2차) 2" xfId="15893"/>
    <cellStyle name="_인원계획표 _적격 _부대입찰특별조건및내역송부(최저가)_현리-신팔도로설계" xfId="15894"/>
    <cellStyle name="_인원계획표 _적격 _부대입찰특별조건및내역송부(최저가)_현리-신팔도로설계 2" xfId="15895"/>
    <cellStyle name="_인원계획표 _적격 _부대입찰특별조건및내역송부(최저가)_현리-신팔도로설계_내역서(최초)" xfId="15896"/>
    <cellStyle name="_인원계획표 _적격 _부대입찰특별조건및내역송부(최저가)_현리-신팔도로설계_내역서(최초) 2" xfId="15897"/>
    <cellStyle name="_인원계획표 _적격 _부대입찰특별조건및내역송부(최저가)_현리-신팔도로설계_설계내역서" xfId="15898"/>
    <cellStyle name="_인원계획표 _적격 _부대입찰특별조건및내역송부(최저가)_현리-신팔도로설계_설계내역서 2" xfId="15899"/>
    <cellStyle name="_인원계획표 _적격 _부대입찰특별조건및내역송부(최저가)_현리-신팔도로설계_설계내역서(2차)" xfId="15900"/>
    <cellStyle name="_인원계획표 _적격 _부대입찰특별조건및내역송부(최저가)_현리-신팔도로설계_설계내역서(2차) 2" xfId="15901"/>
    <cellStyle name="_인원계획표 _적격 _사병기숙사(Announcers booth)" xfId="15902"/>
    <cellStyle name="_인원계획표 _적격 _사병기숙사(Announcers booth) 2" xfId="15903"/>
    <cellStyle name="_인원계획표 _적격 _사병기숙사(Announcers booth)_53호견적최종" xfId="15904"/>
    <cellStyle name="_인원계획표 _적격 _사병기숙사(Announcers booth)_53호견적최종 2" xfId="15905"/>
    <cellStyle name="_인원계획표 _적격 _사병기숙사(Announcers booth)_R-0053" xfId="15906"/>
    <cellStyle name="_인원계획표 _적격 _사병기숙사(Announcers booth)_R-0053 2" xfId="15907"/>
    <cellStyle name="_인원계획표 _적격 _사병기숙사(Announcers booth)_R-0053ELEC대" xfId="15908"/>
    <cellStyle name="_인원계획표 _적격 _사병기숙사(Announcers booth)_R-0053ELEC대 2" xfId="15909"/>
    <cellStyle name="_인원계획표 _적격 _사병기숙사(Announcers booth)_R-0053SITE" xfId="15910"/>
    <cellStyle name="_인원계획표 _적격 _사병기숙사(Announcers booth)_R-0053SITE 2" xfId="15911"/>
    <cellStyle name="_인원계획표 _적격 _사본 - ☆태평동  도급내역" xfId="15912"/>
    <cellStyle name="_인원계획표 _적격 _사본 - ☆태평동  도급내역 2" xfId="15913"/>
    <cellStyle name="_인원계획표 _적격 _서초풍림아이원플러스(0723)(2)" xfId="15914"/>
    <cellStyle name="_인원계획표 _적격 _서초풍림아이원플러스(0723)(2) 2" xfId="15915"/>
    <cellStyle name="_인원계획표 _적격 _설계내역서" xfId="15916"/>
    <cellStyle name="_인원계획표 _적격 _설계내역서 2" xfId="15917"/>
    <cellStyle name="_인원계획표 _적격 _설계내역서(2차)" xfId="15918"/>
    <cellStyle name="_인원계획표 _적격 _설계내역서(2차) 2" xfId="15919"/>
    <cellStyle name="_인원계획표 _적격 _성남태평동설비공사" xfId="15920"/>
    <cellStyle name="_인원계획표 _적격 _성남태평동설비공사 2" xfId="15921"/>
    <cellStyle name="_인원계획표 _적격 _수원율전 실행내역" xfId="15922"/>
    <cellStyle name="_인원계획표 _적격 _수원율전 실행내역 2" xfId="15923"/>
    <cellStyle name="_인원계획표 _적격 _수원율전 실행내역 검토안" xfId="15924"/>
    <cellStyle name="_인원계획표 _적격 _수원율전 실행내역 검토안 2" xfId="15925"/>
    <cellStyle name="_인원계획표 _적격 _수원율전 실행내역 검토안_사본 - ☆태평동  도급내역" xfId="15926"/>
    <cellStyle name="_인원계획표 _적격 _수원율전 실행내역 검토안_사본 - ☆태평동  도급내역 2" xfId="15927"/>
    <cellStyle name="_인원계획표 _적격 _수원율전 실행내역 검토안_성남태평동설비공사" xfId="15928"/>
    <cellStyle name="_인원계획표 _적격 _수원율전 실행내역 검토안_성남태평동설비공사 2" xfId="15929"/>
    <cellStyle name="_인원계획표 _적격 _수원율전 실행내역 검토안_수원율전 실행내역" xfId="15930"/>
    <cellStyle name="_인원계획표 _적격 _수원율전 실행내역 검토안_수원율전 실행내역 2" xfId="15931"/>
    <cellStyle name="_인원계획표 _적격 _수원율전 실행내역 검토안_수원율전 실행내역 검토안" xfId="15932"/>
    <cellStyle name="_인원계획표 _적격 _수원율전 실행내역 검토안_수원율전 실행내역 검토안 2" xfId="15933"/>
    <cellStyle name="_인원계획표 _적격 _수원율전 실행내역 검토안_수원율전 실행내역 검토안_사본 - ☆태평동  도급내역" xfId="15934"/>
    <cellStyle name="_인원계획표 _적격 _수원율전 실행내역 검토안_수원율전 실행내역 검토안_사본 - ☆태평동  도급내역 2" xfId="15935"/>
    <cellStyle name="_인원계획표 _적격 _수원율전 실행내역 검토안_수원율전 실행내역 검토안_성남태평동설비공사" xfId="15936"/>
    <cellStyle name="_인원계획표 _적격 _수원율전 실행내역 검토안_수원율전 실행내역 검토안_성남태평동설비공사 2" xfId="15937"/>
    <cellStyle name="_인원계획표 _적격 _수원율전 실행내역 검토안_수원율전 실행내역 검토안_수정구 태평동 주상복합 실행내역 검토안" xfId="15938"/>
    <cellStyle name="_인원계획표 _적격 _수원율전 실행내역 검토안_수원율전 실행내역 검토안_수정구 태평동 주상복합 실행내역 검토안 2" xfId="15939"/>
    <cellStyle name="_인원계획표 _적격 _수원율전 실행내역 검토안_수원율전 실행내역 검토안_태평동 실행내역서" xfId="15940"/>
    <cellStyle name="_인원계획표 _적격 _수원율전 실행내역 검토안_수원율전 실행내역 검토안_태평동 실행내역서 2" xfId="15941"/>
    <cellStyle name="_인원계획표 _적격 _수원율전 실행내역 검토안_수원율전 실행내역 검토안_태평동도급내역(Rev.2)-12.26" xfId="15942"/>
    <cellStyle name="_인원계획표 _적격 _수원율전 실행내역 검토안_수원율전 실행내역 검토안_태평동도급내역(Rev.2)-12.26 2" xfId="15943"/>
    <cellStyle name="_인원계획표 _적격 _수원율전 실행내역 검토안_수정구 태평동 주상복합 실행내역 검토안" xfId="15944"/>
    <cellStyle name="_인원계획표 _적격 _수원율전 실행내역 검토안_수정구 태평동 주상복합 실행내역 검토안 2" xfId="15945"/>
    <cellStyle name="_인원계획표 _적격 _수원율전 실행내역 검토안_태평동 실행내역서" xfId="15946"/>
    <cellStyle name="_인원계획표 _적격 _수원율전 실행내역 검토안_태평동 실행내역서 2" xfId="15947"/>
    <cellStyle name="_인원계획표 _적격 _수원율전 실행내역 검토안_태평동도급내역(Rev.2)-12.26" xfId="15948"/>
    <cellStyle name="_인원계획표 _적격 _수원율전 실행내역 검토안_태평동도급내역(Rev.2)-12.26 2" xfId="15949"/>
    <cellStyle name="_인원계획표 _적격 _수원율전조합" xfId="15950"/>
    <cellStyle name="_인원계획표 _적격 _수원율전조합 2" xfId="15951"/>
    <cellStyle name="_인원계획표 _적격 _수원율전조합_사본 - ☆태평동  도급내역" xfId="15952"/>
    <cellStyle name="_인원계획표 _적격 _수원율전조합_사본 - ☆태평동  도급내역 2" xfId="15953"/>
    <cellStyle name="_인원계획표 _적격 _수원율전조합_성남태평동설비공사" xfId="15954"/>
    <cellStyle name="_인원계획표 _적격 _수원율전조합_성남태평동설비공사 2" xfId="15955"/>
    <cellStyle name="_인원계획표 _적격 _수원율전조합_수원율전 실행내역" xfId="15956"/>
    <cellStyle name="_인원계획표 _적격 _수원율전조합_수원율전 실행내역 2" xfId="15957"/>
    <cellStyle name="_인원계획표 _적격 _수원율전조합_수원율전 실행내역 검토안" xfId="15958"/>
    <cellStyle name="_인원계획표 _적격 _수원율전조합_수원율전 실행내역 검토안 2" xfId="15959"/>
    <cellStyle name="_인원계획표 _적격 _수원율전조합_수원율전 실행내역 검토안_사본 - ☆태평동  도급내역" xfId="15960"/>
    <cellStyle name="_인원계획표 _적격 _수원율전조합_수원율전 실행내역 검토안_사본 - ☆태평동  도급내역 2" xfId="15961"/>
    <cellStyle name="_인원계획표 _적격 _수원율전조합_수원율전 실행내역 검토안_성남태평동설비공사" xfId="15962"/>
    <cellStyle name="_인원계획표 _적격 _수원율전조합_수원율전 실행내역 검토안_성남태평동설비공사 2" xfId="15963"/>
    <cellStyle name="_인원계획표 _적격 _수원율전조합_수원율전 실행내역 검토안_수정구 태평동 주상복합 실행내역 검토안" xfId="15964"/>
    <cellStyle name="_인원계획표 _적격 _수원율전조합_수원율전 실행내역 검토안_수정구 태평동 주상복합 실행내역 검토안 2" xfId="15965"/>
    <cellStyle name="_인원계획표 _적격 _수원율전조합_수원율전 실행내역 검토안_태평동 실행내역서" xfId="15966"/>
    <cellStyle name="_인원계획표 _적격 _수원율전조합_수원율전 실행내역 검토안_태평동 실행내역서 2" xfId="15967"/>
    <cellStyle name="_인원계획표 _적격 _수원율전조합_수원율전 실행내역 검토안_태평동도급내역(Rev.2)-12.26" xfId="15968"/>
    <cellStyle name="_인원계획표 _적격 _수원율전조합_수원율전 실행내역 검토안_태평동도급내역(Rev.2)-12.26 2" xfId="15969"/>
    <cellStyle name="_인원계획표 _적격 _수원율전조합_수정구 태평동 주상복합 실행내역 검토안" xfId="15970"/>
    <cellStyle name="_인원계획표 _적격 _수원율전조합_수정구 태평동 주상복합 실행내역 검토안 2" xfId="15971"/>
    <cellStyle name="_인원계획표 _적격 _수원율전조합_태평동 실행내역서" xfId="15972"/>
    <cellStyle name="_인원계획표 _적격 _수원율전조합_태평동 실행내역서 2" xfId="15973"/>
    <cellStyle name="_인원계획표 _적격 _수원율전조합_태평동도급내역(Rev.2)-12.26" xfId="15974"/>
    <cellStyle name="_인원계획표 _적격 _수원율전조합_태평동도급내역(Rev.2)-12.26 2" xfId="15975"/>
    <cellStyle name="_인원계획표 _적격 _수정구 태평동 주상복합 실행내역 검토안" xfId="15976"/>
    <cellStyle name="_인원계획표 _적격 _수정구 태평동 주상복합 실행내역 검토안 2" xfId="15977"/>
    <cellStyle name="_인원계획표 _적격 _월계동집행(R0)" xfId="15978"/>
    <cellStyle name="_인원계획표 _적격 _월계동집행(R0) 2" xfId="15979"/>
    <cellStyle name="_인원계획표 _적격 _월계동집행(R0)_Book2" xfId="15980"/>
    <cellStyle name="_인원계획표 _적격 _월계동집행(R0)_Book2 2" xfId="15981"/>
    <cellStyle name="_인원계획표 _적격 _월계동집행(R0)_Book4" xfId="15982"/>
    <cellStyle name="_인원계획표 _적격 _월계동집행(R0)_Book4 2" xfId="15983"/>
    <cellStyle name="_인원계획표 _적격 _월곳집행(본사)" xfId="15984"/>
    <cellStyle name="_인원계획표 _적격 _월곳집행(본사) 2" xfId="15985"/>
    <cellStyle name="_인원계획표 _적격 _월곳집행(본사)_공내역서(소방)" xfId="15986"/>
    <cellStyle name="_인원계획표 _적격 _월곳집행(본사)_공내역서(소방) 2" xfId="15987"/>
    <cellStyle name="_인원계획표 _적격 _월곳집행(본사)_공내역서(소방)_내역서(건설사)" xfId="15988"/>
    <cellStyle name="_인원계획표 _적격 _월곳집행(본사)_공내역서(소방)_내역서(건설사) 2" xfId="15989"/>
    <cellStyle name="_인원계획표 _적격 _월곳집행(본사)_공내역서(소방)_내역서(작업)" xfId="15990"/>
    <cellStyle name="_인원계획표 _적격 _월곳집행(본사)_공내역서(소방)_내역서(작업) 2" xfId="15991"/>
    <cellStyle name="_인원계획표 _적격 _월곳집행(본사)_공내역서(소방)_롯데마그넷(오산점)" xfId="15992"/>
    <cellStyle name="_인원계획표 _적격 _월곳집행(본사)_공내역서(소방)_롯데마그넷(오산점) 2" xfId="15993"/>
    <cellStyle name="_인원계획표 _적격 _월곳집행(본사)_공내역서(소방)_롯데마그넷(오산점)_내역서(건설사)" xfId="15994"/>
    <cellStyle name="_인원계획표 _적격 _월곳집행(본사)_공내역서(소방)_롯데마그넷(오산점)_내역서(건설사) 2" xfId="15995"/>
    <cellStyle name="_인원계획표 _적격 _월곳집행(본사)_공내역서(소방)_롯데마그넷(오산점)_내역서(작업)" xfId="15996"/>
    <cellStyle name="_인원계획표 _적격 _월곳집행(본사)_공내역서(소방)_롯데마그넷(오산점)_내역서(작업) 2" xfId="15997"/>
    <cellStyle name="_인원계획표 _적격 _월곳집행(본사)_공내역서(소방)_롯데마그넷(오산점)_통영점공조및위생" xfId="15998"/>
    <cellStyle name="_인원계획표 _적격 _월곳집행(본사)_공내역서(소방)_롯데마그넷(오산점)_통영점공조및위생 2" xfId="15999"/>
    <cellStyle name="_인원계획표 _적격 _월곳집행(본사)_공내역서(소방)_롯데마그넷(오산점)_통영점공조및위생_내역서(건설사)" xfId="16000"/>
    <cellStyle name="_인원계획표 _적격 _월곳집행(본사)_공내역서(소방)_롯데마그넷(오산점)_통영점공조및위생_내역서(건설사) 2" xfId="16001"/>
    <cellStyle name="_인원계획표 _적격 _월곳집행(본사)_공내역서(소방)_롯데마그넷(오산점)_통영점공조및위생_내역서(작업)" xfId="16002"/>
    <cellStyle name="_인원계획표 _적격 _월곳집행(본사)_공내역서(소방)_롯데마그넷(오산점)_통영점공조및위생_내역서(작업) 2" xfId="16003"/>
    <cellStyle name="_인원계획표 _적격 _월곳집행(본사)_공내역서(소방)_마그넷오산점내역(020320)" xfId="16004"/>
    <cellStyle name="_인원계획표 _적격 _월곳집행(본사)_공내역서(소방)_마그넷오산점내역(020320) 2" xfId="16005"/>
    <cellStyle name="_인원계획표 _적격 _월곳집행(본사)_공내역서(소방)_마그넷오산점내역(020320)_내역서(건설사)" xfId="16006"/>
    <cellStyle name="_인원계획표 _적격 _월곳집행(본사)_공내역서(소방)_마그넷오산점내역(020320)_내역서(건설사) 2" xfId="16007"/>
    <cellStyle name="_인원계획표 _적격 _월곳집행(본사)_공내역서(소방)_마그넷오산점내역(020320)_내역서(작업)" xfId="16008"/>
    <cellStyle name="_인원계획표 _적격 _월곳집행(본사)_공내역서(소방)_마그넷오산점내역(020320)_내역서(작업) 2" xfId="16009"/>
    <cellStyle name="_인원계획표 _적격 _월곳집행(본사)_공내역서(소방)_마그넷오산점내역(020320)_통영점공조및위생" xfId="16010"/>
    <cellStyle name="_인원계획표 _적격 _월곳집행(본사)_공내역서(소방)_마그넷오산점내역(020320)_통영점공조및위생 2" xfId="16011"/>
    <cellStyle name="_인원계획표 _적격 _월곳집행(본사)_공내역서(소방)_마그넷오산점내역(020320)_통영점공조및위생_내역서(건설사)" xfId="16012"/>
    <cellStyle name="_인원계획표 _적격 _월곳집행(본사)_공내역서(소방)_마그넷오산점내역(020320)_통영점공조및위생_내역서(건설사) 2" xfId="16013"/>
    <cellStyle name="_인원계획표 _적격 _월곳집행(본사)_공내역서(소방)_마그넷오산점내역(020320)_통영점공조및위생_내역서(작업)" xfId="16014"/>
    <cellStyle name="_인원계획표 _적격 _월곳집행(본사)_공내역서(소방)_마그넷오산점내역(020320)_통영점공조및위생_내역서(작업) 2" xfId="16015"/>
    <cellStyle name="_인원계획표 _적격 _월곳집행(본사)_공내역서(소방)_정-의왕가스경보설비공사(기안)" xfId="16016"/>
    <cellStyle name="_인원계획표 _적격 _월곳집행(본사)_공내역서(소방)_정-의왕가스경보설비공사(기안) 2" xfId="16017"/>
    <cellStyle name="_인원계획표 _적격 _월곳집행(본사)_공내역서(소방)_정-의왕가스경보설비공사(기안)_내역서(건설사)" xfId="16018"/>
    <cellStyle name="_인원계획표 _적격 _월곳집행(본사)_공내역서(소방)_정-의왕가스경보설비공사(기안)_내역서(건설사) 2" xfId="16019"/>
    <cellStyle name="_인원계획표 _적격 _월곳집행(본사)_공내역서(소방)_정-의왕가스경보설비공사(기안)_내역서(작업)" xfId="16020"/>
    <cellStyle name="_인원계획표 _적격 _월곳집행(본사)_공내역서(소방)_정-의왕가스경보설비공사(기안)_내역서(작업) 2" xfId="16021"/>
    <cellStyle name="_인원계획표 _적격 _월곳집행(본사)_공내역서(소방)_정-의왕가스경보설비공사(기안)_통영점공조및위생" xfId="16022"/>
    <cellStyle name="_인원계획표 _적격 _월곳집행(본사)_공내역서(소방)_정-의왕가스경보설비공사(기안)_통영점공조및위생 2" xfId="16023"/>
    <cellStyle name="_인원계획표 _적격 _월곳집행(본사)_공내역서(소방)_정-의왕가스경보설비공사(기안)_통영점공조및위생_내역서(건설사)" xfId="16024"/>
    <cellStyle name="_인원계획표 _적격 _월곳집행(본사)_공내역서(소방)_정-의왕가스경보설비공사(기안)_통영점공조및위생_내역서(건설사) 2" xfId="16025"/>
    <cellStyle name="_인원계획표 _적격 _월곳집행(본사)_공내역서(소방)_정-의왕가스경보설비공사(기안)_통영점공조및위생_내역서(작업)" xfId="16026"/>
    <cellStyle name="_인원계획표 _적격 _월곳집행(본사)_공내역서(소방)_정-의왕가스경보설비공사(기안)_통영점공조및위생_내역서(작업) 2" xfId="16027"/>
    <cellStyle name="_인원계획표 _적격 _월곳집행(본사)_공내역서(소방)_통영점공조및위생" xfId="16028"/>
    <cellStyle name="_인원계획표 _적격 _월곳집행(본사)_공내역서(소방)_통영점공조및위생 2" xfId="16029"/>
    <cellStyle name="_인원계획표 _적격 _월곳집행(본사)_공내역서(소방)_통영점공조및위생_내역서(건설사)" xfId="16030"/>
    <cellStyle name="_인원계획표 _적격 _월곳집행(본사)_공내역서(소방)_통영점공조및위생_내역서(건설사) 2" xfId="16031"/>
    <cellStyle name="_인원계획표 _적격 _월곳집행(본사)_공내역서(소방)_통영점공조및위생_내역서(작업)" xfId="16032"/>
    <cellStyle name="_인원계획표 _적격 _월곳집행(본사)_공내역서(소방)_통영점공조및위생_내역서(작업) 2" xfId="16033"/>
    <cellStyle name="_인원계획표 _적격 _월곳집행(본사)_공내역서(소방final)" xfId="16034"/>
    <cellStyle name="_인원계획표 _적격 _월곳집행(본사)_공내역서(소방final) 2" xfId="16035"/>
    <cellStyle name="_인원계획표 _적격 _월곳집행(본사)_공내역서(소방final)_내역서(건설사)" xfId="16036"/>
    <cellStyle name="_인원계획표 _적격 _월곳집행(본사)_공내역서(소방final)_내역서(건설사) 2" xfId="16037"/>
    <cellStyle name="_인원계획표 _적격 _월곳집행(본사)_공내역서(소방final)_내역서(작업)" xfId="16038"/>
    <cellStyle name="_인원계획표 _적격 _월곳집행(본사)_공내역서(소방final)_내역서(작업) 2" xfId="16039"/>
    <cellStyle name="_인원계획표 _적격 _월곳집행(본사)_공내역서(소방final)_롯데마그넷(오산점)" xfId="16040"/>
    <cellStyle name="_인원계획표 _적격 _월곳집행(본사)_공내역서(소방final)_롯데마그넷(오산점) 2" xfId="16041"/>
    <cellStyle name="_인원계획표 _적격 _월곳집행(본사)_공내역서(소방final)_롯데마그넷(오산점)_내역서(건설사)" xfId="16042"/>
    <cellStyle name="_인원계획표 _적격 _월곳집행(본사)_공내역서(소방final)_롯데마그넷(오산점)_내역서(건설사) 2" xfId="16043"/>
    <cellStyle name="_인원계획표 _적격 _월곳집행(본사)_공내역서(소방final)_롯데마그넷(오산점)_내역서(작업)" xfId="16044"/>
    <cellStyle name="_인원계획표 _적격 _월곳집행(본사)_공내역서(소방final)_롯데마그넷(오산점)_내역서(작업) 2" xfId="16045"/>
    <cellStyle name="_인원계획표 _적격 _월곳집행(본사)_공내역서(소방final)_롯데마그넷(오산점)_통영점공조및위생" xfId="16046"/>
    <cellStyle name="_인원계획표 _적격 _월곳집행(본사)_공내역서(소방final)_롯데마그넷(오산점)_통영점공조및위생 2" xfId="16047"/>
    <cellStyle name="_인원계획표 _적격 _월곳집행(본사)_공내역서(소방final)_롯데마그넷(오산점)_통영점공조및위생_내역서(건설사)" xfId="16048"/>
    <cellStyle name="_인원계획표 _적격 _월곳집행(본사)_공내역서(소방final)_롯데마그넷(오산점)_통영점공조및위생_내역서(건설사) 2" xfId="16049"/>
    <cellStyle name="_인원계획표 _적격 _월곳집행(본사)_공내역서(소방final)_롯데마그넷(오산점)_통영점공조및위생_내역서(작업)" xfId="16050"/>
    <cellStyle name="_인원계획표 _적격 _월곳집행(본사)_공내역서(소방final)_롯데마그넷(오산점)_통영점공조및위생_내역서(작업) 2" xfId="16051"/>
    <cellStyle name="_인원계획표 _적격 _월곳집행(본사)_공내역서(소방final)_마그넷오산점내역(020320)" xfId="16052"/>
    <cellStyle name="_인원계획표 _적격 _월곳집행(본사)_공내역서(소방final)_마그넷오산점내역(020320) 2" xfId="16053"/>
    <cellStyle name="_인원계획표 _적격 _월곳집행(본사)_공내역서(소방final)_마그넷오산점내역(020320)_내역서(건설사)" xfId="16054"/>
    <cellStyle name="_인원계획표 _적격 _월곳집행(본사)_공내역서(소방final)_마그넷오산점내역(020320)_내역서(건설사) 2" xfId="16055"/>
    <cellStyle name="_인원계획표 _적격 _월곳집행(본사)_공내역서(소방final)_마그넷오산점내역(020320)_내역서(작업)" xfId="16056"/>
    <cellStyle name="_인원계획표 _적격 _월곳집행(본사)_공내역서(소방final)_마그넷오산점내역(020320)_내역서(작업) 2" xfId="16057"/>
    <cellStyle name="_인원계획표 _적격 _월곳집행(본사)_공내역서(소방final)_마그넷오산점내역(020320)_통영점공조및위생" xfId="16058"/>
    <cellStyle name="_인원계획표 _적격 _월곳집행(본사)_공내역서(소방final)_마그넷오산점내역(020320)_통영점공조및위생 2" xfId="16059"/>
    <cellStyle name="_인원계획표 _적격 _월곳집행(본사)_공내역서(소방final)_마그넷오산점내역(020320)_통영점공조및위생_내역서(건설사)" xfId="16060"/>
    <cellStyle name="_인원계획표 _적격 _월곳집행(본사)_공내역서(소방final)_마그넷오산점내역(020320)_통영점공조및위생_내역서(건설사) 2" xfId="16061"/>
    <cellStyle name="_인원계획표 _적격 _월곳집행(본사)_공내역서(소방final)_마그넷오산점내역(020320)_통영점공조및위생_내역서(작업)" xfId="16062"/>
    <cellStyle name="_인원계획표 _적격 _월곳집행(본사)_공내역서(소방final)_마그넷오산점내역(020320)_통영점공조및위생_내역서(작업) 2" xfId="16063"/>
    <cellStyle name="_인원계획표 _적격 _월곳집행(본사)_공내역서(소방final)_정-의왕가스경보설비공사(기안)" xfId="16064"/>
    <cellStyle name="_인원계획표 _적격 _월곳집행(본사)_공내역서(소방final)_정-의왕가스경보설비공사(기안) 2" xfId="16065"/>
    <cellStyle name="_인원계획표 _적격 _월곳집행(본사)_공내역서(소방final)_정-의왕가스경보설비공사(기안)_내역서(건설사)" xfId="16066"/>
    <cellStyle name="_인원계획표 _적격 _월곳집행(본사)_공내역서(소방final)_정-의왕가스경보설비공사(기안)_내역서(건설사) 2" xfId="16067"/>
    <cellStyle name="_인원계획표 _적격 _월곳집행(본사)_공내역서(소방final)_정-의왕가스경보설비공사(기안)_내역서(작업)" xfId="16068"/>
    <cellStyle name="_인원계획표 _적격 _월곳집행(본사)_공내역서(소방final)_정-의왕가스경보설비공사(기안)_내역서(작업) 2" xfId="16069"/>
    <cellStyle name="_인원계획표 _적격 _월곳집행(본사)_공내역서(소방final)_정-의왕가스경보설비공사(기안)_통영점공조및위생" xfId="16070"/>
    <cellStyle name="_인원계획표 _적격 _월곳집행(본사)_공내역서(소방final)_정-의왕가스경보설비공사(기안)_통영점공조및위생 2" xfId="16071"/>
    <cellStyle name="_인원계획표 _적격 _월곳집행(본사)_공내역서(소방final)_정-의왕가스경보설비공사(기안)_통영점공조및위생_내역서(건설사)" xfId="16072"/>
    <cellStyle name="_인원계획표 _적격 _월곳집행(본사)_공내역서(소방final)_정-의왕가스경보설비공사(기안)_통영점공조및위생_내역서(건설사) 2" xfId="16073"/>
    <cellStyle name="_인원계획표 _적격 _월곳집행(본사)_공내역서(소방final)_정-의왕가스경보설비공사(기안)_통영점공조및위생_내역서(작업)" xfId="16074"/>
    <cellStyle name="_인원계획표 _적격 _월곳집행(본사)_공내역서(소방final)_정-의왕가스경보설비공사(기안)_통영점공조및위생_내역서(작업) 2" xfId="16075"/>
    <cellStyle name="_인원계획표 _적격 _월곳집행(본사)_공내역서(소방final)_통영점공조및위생" xfId="16076"/>
    <cellStyle name="_인원계획표 _적격 _월곳집행(본사)_공내역서(소방final)_통영점공조및위생 2" xfId="16077"/>
    <cellStyle name="_인원계획표 _적격 _월곳집행(본사)_공내역서(소방final)_통영점공조및위생_내역서(건설사)" xfId="16078"/>
    <cellStyle name="_인원계획표 _적격 _월곳집행(본사)_공내역서(소방final)_통영점공조및위생_내역서(건설사) 2" xfId="16079"/>
    <cellStyle name="_인원계획표 _적격 _월곳집행(본사)_공내역서(소방final)_통영점공조및위생_내역서(작업)" xfId="16080"/>
    <cellStyle name="_인원계획표 _적격 _월곳집행(본사)_공내역서(소방final)_통영점공조및위생_내역서(작업) 2" xfId="16081"/>
    <cellStyle name="_인원계획표 _적격 _월곳집행(본사)_내역서(건설사)" xfId="16082"/>
    <cellStyle name="_인원계획표 _적격 _월곳집행(본사)_내역서(건설사) 2" xfId="16083"/>
    <cellStyle name="_인원계획표 _적격 _월곳집행(본사)_내역서(작업)" xfId="16084"/>
    <cellStyle name="_인원계획표 _적격 _월곳집행(본사)_내역서(작업) 2" xfId="16085"/>
    <cellStyle name="_인원계획표 _적격 _월곳집행(본사)_롯데마그넷(오산점)" xfId="16086"/>
    <cellStyle name="_인원계획표 _적격 _월곳집행(본사)_롯데마그넷(오산점) 2" xfId="16087"/>
    <cellStyle name="_인원계획표 _적격 _월곳집행(본사)_롯데마그넷(오산점)_내역서(건설사)" xfId="16088"/>
    <cellStyle name="_인원계획표 _적격 _월곳집행(본사)_롯데마그넷(오산점)_내역서(건설사) 2" xfId="16089"/>
    <cellStyle name="_인원계획표 _적격 _월곳집행(본사)_롯데마그넷(오산점)_내역서(작업)" xfId="16090"/>
    <cellStyle name="_인원계획표 _적격 _월곳집행(본사)_롯데마그넷(오산점)_내역서(작업) 2" xfId="16091"/>
    <cellStyle name="_인원계획표 _적격 _월곳집행(본사)_롯데마그넷(오산점)_통영점공조및위생" xfId="16092"/>
    <cellStyle name="_인원계획표 _적격 _월곳집행(본사)_롯데마그넷(오산점)_통영점공조및위생 2" xfId="16093"/>
    <cellStyle name="_인원계획표 _적격 _월곳집행(본사)_롯데마그넷(오산점)_통영점공조및위생_내역서(건설사)" xfId="16094"/>
    <cellStyle name="_인원계획표 _적격 _월곳집행(본사)_롯데마그넷(오산점)_통영점공조및위생_내역서(건설사) 2" xfId="16095"/>
    <cellStyle name="_인원계획표 _적격 _월곳집행(본사)_롯데마그넷(오산점)_통영점공조및위생_내역서(작업)" xfId="16096"/>
    <cellStyle name="_인원계획표 _적격 _월곳집행(본사)_롯데마그넷(오산점)_통영점공조및위생_내역서(작업) 2" xfId="16097"/>
    <cellStyle name="_인원계획표 _적격 _월곳집행(본사)_마그넷오산점내역(020320)" xfId="16098"/>
    <cellStyle name="_인원계획표 _적격 _월곳집행(본사)_마그넷오산점내역(020320) 2" xfId="16099"/>
    <cellStyle name="_인원계획표 _적격 _월곳집행(본사)_마그넷오산점내역(020320)_내역서(건설사)" xfId="16100"/>
    <cellStyle name="_인원계획표 _적격 _월곳집행(본사)_마그넷오산점내역(020320)_내역서(건설사) 2" xfId="16101"/>
    <cellStyle name="_인원계획표 _적격 _월곳집행(본사)_마그넷오산점내역(020320)_내역서(작업)" xfId="16102"/>
    <cellStyle name="_인원계획표 _적격 _월곳집행(본사)_마그넷오산점내역(020320)_내역서(작업) 2" xfId="16103"/>
    <cellStyle name="_인원계획표 _적격 _월곳집행(본사)_마그넷오산점내역(020320)_통영점공조및위생" xfId="16104"/>
    <cellStyle name="_인원계획표 _적격 _월곳집행(본사)_마그넷오산점내역(020320)_통영점공조및위생 2" xfId="16105"/>
    <cellStyle name="_인원계획표 _적격 _월곳집행(본사)_마그넷오산점내역(020320)_통영점공조및위생_내역서(건설사)" xfId="16106"/>
    <cellStyle name="_인원계획표 _적격 _월곳집행(본사)_마그넷오산점내역(020320)_통영점공조및위생_내역서(건설사) 2" xfId="16107"/>
    <cellStyle name="_인원계획표 _적격 _월곳집행(본사)_마그넷오산점내역(020320)_통영점공조및위생_내역서(작업)" xfId="16108"/>
    <cellStyle name="_인원계획표 _적격 _월곳집행(본사)_마그넷오산점내역(020320)_통영점공조및위생_내역서(작업) 2" xfId="16109"/>
    <cellStyle name="_인원계획표 _적격 _월곳집행(본사)_정-의왕가스경보설비공사(기안)" xfId="16110"/>
    <cellStyle name="_인원계획표 _적격 _월곳집행(본사)_정-의왕가스경보설비공사(기안) 2" xfId="16111"/>
    <cellStyle name="_인원계획표 _적격 _월곳집행(본사)_정-의왕가스경보설비공사(기안)_내역서(건설사)" xfId="16112"/>
    <cellStyle name="_인원계획표 _적격 _월곳집행(본사)_정-의왕가스경보설비공사(기안)_내역서(건설사) 2" xfId="16113"/>
    <cellStyle name="_인원계획표 _적격 _월곳집행(본사)_정-의왕가스경보설비공사(기안)_내역서(작업)" xfId="16114"/>
    <cellStyle name="_인원계획표 _적격 _월곳집행(본사)_정-의왕가스경보설비공사(기안)_내역서(작업) 2" xfId="16115"/>
    <cellStyle name="_인원계획표 _적격 _월곳집행(본사)_정-의왕가스경보설비공사(기안)_통영점공조및위생" xfId="16116"/>
    <cellStyle name="_인원계획표 _적격 _월곳집행(본사)_정-의왕가스경보설비공사(기안)_통영점공조및위생 2" xfId="16117"/>
    <cellStyle name="_인원계획표 _적격 _월곳집행(본사)_정-의왕가스경보설비공사(기안)_통영점공조및위생_내역서(건설사)" xfId="16118"/>
    <cellStyle name="_인원계획표 _적격 _월곳집행(본사)_정-의왕가스경보설비공사(기안)_통영점공조및위생_내역서(건설사) 2" xfId="16119"/>
    <cellStyle name="_인원계획표 _적격 _월곳집행(본사)_정-의왕가스경보설비공사(기안)_통영점공조및위생_내역서(작업)" xfId="16120"/>
    <cellStyle name="_인원계획표 _적격 _월곳집행(본사)_정-의왕가스경보설비공사(기안)_통영점공조및위생_내역서(작업) 2" xfId="16121"/>
    <cellStyle name="_인원계획표 _적격 _월곳집행(본사)_통영점공조및위생" xfId="16122"/>
    <cellStyle name="_인원계획표 _적격 _월곳집행(본사)_통영점공조및위생 2" xfId="16123"/>
    <cellStyle name="_인원계획표 _적격 _월곳집행(본사)_통영점공조및위생_내역서(건설사)" xfId="16124"/>
    <cellStyle name="_인원계획표 _적격 _월곳집행(본사)_통영점공조및위생_내역서(건설사) 2" xfId="16125"/>
    <cellStyle name="_인원계획표 _적격 _월곳집행(본사)_통영점공조및위생_내역서(작업)" xfId="16126"/>
    <cellStyle name="_인원계획표 _적격 _월곳집행(본사)_통영점공조및위생_내역서(작업) 2" xfId="16127"/>
    <cellStyle name="_인원계획표 _적격 _월곶3차집행(R0)" xfId="16128"/>
    <cellStyle name="_인원계획표 _적격 _월곶3차집행(R0) 2" xfId="16129"/>
    <cellStyle name="_인원계획표 _적격 _월곶3차집행(R0)_Book2" xfId="16130"/>
    <cellStyle name="_인원계획표 _적격 _월곶3차집행(R0)_Book2 2" xfId="16131"/>
    <cellStyle name="_인원계획표 _적격 _월곶3차집행(R0)_Book4" xfId="16132"/>
    <cellStyle name="_인원계획표 _적격 _월곶3차집행(R0)_Book4 2" xfId="16133"/>
    <cellStyle name="_인원계획표 _적격 _정-의왕가스경보설비공사(기안)" xfId="16134"/>
    <cellStyle name="_인원계획표 _적격 _정-의왕가스경보설비공사(기안) 2" xfId="16135"/>
    <cellStyle name="_인원계획표 _적격 _정-의왕가스경보설비공사(기안)_내역서(건설사)" xfId="16136"/>
    <cellStyle name="_인원계획표 _적격 _정-의왕가스경보설비공사(기안)_내역서(건설사) 2" xfId="16137"/>
    <cellStyle name="_인원계획표 _적격 _정-의왕가스경보설비공사(기안)_내역서(작업)" xfId="16138"/>
    <cellStyle name="_인원계획표 _적격 _정-의왕가스경보설비공사(기안)_내역서(작업) 2" xfId="16139"/>
    <cellStyle name="_인원계획표 _적격 _정-의왕가스경보설비공사(기안)_통영점공조및위생" xfId="16140"/>
    <cellStyle name="_인원계획표 _적격 _정-의왕가스경보설비공사(기안)_통영점공조및위생 2" xfId="16141"/>
    <cellStyle name="_인원계획표 _적격 _정-의왕가스경보설비공사(기안)_통영점공조및위생_내역서(건설사)" xfId="16142"/>
    <cellStyle name="_인원계획표 _적격 _정-의왕가스경보설비공사(기안)_통영점공조및위생_내역서(건설사) 2" xfId="16143"/>
    <cellStyle name="_인원계획표 _적격 _정-의왕가스경보설비공사(기안)_통영점공조및위생_내역서(작업)" xfId="16144"/>
    <cellStyle name="_인원계획표 _적격 _정-의왕가스경보설비공사(기안)_통영점공조및위생_내역서(작업) 2" xfId="16145"/>
    <cellStyle name="_인원계획표 _적격 _지붕공사" xfId="16146"/>
    <cellStyle name="_인원계획표 _적격 _지붕공사 2" xfId="16147"/>
    <cellStyle name="_인원계획표 _적격 _지붕공사_1.흙막이공사 - 견적대비조서(입찰)" xfId="16148"/>
    <cellStyle name="_인원계획표 _적격 _지붕공사_1.흙막이공사 - 견적대비조서(입찰) 2" xfId="16149"/>
    <cellStyle name="_인원계획표 _적격 _지붕공사_사본 - ☆태평동  도급내역" xfId="16150"/>
    <cellStyle name="_인원계획표 _적격 _지붕공사_사본 - ☆태평동  도급내역 2" xfId="16151"/>
    <cellStyle name="_인원계획표 _적격 _지붕공사_성남태평동설비공사" xfId="16152"/>
    <cellStyle name="_인원계획표 _적격 _지붕공사_성남태평동설비공사 2" xfId="16153"/>
    <cellStyle name="_인원계획표 _적격 _지붕공사_수원율전 실행내역" xfId="16154"/>
    <cellStyle name="_인원계획표 _적격 _지붕공사_수원율전 실행내역 2" xfId="16155"/>
    <cellStyle name="_인원계획표 _적격 _지붕공사_수원율전 실행내역 검토안" xfId="16156"/>
    <cellStyle name="_인원계획표 _적격 _지붕공사_수원율전 실행내역 검토안 2" xfId="16157"/>
    <cellStyle name="_인원계획표 _적격 _지붕공사_수원율전 실행내역 검토안_사본 - ☆태평동  도급내역" xfId="16158"/>
    <cellStyle name="_인원계획표 _적격 _지붕공사_수원율전 실행내역 검토안_사본 - ☆태평동  도급내역 2" xfId="16159"/>
    <cellStyle name="_인원계획표 _적격 _지붕공사_수원율전 실행내역 검토안_성남태평동설비공사" xfId="16160"/>
    <cellStyle name="_인원계획표 _적격 _지붕공사_수원율전 실행내역 검토안_성남태평동설비공사 2" xfId="16161"/>
    <cellStyle name="_인원계획표 _적격 _지붕공사_수원율전 실행내역 검토안_수원율전 실행내역" xfId="16162"/>
    <cellStyle name="_인원계획표 _적격 _지붕공사_수원율전 실행내역 검토안_수원율전 실행내역 2" xfId="16163"/>
    <cellStyle name="_인원계획표 _적격 _지붕공사_수원율전 실행내역 검토안_수원율전 실행내역 검토안" xfId="16164"/>
    <cellStyle name="_인원계획표 _적격 _지붕공사_수원율전 실행내역 검토안_수원율전 실행내역 검토안 2" xfId="16165"/>
    <cellStyle name="_인원계획표 _적격 _지붕공사_수원율전 실행내역 검토안_수원율전 실행내역 검토안_사본 - ☆태평동  도급내역" xfId="16166"/>
    <cellStyle name="_인원계획표 _적격 _지붕공사_수원율전 실행내역 검토안_수원율전 실행내역 검토안_사본 - ☆태평동  도급내역 2" xfId="16167"/>
    <cellStyle name="_인원계획표 _적격 _지붕공사_수원율전 실행내역 검토안_수원율전 실행내역 검토안_성남태평동설비공사" xfId="16168"/>
    <cellStyle name="_인원계획표 _적격 _지붕공사_수원율전 실행내역 검토안_수원율전 실행내역 검토안_성남태평동설비공사 2" xfId="16169"/>
    <cellStyle name="_인원계획표 _적격 _지붕공사_수원율전 실행내역 검토안_수원율전 실행내역 검토안_수정구 태평동 주상복합 실행내역 검토안" xfId="16170"/>
    <cellStyle name="_인원계획표 _적격 _지붕공사_수원율전 실행내역 검토안_수원율전 실행내역 검토안_수정구 태평동 주상복합 실행내역 검토안 2" xfId="16171"/>
    <cellStyle name="_인원계획표 _적격 _지붕공사_수원율전 실행내역 검토안_수원율전 실행내역 검토안_태평동 실행내역서" xfId="16172"/>
    <cellStyle name="_인원계획표 _적격 _지붕공사_수원율전 실행내역 검토안_수원율전 실행내역 검토안_태평동 실행내역서 2" xfId="16173"/>
    <cellStyle name="_인원계획표 _적격 _지붕공사_수원율전 실행내역 검토안_수원율전 실행내역 검토안_태평동도급내역(Rev.2)-12.26" xfId="16174"/>
    <cellStyle name="_인원계획표 _적격 _지붕공사_수원율전 실행내역 검토안_수원율전 실행내역 검토안_태평동도급내역(Rev.2)-12.26 2" xfId="16175"/>
    <cellStyle name="_인원계획표 _적격 _지붕공사_수원율전 실행내역 검토안_수정구 태평동 주상복합 실행내역 검토안" xfId="16176"/>
    <cellStyle name="_인원계획표 _적격 _지붕공사_수원율전 실행내역 검토안_수정구 태평동 주상복합 실행내역 검토안 2" xfId="16177"/>
    <cellStyle name="_인원계획표 _적격 _지붕공사_수원율전 실행내역 검토안_태평동 실행내역서" xfId="16178"/>
    <cellStyle name="_인원계획표 _적격 _지붕공사_수원율전 실행내역 검토안_태평동 실행내역서 2" xfId="16179"/>
    <cellStyle name="_인원계획표 _적격 _지붕공사_수원율전 실행내역 검토안_태평동도급내역(Rev.2)-12.26" xfId="16180"/>
    <cellStyle name="_인원계획표 _적격 _지붕공사_수원율전 실행내역 검토안_태평동도급내역(Rev.2)-12.26 2" xfId="16181"/>
    <cellStyle name="_인원계획표 _적격 _지붕공사_수원율전조합" xfId="16182"/>
    <cellStyle name="_인원계획표 _적격 _지붕공사_수원율전조합 2" xfId="16183"/>
    <cellStyle name="_인원계획표 _적격 _지붕공사_수원율전조합_사본 - ☆태평동  도급내역" xfId="16184"/>
    <cellStyle name="_인원계획표 _적격 _지붕공사_수원율전조합_사본 - ☆태평동  도급내역 2" xfId="16185"/>
    <cellStyle name="_인원계획표 _적격 _지붕공사_수원율전조합_성남태평동설비공사" xfId="16186"/>
    <cellStyle name="_인원계획표 _적격 _지붕공사_수원율전조합_성남태평동설비공사 2" xfId="16187"/>
    <cellStyle name="_인원계획표 _적격 _지붕공사_수원율전조합_수원율전 실행내역" xfId="16188"/>
    <cellStyle name="_인원계획표 _적격 _지붕공사_수원율전조합_수원율전 실행내역 2" xfId="16189"/>
    <cellStyle name="_인원계획표 _적격 _지붕공사_수원율전조합_수원율전 실행내역 검토안" xfId="16190"/>
    <cellStyle name="_인원계획표 _적격 _지붕공사_수원율전조합_수원율전 실행내역 검토안 2" xfId="16191"/>
    <cellStyle name="_인원계획표 _적격 _지붕공사_수원율전조합_수원율전 실행내역 검토안_사본 - ☆태평동  도급내역" xfId="16192"/>
    <cellStyle name="_인원계획표 _적격 _지붕공사_수원율전조합_수원율전 실행내역 검토안_사본 - ☆태평동  도급내역 2" xfId="16193"/>
    <cellStyle name="_인원계획표 _적격 _지붕공사_수원율전조합_수원율전 실행내역 검토안_성남태평동설비공사" xfId="16194"/>
    <cellStyle name="_인원계획표 _적격 _지붕공사_수원율전조합_수원율전 실행내역 검토안_성남태평동설비공사 2" xfId="16195"/>
    <cellStyle name="_인원계획표 _적격 _지붕공사_수원율전조합_수원율전 실행내역 검토안_수정구 태평동 주상복합 실행내역 검토안" xfId="16196"/>
    <cellStyle name="_인원계획표 _적격 _지붕공사_수원율전조합_수원율전 실행내역 검토안_수정구 태평동 주상복합 실행내역 검토안 2" xfId="16197"/>
    <cellStyle name="_인원계획표 _적격 _지붕공사_수원율전조합_수원율전 실행내역 검토안_태평동 실행내역서" xfId="16198"/>
    <cellStyle name="_인원계획표 _적격 _지붕공사_수원율전조합_수원율전 실행내역 검토안_태평동 실행내역서 2" xfId="16199"/>
    <cellStyle name="_인원계획표 _적격 _지붕공사_수원율전조합_수원율전 실행내역 검토안_태평동도급내역(Rev.2)-12.26" xfId="16200"/>
    <cellStyle name="_인원계획표 _적격 _지붕공사_수원율전조합_수원율전 실행내역 검토안_태평동도급내역(Rev.2)-12.26 2" xfId="16201"/>
    <cellStyle name="_인원계획표 _적격 _지붕공사_수원율전조합_수정구 태평동 주상복합 실행내역 검토안" xfId="16202"/>
    <cellStyle name="_인원계획표 _적격 _지붕공사_수원율전조합_수정구 태평동 주상복합 실행내역 검토안 2" xfId="16203"/>
    <cellStyle name="_인원계획표 _적격 _지붕공사_수원율전조합_태평동 실행내역서" xfId="16204"/>
    <cellStyle name="_인원계획표 _적격 _지붕공사_수원율전조합_태평동 실행내역서 2" xfId="16205"/>
    <cellStyle name="_인원계획표 _적격 _지붕공사_수원율전조합_태평동도급내역(Rev.2)-12.26" xfId="16206"/>
    <cellStyle name="_인원계획표 _적격 _지붕공사_수원율전조합_태평동도급내역(Rev.2)-12.26 2" xfId="16207"/>
    <cellStyle name="_인원계획표 _적격 _지붕공사_수정구 태평동 주상복합 실행내역 검토안" xfId="16208"/>
    <cellStyle name="_인원계획표 _적격 _지붕공사_수정구 태평동 주상복합 실행내역 검토안 2" xfId="16209"/>
    <cellStyle name="_인원계획표 _적격 _지붕공사_태평동 실행내역서" xfId="16210"/>
    <cellStyle name="_인원계획표 _적격 _지붕공사_태평동 실행내역서 2" xfId="16211"/>
    <cellStyle name="_인원계획표 _적격 _지붕공사_태평동도급내역(Rev.2)-12.26" xfId="16212"/>
    <cellStyle name="_인원계획표 _적격 _지붕공사_태평동도급내역(Rev.2)-12.26 2" xfId="16213"/>
    <cellStyle name="_인원계획표 _적격 _집행내역서(Rev.0)" xfId="16214"/>
    <cellStyle name="_인원계획표 _적격 _집행내역서(Rev.0) 2" xfId="16215"/>
    <cellStyle name="_인원계획표 _적격 _집행내역서(Rev.0)_Book2" xfId="16216"/>
    <cellStyle name="_인원계획표 _적격 _집행내역서(Rev.0)_Book2 2" xfId="16217"/>
    <cellStyle name="_인원계획표 _적격 _집행내역서(Rev.0)_Book4" xfId="16218"/>
    <cellStyle name="_인원계획표 _적격 _집행내역서(Rev.0)_Book4 2" xfId="16219"/>
    <cellStyle name="_인원계획표 _적격 _태평동 실행내역서" xfId="16220"/>
    <cellStyle name="_인원계획표 _적격 _태평동 실행내역서 2" xfId="16221"/>
    <cellStyle name="_인원계획표 _적격 _태평동도급내역(Rev.2)-12.26" xfId="16222"/>
    <cellStyle name="_인원계획표 _적격 _태평동도급내역(Rev.2)-12.26 2" xfId="16223"/>
    <cellStyle name="_인원계획표 _적격 _통영점공조및위생" xfId="16224"/>
    <cellStyle name="_인원계획표 _적격 _통영점공조및위생 2" xfId="16225"/>
    <cellStyle name="_인원계획표 _적격 _통영점공조및위생_내역서(건설사)" xfId="16226"/>
    <cellStyle name="_인원계획표 _적격 _통영점공조및위생_내역서(건설사) 2" xfId="16227"/>
    <cellStyle name="_인원계획표 _적격 _통영점공조및위생_내역서(작업)" xfId="16228"/>
    <cellStyle name="_인원계획표 _적격 _통영점공조및위생_내역서(작업) 2" xfId="16229"/>
    <cellStyle name="_인원계획표 _적격 _투찰" xfId="16230"/>
    <cellStyle name="_인원계획표 _적격 _투찰 2" xfId="16231"/>
    <cellStyle name="_인원계획표 _적격 _투찰_Book1" xfId="16232"/>
    <cellStyle name="_인원계획표 _적격 _투찰_Book1 2" xfId="16233"/>
    <cellStyle name="_인원계획표 _적격 _투찰_Book1_내역서(최초)" xfId="16234"/>
    <cellStyle name="_인원계획표 _적격 _투찰_Book1_내역서(최초) 2" xfId="16235"/>
    <cellStyle name="_인원계획표 _적격 _투찰_Book1_설계내역서" xfId="16236"/>
    <cellStyle name="_인원계획표 _적격 _투찰_Book1_설계내역서 2" xfId="16237"/>
    <cellStyle name="_인원계획표 _적격 _투찰_Book1_설계내역서(2차)" xfId="16238"/>
    <cellStyle name="_인원계획표 _적격 _투찰_Book1_설계내역서(2차) 2" xfId="16239"/>
    <cellStyle name="_인원계획표 _적격 _투찰_P-(현리-신팔)" xfId="16240"/>
    <cellStyle name="_인원계획표 _적격 _투찰_P-(현리-신팔) 2" xfId="16241"/>
    <cellStyle name="_인원계획표 _적격 _투찰_P-(현리-신팔)_내역서(최초)" xfId="16242"/>
    <cellStyle name="_인원계획표 _적격 _투찰_P-(현리-신팔)_내역서(최초) 2" xfId="16243"/>
    <cellStyle name="_인원계획표 _적격 _투찰_P-(현리-신팔)_설계내역서" xfId="16244"/>
    <cellStyle name="_인원계획표 _적격 _투찰_P-(현리-신팔)_설계내역서 2" xfId="16245"/>
    <cellStyle name="_인원계획표 _적격 _투찰_P-(현리-신팔)_설계내역서(2차)" xfId="16246"/>
    <cellStyle name="_인원계획표 _적격 _투찰_P-(현리-신팔)_설계내역서(2차) 2" xfId="16247"/>
    <cellStyle name="_인원계획표 _적격 _투찰_내역서(최초)" xfId="16248"/>
    <cellStyle name="_인원계획표 _적격 _투찰_내역서(최초) 2" xfId="16249"/>
    <cellStyle name="_인원계획표 _적격 _투찰_부대결과" xfId="16250"/>
    <cellStyle name="_인원계획표 _적격 _투찰_부대결과 2" xfId="16251"/>
    <cellStyle name="_인원계획표 _적격 _투찰_부대결과_Book1" xfId="16252"/>
    <cellStyle name="_인원계획표 _적격 _투찰_부대결과_Book1 2" xfId="16253"/>
    <cellStyle name="_인원계획표 _적격 _투찰_부대결과_Book1_내역서(최초)" xfId="16254"/>
    <cellStyle name="_인원계획표 _적격 _투찰_부대결과_Book1_내역서(최초) 2" xfId="16255"/>
    <cellStyle name="_인원계획표 _적격 _투찰_부대결과_Book1_설계내역서" xfId="16256"/>
    <cellStyle name="_인원계획표 _적격 _투찰_부대결과_Book1_설계내역서 2" xfId="16257"/>
    <cellStyle name="_인원계획표 _적격 _투찰_부대결과_Book1_설계내역서(2차)" xfId="16258"/>
    <cellStyle name="_인원계획표 _적격 _투찰_부대결과_Book1_설계내역서(2차) 2" xfId="16259"/>
    <cellStyle name="_인원계획표 _적격 _투찰_부대결과_P-(현리-신팔)" xfId="16260"/>
    <cellStyle name="_인원계획표 _적격 _투찰_부대결과_P-(현리-신팔) 2" xfId="16261"/>
    <cellStyle name="_인원계획표 _적격 _투찰_부대결과_P-(현리-신팔)_내역서(최초)" xfId="16262"/>
    <cellStyle name="_인원계획표 _적격 _투찰_부대결과_P-(현리-신팔)_내역서(최초) 2" xfId="16263"/>
    <cellStyle name="_인원계획표 _적격 _투찰_부대결과_P-(현리-신팔)_설계내역서" xfId="16264"/>
    <cellStyle name="_인원계획표 _적격 _투찰_부대결과_P-(현리-신팔)_설계내역서 2" xfId="16265"/>
    <cellStyle name="_인원계획표 _적격 _투찰_부대결과_P-(현리-신팔)_설계내역서(2차)" xfId="16266"/>
    <cellStyle name="_인원계획표 _적격 _투찰_부대결과_P-(현리-신팔)_설계내역서(2차) 2" xfId="16267"/>
    <cellStyle name="_인원계획표 _적격 _투찰_부대결과_내역서(최초)" xfId="16268"/>
    <cellStyle name="_인원계획표 _적격 _투찰_부대결과_내역서(최초) 2" xfId="16269"/>
    <cellStyle name="_인원계획표 _적격 _투찰_부대결과_설계내역서" xfId="16270"/>
    <cellStyle name="_인원계획표 _적격 _투찰_부대결과_설계내역서 2" xfId="16271"/>
    <cellStyle name="_인원계획표 _적격 _투찰_부대결과_설계내역서(2차)" xfId="16272"/>
    <cellStyle name="_인원계획표 _적격 _투찰_부대결과_설계내역서(2차) 2" xfId="16273"/>
    <cellStyle name="_인원계획표 _적격 _투찰_부대결과_현리-신팔도로설계" xfId="16274"/>
    <cellStyle name="_인원계획표 _적격 _투찰_부대결과_현리-신팔도로설계 2" xfId="16275"/>
    <cellStyle name="_인원계획표 _적격 _투찰_부대결과_현리-신팔도로설계_내역서(최초)" xfId="16276"/>
    <cellStyle name="_인원계획표 _적격 _투찰_부대결과_현리-신팔도로설계_내역서(최초) 2" xfId="16277"/>
    <cellStyle name="_인원계획표 _적격 _투찰_부대결과_현리-신팔도로설계_설계내역서" xfId="16278"/>
    <cellStyle name="_인원계획표 _적격 _투찰_부대결과_현리-신팔도로설계_설계내역서 2" xfId="16279"/>
    <cellStyle name="_인원계획표 _적격 _투찰_부대결과_현리-신팔도로설계_설계내역서(2차)" xfId="16280"/>
    <cellStyle name="_인원계획표 _적격 _투찰_부대결과_현리-신팔도로설계_설계내역서(2차) 2" xfId="16281"/>
    <cellStyle name="_인원계획표 _적격 _투찰_설계내역서" xfId="16282"/>
    <cellStyle name="_인원계획표 _적격 _투찰_설계내역서 2" xfId="16283"/>
    <cellStyle name="_인원계획표 _적격 _투찰_설계내역서(2차)" xfId="16284"/>
    <cellStyle name="_인원계획표 _적격 _투찰_설계내역서(2차) 2" xfId="16285"/>
    <cellStyle name="_인원계획표 _적격 _투찰_현리-신팔도로설계" xfId="16286"/>
    <cellStyle name="_인원계획표 _적격 _투찰_현리-신팔도로설계 2" xfId="16287"/>
    <cellStyle name="_인원계획표 _적격 _투찰_현리-신팔도로설계_내역서(최초)" xfId="16288"/>
    <cellStyle name="_인원계획표 _적격 _투찰_현리-신팔도로설계_내역서(최초) 2" xfId="16289"/>
    <cellStyle name="_인원계획표 _적격 _투찰_현리-신팔도로설계_설계내역서" xfId="16290"/>
    <cellStyle name="_인원계획표 _적격 _투찰_현리-신팔도로설계_설계내역서 2" xfId="16291"/>
    <cellStyle name="_인원계획표 _적격 _투찰_현리-신팔도로설계_설계내역서(2차)" xfId="16292"/>
    <cellStyle name="_인원계획표 _적격 _투찰_현리-신팔도로설계_설계내역서(2차) 2" xfId="16293"/>
    <cellStyle name="_인원계획표 _적격 _파주시금촌(2)지구C2BL풍림APT(1001)-공" xfId="16294"/>
    <cellStyle name="_인원계획표 _적격 _파주시금촌(2)지구C2BL풍림APT(1001)-공 2" xfId="16295"/>
    <cellStyle name="_인원계획표 _적격 _파주시금촌집행(R2)-상가제외" xfId="16296"/>
    <cellStyle name="_인원계획표 _적격 _파주시금촌집행(R2)-상가제외 2" xfId="16297"/>
    <cellStyle name="_인원계획표 _적격 _현리-신팔도로설계" xfId="16298"/>
    <cellStyle name="_인원계획표 _적격 _현리-신팔도로설계 2" xfId="16299"/>
    <cellStyle name="_인원계획표 _적격 _현리-신팔도로설계_내역서(최초)" xfId="16300"/>
    <cellStyle name="_인원계획표 _적격 _현리-신팔도로설계_내역서(최초) 2" xfId="16301"/>
    <cellStyle name="_인원계획표 _적격 _현리-신팔도로설계_설계내역서" xfId="16302"/>
    <cellStyle name="_인원계획표 _적격 _현리-신팔도로설계_설계내역서 2" xfId="16303"/>
    <cellStyle name="_인원계획표 _적격 _현리-신팔도로설계_설계내역서(2차)" xfId="16304"/>
    <cellStyle name="_인원계획표 _적격 _현리-신팔도로설계_설계내역서(2차) 2" xfId="16305"/>
    <cellStyle name="_인원계획표 _정-의왕가스경보설비공사(기안)" xfId="16306"/>
    <cellStyle name="_인원계획표 _정-의왕가스경보설비공사(기안) 2" xfId="16307"/>
    <cellStyle name="_인원계획표 _정-의왕가스경보설비공사(기안)_내역서(건설사)" xfId="16308"/>
    <cellStyle name="_인원계획표 _정-의왕가스경보설비공사(기안)_내역서(건설사) 2" xfId="16309"/>
    <cellStyle name="_인원계획표 _정-의왕가스경보설비공사(기안)_내역서(작업)" xfId="16310"/>
    <cellStyle name="_인원계획표 _정-의왕가스경보설비공사(기안)_내역서(작업) 2" xfId="16311"/>
    <cellStyle name="_인원계획표 _정-의왕가스경보설비공사(기안)_통영점공조및위생" xfId="16312"/>
    <cellStyle name="_인원계획표 _정-의왕가스경보설비공사(기안)_통영점공조및위생 2" xfId="16313"/>
    <cellStyle name="_인원계획표 _정-의왕가스경보설비공사(기안)_통영점공조및위생_내역서(건설사)" xfId="16314"/>
    <cellStyle name="_인원계획표 _정-의왕가스경보설비공사(기안)_통영점공조및위생_내역서(건설사) 2" xfId="16315"/>
    <cellStyle name="_인원계획표 _정-의왕가스경보설비공사(기안)_통영점공조및위생_내역서(작업)" xfId="16316"/>
    <cellStyle name="_인원계획표 _정-의왕가스경보설비공사(기안)_통영점공조및위생_내역서(작업) 2" xfId="16317"/>
    <cellStyle name="_인원계획표 _지붕공사" xfId="16318"/>
    <cellStyle name="_인원계획표 _지붕공사 2" xfId="16319"/>
    <cellStyle name="_인원계획표 _지붕공사_1.흙막이공사 - 견적대비조서(입찰)" xfId="16320"/>
    <cellStyle name="_인원계획표 _지붕공사_1.흙막이공사 - 견적대비조서(입찰) 2" xfId="16321"/>
    <cellStyle name="_인원계획표 _지붕공사_사본 - ☆태평동  도급내역" xfId="16322"/>
    <cellStyle name="_인원계획표 _지붕공사_사본 - ☆태평동  도급내역 2" xfId="16323"/>
    <cellStyle name="_인원계획표 _지붕공사_성남태평동설비공사" xfId="16324"/>
    <cellStyle name="_인원계획표 _지붕공사_성남태평동설비공사 2" xfId="16325"/>
    <cellStyle name="_인원계획표 _지붕공사_수원율전 실행내역" xfId="16326"/>
    <cellStyle name="_인원계획표 _지붕공사_수원율전 실행내역 2" xfId="16327"/>
    <cellStyle name="_인원계획표 _지붕공사_수원율전 실행내역 검토안" xfId="16328"/>
    <cellStyle name="_인원계획표 _지붕공사_수원율전 실행내역 검토안 2" xfId="16329"/>
    <cellStyle name="_인원계획표 _지붕공사_수원율전 실행내역 검토안_사본 - ☆태평동  도급내역" xfId="16330"/>
    <cellStyle name="_인원계획표 _지붕공사_수원율전 실행내역 검토안_사본 - ☆태평동  도급내역 2" xfId="16331"/>
    <cellStyle name="_인원계획표 _지붕공사_수원율전 실행내역 검토안_성남태평동설비공사" xfId="16332"/>
    <cellStyle name="_인원계획표 _지붕공사_수원율전 실행내역 검토안_성남태평동설비공사 2" xfId="16333"/>
    <cellStyle name="_인원계획표 _지붕공사_수원율전 실행내역 검토안_수원율전 실행내역" xfId="16334"/>
    <cellStyle name="_인원계획표 _지붕공사_수원율전 실행내역 검토안_수원율전 실행내역 2" xfId="16335"/>
    <cellStyle name="_인원계획표 _지붕공사_수원율전 실행내역 검토안_수원율전 실행내역 검토안" xfId="16336"/>
    <cellStyle name="_인원계획표 _지붕공사_수원율전 실행내역 검토안_수원율전 실행내역 검토안 2" xfId="16337"/>
    <cellStyle name="_인원계획표 _지붕공사_수원율전 실행내역 검토안_수원율전 실행내역 검토안_사본 - ☆태평동  도급내역" xfId="16338"/>
    <cellStyle name="_인원계획표 _지붕공사_수원율전 실행내역 검토안_수원율전 실행내역 검토안_사본 - ☆태평동  도급내역 2" xfId="16339"/>
    <cellStyle name="_인원계획표 _지붕공사_수원율전 실행내역 검토안_수원율전 실행내역 검토안_성남태평동설비공사" xfId="16340"/>
    <cellStyle name="_인원계획표 _지붕공사_수원율전 실행내역 검토안_수원율전 실행내역 검토안_성남태평동설비공사 2" xfId="16341"/>
    <cellStyle name="_인원계획표 _지붕공사_수원율전 실행내역 검토안_수원율전 실행내역 검토안_수정구 태평동 주상복합 실행내역 검토안" xfId="16342"/>
    <cellStyle name="_인원계획표 _지붕공사_수원율전 실행내역 검토안_수원율전 실행내역 검토안_수정구 태평동 주상복합 실행내역 검토안 2" xfId="16343"/>
    <cellStyle name="_인원계획표 _지붕공사_수원율전 실행내역 검토안_수원율전 실행내역 검토안_태평동 실행내역서" xfId="16344"/>
    <cellStyle name="_인원계획표 _지붕공사_수원율전 실행내역 검토안_수원율전 실행내역 검토안_태평동 실행내역서 2" xfId="16345"/>
    <cellStyle name="_인원계획표 _지붕공사_수원율전 실행내역 검토안_수원율전 실행내역 검토안_태평동도급내역(Rev.2)-12.26" xfId="16346"/>
    <cellStyle name="_인원계획표 _지붕공사_수원율전 실행내역 검토안_수원율전 실행내역 검토안_태평동도급내역(Rev.2)-12.26 2" xfId="16347"/>
    <cellStyle name="_인원계획표 _지붕공사_수원율전 실행내역 검토안_수정구 태평동 주상복합 실행내역 검토안" xfId="16348"/>
    <cellStyle name="_인원계획표 _지붕공사_수원율전 실행내역 검토안_수정구 태평동 주상복합 실행내역 검토안 2" xfId="16349"/>
    <cellStyle name="_인원계획표 _지붕공사_수원율전 실행내역 검토안_태평동 실행내역서" xfId="16350"/>
    <cellStyle name="_인원계획표 _지붕공사_수원율전 실행내역 검토안_태평동 실행내역서 2" xfId="16351"/>
    <cellStyle name="_인원계획표 _지붕공사_수원율전 실행내역 검토안_태평동도급내역(Rev.2)-12.26" xfId="16352"/>
    <cellStyle name="_인원계획표 _지붕공사_수원율전 실행내역 검토안_태평동도급내역(Rev.2)-12.26 2" xfId="16353"/>
    <cellStyle name="_인원계획표 _지붕공사_수원율전조합" xfId="16354"/>
    <cellStyle name="_인원계획표 _지붕공사_수원율전조합 2" xfId="16355"/>
    <cellStyle name="_인원계획표 _지붕공사_수원율전조합_사본 - ☆태평동  도급내역" xfId="16356"/>
    <cellStyle name="_인원계획표 _지붕공사_수원율전조합_사본 - ☆태평동  도급내역 2" xfId="16357"/>
    <cellStyle name="_인원계획표 _지붕공사_수원율전조합_성남태평동설비공사" xfId="16358"/>
    <cellStyle name="_인원계획표 _지붕공사_수원율전조합_성남태평동설비공사 2" xfId="16359"/>
    <cellStyle name="_인원계획표 _지붕공사_수원율전조합_수원율전 실행내역" xfId="16360"/>
    <cellStyle name="_인원계획표 _지붕공사_수원율전조합_수원율전 실행내역 2" xfId="16361"/>
    <cellStyle name="_인원계획표 _지붕공사_수원율전조합_수원율전 실행내역 검토안" xfId="16362"/>
    <cellStyle name="_인원계획표 _지붕공사_수원율전조합_수원율전 실행내역 검토안 2" xfId="16363"/>
    <cellStyle name="_인원계획표 _지붕공사_수원율전조합_수원율전 실행내역 검토안_사본 - ☆태평동  도급내역" xfId="16364"/>
    <cellStyle name="_인원계획표 _지붕공사_수원율전조합_수원율전 실행내역 검토안_사본 - ☆태평동  도급내역 2" xfId="16365"/>
    <cellStyle name="_인원계획표 _지붕공사_수원율전조합_수원율전 실행내역 검토안_성남태평동설비공사" xfId="16366"/>
    <cellStyle name="_인원계획표 _지붕공사_수원율전조합_수원율전 실행내역 검토안_성남태평동설비공사 2" xfId="16367"/>
    <cellStyle name="_인원계획표 _지붕공사_수원율전조합_수원율전 실행내역 검토안_수정구 태평동 주상복합 실행내역 검토안" xfId="16368"/>
    <cellStyle name="_인원계획표 _지붕공사_수원율전조합_수원율전 실행내역 검토안_수정구 태평동 주상복합 실행내역 검토안 2" xfId="16369"/>
    <cellStyle name="_인원계획표 _지붕공사_수원율전조합_수원율전 실행내역 검토안_태평동 실행내역서" xfId="16370"/>
    <cellStyle name="_인원계획표 _지붕공사_수원율전조합_수원율전 실행내역 검토안_태평동 실행내역서 2" xfId="16371"/>
    <cellStyle name="_인원계획표 _지붕공사_수원율전조합_수원율전 실행내역 검토안_태평동도급내역(Rev.2)-12.26" xfId="16372"/>
    <cellStyle name="_인원계획표 _지붕공사_수원율전조합_수원율전 실행내역 검토안_태평동도급내역(Rev.2)-12.26 2" xfId="16373"/>
    <cellStyle name="_인원계획표 _지붕공사_수원율전조합_수정구 태평동 주상복합 실행내역 검토안" xfId="16374"/>
    <cellStyle name="_인원계획표 _지붕공사_수원율전조합_수정구 태평동 주상복합 실행내역 검토안 2" xfId="16375"/>
    <cellStyle name="_인원계획표 _지붕공사_수원율전조합_태평동 실행내역서" xfId="16376"/>
    <cellStyle name="_인원계획표 _지붕공사_수원율전조합_태평동 실행내역서 2" xfId="16377"/>
    <cellStyle name="_인원계획표 _지붕공사_수원율전조합_태평동도급내역(Rev.2)-12.26" xfId="16378"/>
    <cellStyle name="_인원계획표 _지붕공사_수원율전조합_태평동도급내역(Rev.2)-12.26 2" xfId="16379"/>
    <cellStyle name="_인원계획표 _지붕공사_수정구 태평동 주상복합 실행내역 검토안" xfId="16380"/>
    <cellStyle name="_인원계획표 _지붕공사_수정구 태평동 주상복합 실행내역 검토안 2" xfId="16381"/>
    <cellStyle name="_인원계획표 _지붕공사_태평동 실행내역서" xfId="16382"/>
    <cellStyle name="_인원계획표 _지붕공사_태평동 실행내역서 2" xfId="16383"/>
    <cellStyle name="_인원계획표 _지붕공사_태평동도급내역(Rev.2)-12.26" xfId="16384"/>
    <cellStyle name="_인원계획표 _지붕공사_태평동도급내역(Rev.2)-12.26 2" xfId="16385"/>
    <cellStyle name="_인원계획표 _집행내역서(Rev.0)" xfId="16386"/>
    <cellStyle name="_인원계획표 _집행내역서(Rev.0) 2" xfId="16387"/>
    <cellStyle name="_인원계획표 _집행내역서(Rev.0)_Book2" xfId="16388"/>
    <cellStyle name="_인원계획표 _집행내역서(Rev.0)_Book2 2" xfId="16389"/>
    <cellStyle name="_인원계획표 _집행내역서(Rev.0)_Book4" xfId="16390"/>
    <cellStyle name="_인원계획표 _집행내역서(Rev.0)_Book4 2" xfId="16391"/>
    <cellStyle name="_인원계획표 _추가일위대가표 총괄" xfId="16392"/>
    <cellStyle name="_인원계획표 _추가일위대가표 총괄 2" xfId="16393"/>
    <cellStyle name="_인원계획표 _태평동 실행내역서" xfId="16394"/>
    <cellStyle name="_인원계획표 _태평동 실행내역서 2" xfId="16395"/>
    <cellStyle name="_인원계획표 _태평동도급내역(Rev.2)-12.26" xfId="16396"/>
    <cellStyle name="_인원계획표 _태평동도급내역(Rev.2)-12.26 2" xfId="16397"/>
    <cellStyle name="_인원계획표 _통영점공조및위생" xfId="16398"/>
    <cellStyle name="_인원계획표 _통영점공조및위생 2" xfId="16399"/>
    <cellStyle name="_인원계획표 _통영점공조및위생_내역서(건설사)" xfId="16400"/>
    <cellStyle name="_인원계획표 _통영점공조및위생_내역서(건설사) 2" xfId="16401"/>
    <cellStyle name="_인원계획표 _통영점공조및위생_내역서(작업)" xfId="16402"/>
    <cellStyle name="_인원계획표 _통영점공조및위생_내역서(작업) 2" xfId="16403"/>
    <cellStyle name="_인원계획표 _투찰" xfId="16404"/>
    <cellStyle name="_인원계획표 _투찰 2" xfId="16405"/>
    <cellStyle name="_인원계획표 _투찰_Book1" xfId="16406"/>
    <cellStyle name="_인원계획표 _투찰_Book1 2" xfId="16407"/>
    <cellStyle name="_인원계획표 _투찰_Book1_내역서(최초)" xfId="16408"/>
    <cellStyle name="_인원계획표 _투찰_Book1_내역서(최초) 2" xfId="16409"/>
    <cellStyle name="_인원계획표 _투찰_Book1_설계내역서" xfId="16410"/>
    <cellStyle name="_인원계획표 _투찰_Book1_설계내역서 2" xfId="16411"/>
    <cellStyle name="_인원계획표 _투찰_Book1_설계내역서(2차)" xfId="16412"/>
    <cellStyle name="_인원계획표 _투찰_Book1_설계내역서(2차) 2" xfId="16413"/>
    <cellStyle name="_인원계획표 _투찰_P-(현리-신팔)" xfId="16414"/>
    <cellStyle name="_인원계획표 _투찰_P-(현리-신팔) 2" xfId="16415"/>
    <cellStyle name="_인원계획표 _투찰_P-(현리-신팔)_내역서(최초)" xfId="16416"/>
    <cellStyle name="_인원계획표 _투찰_P-(현리-신팔)_내역서(최초) 2" xfId="16417"/>
    <cellStyle name="_인원계획표 _투찰_P-(현리-신팔)_설계내역서" xfId="16418"/>
    <cellStyle name="_인원계획표 _투찰_P-(현리-신팔)_설계내역서 2" xfId="16419"/>
    <cellStyle name="_인원계획표 _투찰_P-(현리-신팔)_설계내역서(2차)" xfId="16420"/>
    <cellStyle name="_인원계획표 _투찰_P-(현리-신팔)_설계내역서(2차) 2" xfId="16421"/>
    <cellStyle name="_인원계획표 _투찰_내역서(최초)" xfId="16422"/>
    <cellStyle name="_인원계획표 _투찰_내역서(최초) 2" xfId="16423"/>
    <cellStyle name="_인원계획표 _투찰_부대결과" xfId="16424"/>
    <cellStyle name="_인원계획표 _투찰_부대결과 2" xfId="16425"/>
    <cellStyle name="_인원계획표 _투찰_부대결과_Book1" xfId="16426"/>
    <cellStyle name="_인원계획표 _투찰_부대결과_Book1 2" xfId="16427"/>
    <cellStyle name="_인원계획표 _투찰_부대결과_Book1_내역서(최초)" xfId="16428"/>
    <cellStyle name="_인원계획표 _투찰_부대결과_Book1_내역서(최초) 2" xfId="16429"/>
    <cellStyle name="_인원계획표 _투찰_부대결과_Book1_설계내역서" xfId="16430"/>
    <cellStyle name="_인원계획표 _투찰_부대결과_Book1_설계내역서 2" xfId="16431"/>
    <cellStyle name="_인원계획표 _투찰_부대결과_Book1_설계내역서(2차)" xfId="16432"/>
    <cellStyle name="_인원계획표 _투찰_부대결과_Book1_설계내역서(2차) 2" xfId="16433"/>
    <cellStyle name="_인원계획표 _투찰_부대결과_P-(현리-신팔)" xfId="16434"/>
    <cellStyle name="_인원계획표 _투찰_부대결과_P-(현리-신팔) 2" xfId="16435"/>
    <cellStyle name="_인원계획표 _투찰_부대결과_P-(현리-신팔)_내역서(최초)" xfId="16436"/>
    <cellStyle name="_인원계획표 _투찰_부대결과_P-(현리-신팔)_내역서(최초) 2" xfId="16437"/>
    <cellStyle name="_인원계획표 _투찰_부대결과_P-(현리-신팔)_설계내역서" xfId="16438"/>
    <cellStyle name="_인원계획표 _투찰_부대결과_P-(현리-신팔)_설계내역서 2" xfId="16439"/>
    <cellStyle name="_인원계획표 _투찰_부대결과_P-(현리-신팔)_설계내역서(2차)" xfId="16440"/>
    <cellStyle name="_인원계획표 _투찰_부대결과_P-(현리-신팔)_설계내역서(2차) 2" xfId="16441"/>
    <cellStyle name="_인원계획표 _투찰_부대결과_내역서(최초)" xfId="16442"/>
    <cellStyle name="_인원계획표 _투찰_부대결과_내역서(최초) 2" xfId="16443"/>
    <cellStyle name="_인원계획표 _투찰_부대결과_설계내역서" xfId="16444"/>
    <cellStyle name="_인원계획표 _투찰_부대결과_설계내역서 2" xfId="16445"/>
    <cellStyle name="_인원계획표 _투찰_부대결과_설계내역서(2차)" xfId="16446"/>
    <cellStyle name="_인원계획표 _투찰_부대결과_설계내역서(2차) 2" xfId="16447"/>
    <cellStyle name="_인원계획표 _투찰_부대결과_현리-신팔도로설계" xfId="16448"/>
    <cellStyle name="_인원계획표 _투찰_부대결과_현리-신팔도로설계 2" xfId="16449"/>
    <cellStyle name="_인원계획표 _투찰_부대결과_현리-신팔도로설계_내역서(최초)" xfId="16450"/>
    <cellStyle name="_인원계획표 _투찰_부대결과_현리-신팔도로설계_내역서(최초) 2" xfId="16451"/>
    <cellStyle name="_인원계획표 _투찰_부대결과_현리-신팔도로설계_설계내역서" xfId="16452"/>
    <cellStyle name="_인원계획표 _투찰_부대결과_현리-신팔도로설계_설계내역서 2" xfId="16453"/>
    <cellStyle name="_인원계획표 _투찰_부대결과_현리-신팔도로설계_설계내역서(2차)" xfId="16454"/>
    <cellStyle name="_인원계획표 _투찰_부대결과_현리-신팔도로설계_설계내역서(2차) 2" xfId="16455"/>
    <cellStyle name="_인원계획표 _투찰_설계내역서" xfId="16456"/>
    <cellStyle name="_인원계획표 _투찰_설계내역서 2" xfId="16457"/>
    <cellStyle name="_인원계획표 _투찰_설계내역서(2차)" xfId="16458"/>
    <cellStyle name="_인원계획표 _투찰_설계내역서(2차) 2" xfId="16459"/>
    <cellStyle name="_인원계획표 _투찰_현리-신팔도로설계" xfId="16460"/>
    <cellStyle name="_인원계획표 _투찰_현리-신팔도로설계 2" xfId="16461"/>
    <cellStyle name="_인원계획표 _투찰_현리-신팔도로설계_내역서(최초)" xfId="16462"/>
    <cellStyle name="_인원계획표 _투찰_현리-신팔도로설계_내역서(최초) 2" xfId="16463"/>
    <cellStyle name="_인원계획표 _투찰_현리-신팔도로설계_설계내역서" xfId="16464"/>
    <cellStyle name="_인원계획표 _투찰_현리-신팔도로설계_설계내역서 2" xfId="16465"/>
    <cellStyle name="_인원계획표 _투찰_현리-신팔도로설계_설계내역서(2차)" xfId="16466"/>
    <cellStyle name="_인원계획표 _투찰_현리-신팔도로설계_설계내역서(2차) 2" xfId="16467"/>
    <cellStyle name="_인원계획표 _파주시금촌(2)지구C2BL풍림APT(1001)-공" xfId="16468"/>
    <cellStyle name="_인원계획표 _파주시금촌(2)지구C2BL풍림APT(1001)-공 2" xfId="16469"/>
    <cellStyle name="_인원계획표 _파주시금촌집행(R2)-상가제외" xfId="16470"/>
    <cellStyle name="_인원계획표 _파주시금촌집행(R2)-상가제외 2" xfId="16471"/>
    <cellStyle name="_인원계획표 _현대건설 대구대천" xfId="16472"/>
    <cellStyle name="_인원계획표 _현대건설 대구대천 2" xfId="16473"/>
    <cellStyle name="_인원계획표 _현리-신팔도로설계" xfId="16474"/>
    <cellStyle name="_인원계획표 _현리-신팔도로설계 2" xfId="16475"/>
    <cellStyle name="_인원계획표 _현리-신팔도로설계_내역서(최초)" xfId="16476"/>
    <cellStyle name="_인원계획표 _현리-신팔도로설계_내역서(최초) 2" xfId="16477"/>
    <cellStyle name="_인원계획표 _현리-신팔도로설계_설계내역서" xfId="16478"/>
    <cellStyle name="_인원계획표 _현리-신팔도로설계_설계내역서 2" xfId="16479"/>
    <cellStyle name="_인원계획표 _현리-신팔도로설계_설계내역서(2차)" xfId="16480"/>
    <cellStyle name="_인원계획표 _현리-신팔도로설계_설계내역서(2차) 2" xfId="16481"/>
    <cellStyle name="_인천계양 까치마을 태화,한진아파트 공사내역서(제출용1)" xfId="16482"/>
    <cellStyle name="_인천계양 까치마을 태화,한진아파트 공사내역서(제출용1) 2" xfId="16483"/>
    <cellStyle name="_인천계양 까치마을 태화,한진아파트 공사내역서(제출용1)_계양구 도두리마을 동남 아파트 하자보수공사비산출서(자오)" xfId="16484"/>
    <cellStyle name="_인천계양 까치마을 태화,한진아파트 공사내역서(제출용1)_계양구 도두리마을 동남 아파트 하자보수공사비산출서(자오) 2" xfId="16485"/>
    <cellStyle name="_인천계양 까치마을 태화,한진아파트 공사내역서(제출용1)_구로동구일우성아파트 하자보수공사비산출서(1)" xfId="16486"/>
    <cellStyle name="_인천계양 까치마을 태화,한진아파트 공사내역서(제출용1)_구로동구일우성아파트 하자보수공사비산출서(1) 2" xfId="16487"/>
    <cellStyle name="_인천계양 까치마을 태화,한진아파트 공사내역서(제출용1)_인천계양 까치마을 태화,한진아파트 공사내역서9.12(제출용)" xfId="16488"/>
    <cellStyle name="_인천계양 까치마을 태화,한진아파트 공사내역서(제출용1)_인천계양 까치마을 태화,한진아파트 공사내역서9.12(제출용) 2" xfId="16489"/>
    <cellStyle name="_인천계양 까치마을 태화,한진아파트 공사내역서(제출용1)_인천계양 까치마을 태화,한진아파트 공사내역서9.12(제출용)_인천계양 까치마을 태화,한진아파트 공사내역서9.12(제출용)" xfId="16490"/>
    <cellStyle name="_인천계양 까치마을 태화,한진아파트 공사내역서(제출용1)_인천계양 까치마을 태화,한진아파트 공사내역서9.12(제출용)_인천계양 까치마을 태화,한진아파트 공사내역서9.12(제출용) 2" xfId="16491"/>
    <cellStyle name="_인천계양 까치마을 태화,한진아파트 공사내역서(제출용1)_인천계양 까치마을 태화,한진아파트 공사내역서9.12(제출용)_인천계양 까치마을 태화,한진아파트 공사내역서9.12(제출용)_계양구 도두리마을 동남 아파트 하자보수공사비산출서(자오)" xfId="16492"/>
    <cellStyle name="_인천계양 까치마을 태화,한진아파트 공사내역서(제출용1)_인천계양 까치마을 태화,한진아파트 공사내역서9.12(제출용)_인천계양 까치마을 태화,한진아파트 공사내역서9.12(제출용)_계양구 도두리마을 동남 아파트 하자보수공사비산출서(자오) 2" xfId="16493"/>
    <cellStyle name="_인천계양 까치마을 태화,한진아파트 공사내역서(제출용1)_인천계양 까치마을 태화,한진아파트 공사내역서9.12(제출용)_인천계양 까치마을 태화,한진아파트 공사내역서9.12(제출용)_구로동구일우성아파트 하자보수공사비산출서(1)" xfId="16494"/>
    <cellStyle name="_인천계양 까치마을 태화,한진아파트 공사내역서(제출용1)_인천계양 까치마을 태화,한진아파트 공사내역서9.12(제출용)_인천계양 까치마을 태화,한진아파트 공사내역서9.12(제출용)_구로동구일우성아파트 하자보수공사비산출서(1) 2" xfId="16495"/>
    <cellStyle name="_인천계양 까치마을 태화,한진아파트 공사내역서9.12(제출용)" xfId="16496"/>
    <cellStyle name="_인천계양 까치마을 태화,한진아파트 공사내역서9.12(제출용) 2" xfId="16497"/>
    <cellStyle name="_인천계양 까치마을 태화,한진아파트 공사내역서9.12(제출용)_계양구 도두리마을 동남 아파트 하자보수공사비산출서(자오)" xfId="16498"/>
    <cellStyle name="_인천계양 까치마을 태화,한진아파트 공사내역서9.12(제출용)_계양구 도두리마을 동남 아파트 하자보수공사비산출서(자오) 2" xfId="16499"/>
    <cellStyle name="_인천계양 까치마을 태화,한진아파트 공사내역서9.12(제출용)_구로동구일우성아파트 하자보수공사비산출서(1)" xfId="16500"/>
    <cellStyle name="_인천계양 까치마을 태화,한진아파트 공사내역서9.12(제출용)_구로동구일우성아파트 하자보수공사비산출서(1) 2" xfId="16501"/>
    <cellStyle name="_인천계양 까치마을 태화,한진아파트 공사내역서9.12(제출용)_인천계양 까치마을 태화,한진아파트 공사내역서9.12(제출용)" xfId="16502"/>
    <cellStyle name="_인천계양 까치마을 태화,한진아파트 공사내역서9.12(제출용)_인천계양 까치마을 태화,한진아파트 공사내역서9.12(제출용) 2" xfId="16503"/>
    <cellStyle name="_인천계양 까치마을 태화,한진아파트 공사내역서9.12(제출용)_인천계양 까치마을 태화,한진아파트 공사내역서9.12(제출용)_인천계양 까치마을 태화,한진아파트 공사내역서9.12(제출용)" xfId="16504"/>
    <cellStyle name="_인천계양 까치마을 태화,한진아파트 공사내역서9.12(제출용)_인천계양 까치마을 태화,한진아파트 공사내역서9.12(제출용)_인천계양 까치마을 태화,한진아파트 공사내역서9.12(제출용) 2" xfId="16505"/>
    <cellStyle name="_인천계양 까치마을 태화,한진아파트 공사내역서9.12(제출용)_인천계양 까치마을 태화,한진아파트 공사내역서9.12(제출용)_인천계양 까치마을 태화,한진아파트 공사내역서9.12(제출용)_계양구 도두리마을 동남 아파트 하자보수공사비산출서(자오)" xfId="16506"/>
    <cellStyle name="_인천계양 까치마을 태화,한진아파트 공사내역서9.12(제출용)_인천계양 까치마을 태화,한진아파트 공사내역서9.12(제출용)_인천계양 까치마을 태화,한진아파트 공사내역서9.12(제출용)_계양구 도두리마을 동남 아파트 하자보수공사비산출서(자오) 2" xfId="16507"/>
    <cellStyle name="_인천계양 까치마을 태화,한진아파트 공사내역서9.12(제출용)_인천계양 까치마을 태화,한진아파트 공사내역서9.12(제출용)_인천계양 까치마을 태화,한진아파트 공사내역서9.12(제출용)_구로동구일우성아파트 하자보수공사비산출서(1)" xfId="16508"/>
    <cellStyle name="_인천계양 까치마을 태화,한진아파트 공사내역서9.12(제출용)_인천계양 까치마을 태화,한진아파트 공사내역서9.12(제출용)_인천계양 까치마을 태화,한진아파트 공사내역서9.12(제출용)_구로동구일우성아파트 하자보수공사비산출서(1) 2" xfId="16509"/>
    <cellStyle name="_인천북항관공선부두(수정내역)" xfId="16510"/>
    <cellStyle name="_인천북항관공선부두(수정내역) 2" xfId="16511"/>
    <cellStyle name="_인평중학교 - 내역서(기타만)-2(최종)" xfId="16512"/>
    <cellStyle name="_인평중학교 - 내역서(기타만)-2(최종) 2" xfId="16513"/>
    <cellStyle name="_일반" xfId="16514"/>
    <cellStyle name="_일반 2" xfId="16515"/>
    <cellStyle name="_일반전기1공구" xfId="16516"/>
    <cellStyle name="_일반전기1공구 2" xfId="16517"/>
    <cellStyle name="_일반전기2공구" xfId="16518"/>
    <cellStyle name="_일반전기2공구 2" xfId="16519"/>
    <cellStyle name="_일반전기정산" xfId="16520"/>
    <cellStyle name="_일반전기정산 2" xfId="16521"/>
    <cellStyle name="_일산 아쿠아리룸" xfId="16522"/>
    <cellStyle name="_일산 아쿠아리룸 2" xfId="16523"/>
    <cellStyle name="_일위(김천)" xfId="16524"/>
    <cellStyle name="_일위(김천) 2" xfId="16525"/>
    <cellStyle name="_일위(포천)" xfId="16526"/>
    <cellStyle name="_일위(포천) 2" xfId="16527"/>
    <cellStyle name="_일위대가" xfId="16528"/>
    <cellStyle name="_일위대가 2" xfId="16529"/>
    <cellStyle name="_일위대가(2005년12월)" xfId="16530"/>
    <cellStyle name="_일위대가(2005년12월) 2" xfId="16531"/>
    <cellStyle name="_일위대가(2006년9월)" xfId="16532"/>
    <cellStyle name="_일위대가(2006년9월) 2" xfId="16533"/>
    <cellStyle name="_일위대가(2007년01월)" xfId="16534"/>
    <cellStyle name="_일위대가(2007년01월) 2" xfId="16535"/>
    <cellStyle name="_일위대가_1" xfId="16536"/>
    <cellStyle name="_일위대가_1 2" xfId="16537"/>
    <cellStyle name="_일위대가_2" xfId="16538"/>
    <cellStyle name="_일위대가_2 2" xfId="16539"/>
    <cellStyle name="_임금(진흥콘크리트)" xfId="16540"/>
    <cellStyle name="_임금(진흥콘크리트) 2" xfId="16541"/>
    <cellStyle name="_입찰실행 품의완료(2004년2월10일) " xfId="16542"/>
    <cellStyle name="_입찰표지 " xfId="16543"/>
    <cellStyle name="_입찰표지  2" xfId="16544"/>
    <cellStyle name="_입찰표지  2 2" xfId="16545"/>
    <cellStyle name="_입찰표지  3" xfId="16546"/>
    <cellStyle name="_입찰표지  3 2" xfId="16547"/>
    <cellStyle name="_입찰표지  4" xfId="16548"/>
    <cellStyle name="_입찰표지  4 2" xfId="16549"/>
    <cellStyle name="_입찰표지  5" xfId="16550"/>
    <cellStyle name="_입찰표지  5 2" xfId="16551"/>
    <cellStyle name="_입찰표지  6" xfId="16552"/>
    <cellStyle name="_입찰표지  6 2" xfId="16553"/>
    <cellStyle name="_입찰표지  7" xfId="16554"/>
    <cellStyle name="_입찰표지  7 2" xfId="16555"/>
    <cellStyle name="_입찰표지  8" xfId="16556"/>
    <cellStyle name="_입찰표지 _1.방수공사" xfId="16557"/>
    <cellStyle name="_입찰표지 _1.방수공사 2" xfId="16558"/>
    <cellStyle name="_입찰표지 _1.방수공사_1.흙막이공사 - 견적대비조서(입찰)" xfId="16559"/>
    <cellStyle name="_입찰표지 _1.방수공사_1.흙막이공사 - 견적대비조서(입찰) 2" xfId="16560"/>
    <cellStyle name="_입찰표지 _1.흙막이공사 - 견적대비조서(입찰)" xfId="16561"/>
    <cellStyle name="_입찰표지 _1.흙막이공사 - 견적대비조서(입찰) 2" xfId="16562"/>
    <cellStyle name="_입찰표지 _2000TMP-POW2" xfId="16563"/>
    <cellStyle name="_입찰표지 _2000TMP-POW2 2" xfId="16564"/>
    <cellStyle name="_입찰표지 _2000TMP-POW2_서초풍림아이원플러스(0723)(2)" xfId="16565"/>
    <cellStyle name="_입찰표지 _2000TMP-POW2_서초풍림아이원플러스(0723)(2) 2" xfId="16566"/>
    <cellStyle name="_입찰표지 _2000TMP-POW2_파주시금촌(2)지구C2BL풍림APT(1001)-공" xfId="16567"/>
    <cellStyle name="_입찰표지 _2000TMP-POW2_파주시금촌(2)지구C2BL풍림APT(1001)-공 2" xfId="16568"/>
    <cellStyle name="_입찰표지 _2001TMP-POW2" xfId="16569"/>
    <cellStyle name="_입찰표지 _2001TMP-POW2 2" xfId="16570"/>
    <cellStyle name="_입찰표지 _2001TMP-POW2_서초풍림아이원플러스(0723)(2)" xfId="16571"/>
    <cellStyle name="_입찰표지 _2001TMP-POW2_서초풍림아이원플러스(0723)(2) 2" xfId="16572"/>
    <cellStyle name="_입찰표지 _2001TMP-POW2_파주시금촌(2)지구C2BL풍림APT(1001)-공" xfId="16573"/>
    <cellStyle name="_입찰표지 _2001TMP-POW2_파주시금촌(2)지구C2BL풍림APT(1001)-공 2" xfId="16574"/>
    <cellStyle name="_입찰표지 _2003TMP-POW0" xfId="16575"/>
    <cellStyle name="_입찰표지 _2003TMP-POW0 2" xfId="16576"/>
    <cellStyle name="_입찰표지 _2003TMP-POW0_2003TMP-POW1" xfId="16577"/>
    <cellStyle name="_입찰표지 _2003TMP-POW0_2003TMP-POW1 2" xfId="16578"/>
    <cellStyle name="_입찰표지 _2003TMP-POW0_2003TMP-POW1_2003TMP-POW1" xfId="16579"/>
    <cellStyle name="_입찰표지 _2003TMP-POW0_2003TMP-POW1_2003TMP-POW1 2" xfId="16580"/>
    <cellStyle name="_입찰표지 _2003TMP-POW0_2003TMP-POW1_2003TMP-POW1_2003TMP-POW1" xfId="16581"/>
    <cellStyle name="_입찰표지 _2003TMP-POW0_2003TMP-POW1_2003TMP-POW1_2003TMP-POW1 2" xfId="16582"/>
    <cellStyle name="_입찰표지 _2003TMP-POW0_2003TMP-POW1_2003TMP-POW1_2003TMP-POW1_2003TMP-POW1" xfId="16583"/>
    <cellStyle name="_입찰표지 _2003TMP-POW0_2003TMP-POW1_2003TMP-POW1_2003TMP-POW1_2003TMP-POW1 2" xfId="16584"/>
    <cellStyle name="_입찰표지 _2003TMP-POW0_2003TMP-POW1_2003TMP-POW1_2003TMP-POW1_2003TMP-POW1_2004TMP-POW0" xfId="16585"/>
    <cellStyle name="_입찰표지 _2003TMP-POW0_2003TMP-POW1_2003TMP-POW1_2003TMP-POW1_2003TMP-POW1_2004TMP-POW0 2" xfId="16586"/>
    <cellStyle name="_입찰표지 _2003TMP-POW0_2003TMP-POW1_2003TMP-POW1_2003TMP-POW1_2003TMP-POW1_2004TMP-POW0_2004TMP-POW0" xfId="16587"/>
    <cellStyle name="_입찰표지 _2003TMP-POW0_2003TMP-POW1_2003TMP-POW1_2003TMP-POW1_2003TMP-POW1_2004TMP-POW0_2004TMP-POW0 2" xfId="16588"/>
    <cellStyle name="_입찰표지 _2003TMP-POW0_2003TMP-POW1_2003TMP-POW1_2003TMP-POW1_2003TMP-POW1_2004TMP-POW0_2004TMP-POW0_2004TMP-POW0" xfId="16589"/>
    <cellStyle name="_입찰표지 _2003TMP-POW0_2003TMP-POW1_2003TMP-POW1_2003TMP-POW1_2003TMP-POW1_2004TMP-POW0_2004TMP-POW0_2004TMP-POW0 2" xfId="16590"/>
    <cellStyle name="_입찰표지 _2003TMP-POW0_2003TMP-POW1_2003TMP-POW1_2003TMP-POW1_2003TMP-POW1_2004TMP-POW0_2004TMP-POW0_2004TMP-POW0_2004TMP-POW0" xfId="16591"/>
    <cellStyle name="_입찰표지 _2003TMP-POW0_2003TMP-POW1_2003TMP-POW1_2003TMP-POW1_2003TMP-POW1_2004TMP-POW0_2004TMP-POW0_2004TMP-POW0_2004TMP-POW0 2" xfId="16592"/>
    <cellStyle name="_입찰표지 _2003TMP-POW0_2003TMP-POW1_2003TMP-POW1_2003TMP-POW1_2004TMP-POW0" xfId="16593"/>
    <cellStyle name="_입찰표지 _2003TMP-POW0_2003TMP-POW1_2003TMP-POW1_2003TMP-POW1_2004TMP-POW0 2" xfId="16594"/>
    <cellStyle name="_입찰표지 _2003TMP-POW0_2003TMP-POW1_2003TMP-POW1_2003TMP-POW1_2004TMP-POW0_2004TMP-POW0" xfId="16595"/>
    <cellStyle name="_입찰표지 _2003TMP-POW0_2003TMP-POW1_2003TMP-POW1_2003TMP-POW1_2004TMP-POW0_2004TMP-POW0 2" xfId="16596"/>
    <cellStyle name="_입찰표지 _2003TMP-POW0_2003TMP-POW1_2003TMP-POW1_2003TMP-POW1_2004TMP-POW0_2004TMP-POW0_2004TMP-POW0" xfId="16597"/>
    <cellStyle name="_입찰표지 _2003TMP-POW0_2003TMP-POW1_2003TMP-POW1_2003TMP-POW1_2004TMP-POW0_2004TMP-POW0_2004TMP-POW0 2" xfId="16598"/>
    <cellStyle name="_입찰표지 _2003TMP-POW0_2003TMP-POW1_2003TMP-POW1_2004TMP-POW0" xfId="16599"/>
    <cellStyle name="_입찰표지 _2003TMP-POW0_2003TMP-POW1_2003TMP-POW1_2004TMP-POW0 2" xfId="16600"/>
    <cellStyle name="_입찰표지 _2003TMP-POW0_2003TMP-POW1_2003TMP-POW1_2004TMP-POW0_2004TMP-POW0" xfId="16601"/>
    <cellStyle name="_입찰표지 _2003TMP-POW0_2003TMP-POW1_2003TMP-POW1_2004TMP-POW0_2004TMP-POW0 2" xfId="16602"/>
    <cellStyle name="_입찰표지 _2003TMP-POW0_2003TMP-POW1_2003TMP-POW1_2004TMP-POW0_2004TMP-POW0_2004TMP-POW0" xfId="16603"/>
    <cellStyle name="_입찰표지 _2003TMP-POW0_2003TMP-POW1_2003TMP-POW1_2004TMP-POW0_2004TMP-POW0_2004TMP-POW0 2" xfId="16604"/>
    <cellStyle name="_입찰표지 _2003TMP-POW0_2003TMP-POW1_2003TMP-POW1_2004TMP-POW0_2004TMP-POW0_2004TMP-POW0_2004TMP-POW0" xfId="16605"/>
    <cellStyle name="_입찰표지 _2003TMP-POW0_2003TMP-POW1_2003TMP-POW1_2004TMP-POW0_2004TMP-POW0_2004TMP-POW0_2004TMP-POW0 2" xfId="16606"/>
    <cellStyle name="_입찰표지 _2003TMP-POW0_2003TMP-POW1_2003TMP-POW1_Book2" xfId="16607"/>
    <cellStyle name="_입찰표지 _2003TMP-POW0_2003TMP-POW1_2003TMP-POW1_Book2 2" xfId="16608"/>
    <cellStyle name="_입찰표지 _2003TMP-POW0_2003TMP-POW1_2003TMP-POW1_Book4" xfId="16609"/>
    <cellStyle name="_입찰표지 _2003TMP-POW0_2003TMP-POW1_2003TMP-POW1_Book4 2" xfId="16610"/>
    <cellStyle name="_입찰표지 _2003TMP-POW0_2003TMP-POW1_2004TMP-POW0" xfId="16611"/>
    <cellStyle name="_입찰표지 _2003TMP-POW0_2003TMP-POW1_2004TMP-POW0 2" xfId="16612"/>
    <cellStyle name="_입찰표지 _2003TMP-POW0_2003TMP-POW1_2004TMP-POW0_2004TMP-POW0" xfId="16613"/>
    <cellStyle name="_입찰표지 _2003TMP-POW0_2003TMP-POW1_2004TMP-POW0_2004TMP-POW0 2" xfId="16614"/>
    <cellStyle name="_입찰표지 _2003TMP-POW0_2003TMP-POW1_2004TMP-POW0_2004TMP-POW0_2004TMP-POW0" xfId="16615"/>
    <cellStyle name="_입찰표지 _2003TMP-POW0_2003TMP-POW1_2004TMP-POW0_2004TMP-POW0_2004TMP-POW0 2" xfId="16616"/>
    <cellStyle name="_입찰표지 _2003TMP-POW0_2003TMP-POW1_Book2" xfId="16617"/>
    <cellStyle name="_입찰표지 _2003TMP-POW0_2003TMP-POW1_Book2 2" xfId="16618"/>
    <cellStyle name="_입찰표지 _2003TMP-POW0_2003TMP-POW1_Book4" xfId="16619"/>
    <cellStyle name="_입찰표지 _2003TMP-POW0_2003TMP-POW1_Book4 2" xfId="16620"/>
    <cellStyle name="_입찰표지 _2003TMP-POW0_2004TMP-POW0" xfId="16621"/>
    <cellStyle name="_입찰표지 _2003TMP-POW0_2004TMP-POW0 2" xfId="16622"/>
    <cellStyle name="_입찰표지 _2003TMP-POW0_2004TMP-POW0_2004TMP-POW0" xfId="16623"/>
    <cellStyle name="_입찰표지 _2003TMP-POW0_2004TMP-POW0_2004TMP-POW0 2" xfId="16624"/>
    <cellStyle name="_입찰표지 _2003TMP-POW0_2004TMP-POW0_2004TMP-POW0_2004TMP-POW0" xfId="16625"/>
    <cellStyle name="_입찰표지 _2003TMP-POW0_2004TMP-POW0_2004TMP-POW0_2004TMP-POW0 2" xfId="16626"/>
    <cellStyle name="_입찰표지 _2003TMP-POW0_2004TMP-POW0_2004TMP-POW0_2004TMP-POW0_2004TMP-POW0" xfId="16627"/>
    <cellStyle name="_입찰표지 _2003TMP-POW0_2004TMP-POW0_2004TMP-POW0_2004TMP-POW0_2004TMP-POW0 2" xfId="16628"/>
    <cellStyle name="_입찰표지 _2003TMP-POW0_Book2" xfId="16629"/>
    <cellStyle name="_입찰표지 _2003TMP-POW0_Book2 2" xfId="16630"/>
    <cellStyle name="_입찰표지 _2003TMP-POW0_Book4" xfId="16631"/>
    <cellStyle name="_입찰표지 _2003TMP-POW0_Book4 2" xfId="16632"/>
    <cellStyle name="_입찰표지 _2003TMP-POW1" xfId="16633"/>
    <cellStyle name="_입찰표지 _2003TMP-POW1 2" xfId="16634"/>
    <cellStyle name="_입찰표지 _2003TMP-POW1_2003TMP-POW1" xfId="16693"/>
    <cellStyle name="_입찰표지 _2003TMP-POW1_2003TMP-POW1 2" xfId="16694"/>
    <cellStyle name="_입찰표지 _2003TMP-POW1_2003TMP-POW1_2003TMP-POW1" xfId="16695"/>
    <cellStyle name="_입찰표지 _2003TMP-POW1_2003TMP-POW1_2003TMP-POW1 2" xfId="16696"/>
    <cellStyle name="_입찰표지 _2003TMP-POW1_2003TMP-POW1_2003TMP-POW1_2003TMP-POW1" xfId="16697"/>
    <cellStyle name="_입찰표지 _2003TMP-POW1_2003TMP-POW1_2003TMP-POW1_2003TMP-POW1 2" xfId="16698"/>
    <cellStyle name="_입찰표지 _2003TMP-POW1_2003TMP-POW1_2003TMP-POW1_2003TMP-POW1_2003TMP-POW1" xfId="16699"/>
    <cellStyle name="_입찰표지 _2003TMP-POW1_2003TMP-POW1_2003TMP-POW1_2003TMP-POW1_2003TMP-POW1 2" xfId="16700"/>
    <cellStyle name="_입찰표지 _2003TMP-POW1_2003TMP-POW1_2003TMP-POW1_2003TMP-POW1_2003TMP-POW1_2004TMP-POW0" xfId="16701"/>
    <cellStyle name="_입찰표지 _2003TMP-POW1_2003TMP-POW1_2003TMP-POW1_2003TMP-POW1_2003TMP-POW1_2004TMP-POW0 2" xfId="16702"/>
    <cellStyle name="_입찰표지 _2003TMP-POW1_2003TMP-POW1_2003TMP-POW1_2003TMP-POW1_2003TMP-POW1_2004TMP-POW0_2004TMP-POW0" xfId="16703"/>
    <cellStyle name="_입찰표지 _2003TMP-POW1_2003TMP-POW1_2003TMP-POW1_2003TMP-POW1_2003TMP-POW1_2004TMP-POW0_2004TMP-POW0 2" xfId="16704"/>
    <cellStyle name="_입찰표지 _2003TMP-POW1_2003TMP-POW1_2003TMP-POW1_2003TMP-POW1_2003TMP-POW1_2004TMP-POW0_2004TMP-POW0_2004TMP-POW0" xfId="16705"/>
    <cellStyle name="_입찰표지 _2003TMP-POW1_2003TMP-POW1_2003TMP-POW1_2003TMP-POW1_2003TMP-POW1_2004TMP-POW0_2004TMP-POW0_2004TMP-POW0 2" xfId="16706"/>
    <cellStyle name="_입찰표지 _2003TMP-POW1_2003TMP-POW1_2003TMP-POW1_2003TMP-POW1_2003TMP-POW1_2004TMP-POW0_2004TMP-POW0_2004TMP-POW0_2004TMP-POW0" xfId="16707"/>
    <cellStyle name="_입찰표지 _2003TMP-POW1_2003TMP-POW1_2003TMP-POW1_2003TMP-POW1_2003TMP-POW1_2004TMP-POW0_2004TMP-POW0_2004TMP-POW0_2004TMP-POW0 2" xfId="16708"/>
    <cellStyle name="_입찰표지 _2003TMP-POW1_2003TMP-POW1_2003TMP-POW1_2003TMP-POW1_2004TMP-POW0" xfId="16709"/>
    <cellStyle name="_입찰표지 _2003TMP-POW1_2003TMP-POW1_2003TMP-POW1_2003TMP-POW1_2004TMP-POW0 2" xfId="16710"/>
    <cellStyle name="_입찰표지 _2003TMP-POW1_2003TMP-POW1_2003TMP-POW1_2003TMP-POW1_2004TMP-POW0_2004TMP-POW0" xfId="16711"/>
    <cellStyle name="_입찰표지 _2003TMP-POW1_2003TMP-POW1_2003TMP-POW1_2003TMP-POW1_2004TMP-POW0_2004TMP-POW0 2" xfId="16712"/>
    <cellStyle name="_입찰표지 _2003TMP-POW1_2003TMP-POW1_2003TMP-POW1_2003TMP-POW1_2004TMP-POW0_2004TMP-POW0_2004TMP-POW0" xfId="16713"/>
    <cellStyle name="_입찰표지 _2003TMP-POW1_2003TMP-POW1_2003TMP-POW1_2003TMP-POW1_2004TMP-POW0_2004TMP-POW0_2004TMP-POW0 2" xfId="16714"/>
    <cellStyle name="_입찰표지 _2003TMP-POW1_2003TMP-POW1_2003TMP-POW1_2004TMP-POW0" xfId="16715"/>
    <cellStyle name="_입찰표지 _2003TMP-POW1_2003TMP-POW1_2003TMP-POW1_2004TMP-POW0 2" xfId="16716"/>
    <cellStyle name="_입찰표지 _2003TMP-POW1_2003TMP-POW1_2003TMP-POW1_2004TMP-POW0_2004TMP-POW0" xfId="16717"/>
    <cellStyle name="_입찰표지 _2003TMP-POW1_2003TMP-POW1_2003TMP-POW1_2004TMP-POW0_2004TMP-POW0 2" xfId="16718"/>
    <cellStyle name="_입찰표지 _2003TMP-POW1_2003TMP-POW1_2003TMP-POW1_2004TMP-POW0_2004TMP-POW0_2004TMP-POW0" xfId="16719"/>
    <cellStyle name="_입찰표지 _2003TMP-POW1_2003TMP-POW1_2003TMP-POW1_2004TMP-POW0_2004TMP-POW0_2004TMP-POW0 2" xfId="16720"/>
    <cellStyle name="_입찰표지 _2003TMP-POW1_2003TMP-POW1_2003TMP-POW1_2004TMP-POW0_2004TMP-POW0_2004TMP-POW0_2004TMP-POW0" xfId="16721"/>
    <cellStyle name="_입찰표지 _2003TMP-POW1_2003TMP-POW1_2003TMP-POW1_2004TMP-POW0_2004TMP-POW0_2004TMP-POW0_2004TMP-POW0 2" xfId="16722"/>
    <cellStyle name="_입찰표지 _2003TMP-POW1_2003TMP-POW1_2003TMP-POW1_Book2" xfId="16723"/>
    <cellStyle name="_입찰표지 _2003TMP-POW1_2003TMP-POW1_2003TMP-POW1_Book2 2" xfId="16724"/>
    <cellStyle name="_입찰표지 _2003TMP-POW1_2003TMP-POW1_2003TMP-POW1_Book4" xfId="16725"/>
    <cellStyle name="_입찰표지 _2003TMP-POW1_2003TMP-POW1_2003TMP-POW1_Book4 2" xfId="16726"/>
    <cellStyle name="_입찰표지 _2003TMP-POW1_2003TMP-POW1_2004TMP-POW0" xfId="16727"/>
    <cellStyle name="_입찰표지 _2003TMP-POW1_2003TMP-POW1_2004TMP-POW0 2" xfId="16728"/>
    <cellStyle name="_입찰표지 _2003TMP-POW1_2003TMP-POW1_2004TMP-POW0_2004TMP-POW0" xfId="16729"/>
    <cellStyle name="_입찰표지 _2003TMP-POW1_2003TMP-POW1_2004TMP-POW0_2004TMP-POW0 2" xfId="16730"/>
    <cellStyle name="_입찰표지 _2003TMP-POW1_2003TMP-POW1_2004TMP-POW0_2004TMP-POW0_2004TMP-POW0" xfId="16731"/>
    <cellStyle name="_입찰표지 _2003TMP-POW1_2003TMP-POW1_2004TMP-POW0_2004TMP-POW0_2004TMP-POW0 2" xfId="16732"/>
    <cellStyle name="_입찰표지 _2003TMP-POW1_2003TMP-POW1_Book2" xfId="16733"/>
    <cellStyle name="_입찰표지 _2003TMP-POW1_2003TMP-POW1_Book2 2" xfId="16734"/>
    <cellStyle name="_입찰표지 _2003TMP-POW1_2003TMP-POW1_Book4" xfId="16735"/>
    <cellStyle name="_입찰표지 _2003TMP-POW1_2003TMP-POW1_Book4 2" xfId="16736"/>
    <cellStyle name="_입찰표지 _2003TMP-POW1_2004TMP-POW0" xfId="16737"/>
    <cellStyle name="_입찰표지 _2003TMP-POW1_2004TMP-POW0 2" xfId="16738"/>
    <cellStyle name="_입찰표지 _2003TMP-POW1_2004TMP-POW0_2004TMP-POW0" xfId="16739"/>
    <cellStyle name="_입찰표지 _2003TMP-POW1_2004TMP-POW0_2004TMP-POW0 2" xfId="16740"/>
    <cellStyle name="_입찰표지 _2003TMP-POW1_2004TMP-POW0_2004TMP-POW0_2004TMP-POW0" xfId="16741"/>
    <cellStyle name="_입찰표지 _2003TMP-POW1_2004TMP-POW0_2004TMP-POW0_2004TMP-POW0 2" xfId="16742"/>
    <cellStyle name="_입찰표지 _2003TMP-POW1_2004TMP-POW0_2004TMP-POW0_2004TMP-POW0_2004TMP-POW0" xfId="16743"/>
    <cellStyle name="_입찰표지 _2003TMP-POW1_2004TMP-POW0_2004TMP-POW0_2004TMP-POW0_2004TMP-POW0 2" xfId="16744"/>
    <cellStyle name="_입찰표지 _2003TMP-POW1_Book2" xfId="16745"/>
    <cellStyle name="_입찰표지 _2003TMP-POW1_Book2 2" xfId="16746"/>
    <cellStyle name="_입찰표지 _2003TMP-POW1_Book4" xfId="16747"/>
    <cellStyle name="_입찰표지 _2003TMP-POW1_Book4 2" xfId="16748"/>
    <cellStyle name="_입찰표지 _2003TMP-POW1-1" xfId="16635"/>
    <cellStyle name="_입찰표지 _2003TMP-POW1-1 2" xfId="16636"/>
    <cellStyle name="_입찰표지 _2003TMP-POW1-1_2003TMP-POW1" xfId="16637"/>
    <cellStyle name="_입찰표지 _2003TMP-POW1-1_2003TMP-POW1 2" xfId="16638"/>
    <cellStyle name="_입찰표지 _2003TMP-POW1-1_2003TMP-POW1_2003TMP-POW1" xfId="16639"/>
    <cellStyle name="_입찰표지 _2003TMP-POW1-1_2003TMP-POW1_2003TMP-POW1 2" xfId="16640"/>
    <cellStyle name="_입찰표지 _2003TMP-POW1-1_2003TMP-POW1_2003TMP-POW1_2003TMP-POW1" xfId="16641"/>
    <cellStyle name="_입찰표지 _2003TMP-POW1-1_2003TMP-POW1_2003TMP-POW1_2003TMP-POW1 2" xfId="16642"/>
    <cellStyle name="_입찰표지 _2003TMP-POW1-1_2003TMP-POW1_2003TMP-POW1_2003TMP-POW1_2003TMP-POW1" xfId="16643"/>
    <cellStyle name="_입찰표지 _2003TMP-POW1-1_2003TMP-POW1_2003TMP-POW1_2003TMP-POW1_2003TMP-POW1 2" xfId="16644"/>
    <cellStyle name="_입찰표지 _2003TMP-POW1-1_2003TMP-POW1_2003TMP-POW1_2003TMP-POW1_2003TMP-POW1_2004TMP-POW0" xfId="16645"/>
    <cellStyle name="_입찰표지 _2003TMP-POW1-1_2003TMP-POW1_2003TMP-POW1_2003TMP-POW1_2003TMP-POW1_2004TMP-POW0 2" xfId="16646"/>
    <cellStyle name="_입찰표지 _2003TMP-POW1-1_2003TMP-POW1_2003TMP-POW1_2003TMP-POW1_2003TMP-POW1_2004TMP-POW0_2004TMP-POW0" xfId="16647"/>
    <cellStyle name="_입찰표지 _2003TMP-POW1-1_2003TMP-POW1_2003TMP-POW1_2003TMP-POW1_2003TMP-POW1_2004TMP-POW0_2004TMP-POW0 2" xfId="16648"/>
    <cellStyle name="_입찰표지 _2003TMP-POW1-1_2003TMP-POW1_2003TMP-POW1_2003TMP-POW1_2003TMP-POW1_2004TMP-POW0_2004TMP-POW0_2004TMP-POW0" xfId="16649"/>
    <cellStyle name="_입찰표지 _2003TMP-POW1-1_2003TMP-POW1_2003TMP-POW1_2003TMP-POW1_2003TMP-POW1_2004TMP-POW0_2004TMP-POW0_2004TMP-POW0 2" xfId="16650"/>
    <cellStyle name="_입찰표지 _2003TMP-POW1-1_2003TMP-POW1_2003TMP-POW1_2003TMP-POW1_2003TMP-POW1_2004TMP-POW0_2004TMP-POW0_2004TMP-POW0_2004TMP-POW0" xfId="16651"/>
    <cellStyle name="_입찰표지 _2003TMP-POW1-1_2003TMP-POW1_2003TMP-POW1_2003TMP-POW1_2003TMP-POW1_2004TMP-POW0_2004TMP-POW0_2004TMP-POW0_2004TMP-POW0 2" xfId="16652"/>
    <cellStyle name="_입찰표지 _2003TMP-POW1-1_2003TMP-POW1_2003TMP-POW1_2003TMP-POW1_2004TMP-POW0" xfId="16653"/>
    <cellStyle name="_입찰표지 _2003TMP-POW1-1_2003TMP-POW1_2003TMP-POW1_2003TMP-POW1_2004TMP-POW0 2" xfId="16654"/>
    <cellStyle name="_입찰표지 _2003TMP-POW1-1_2003TMP-POW1_2003TMP-POW1_2003TMP-POW1_2004TMP-POW0_2004TMP-POW0" xfId="16655"/>
    <cellStyle name="_입찰표지 _2003TMP-POW1-1_2003TMP-POW1_2003TMP-POW1_2003TMP-POW1_2004TMP-POW0_2004TMP-POW0 2" xfId="16656"/>
    <cellStyle name="_입찰표지 _2003TMP-POW1-1_2003TMP-POW1_2003TMP-POW1_2003TMP-POW1_2004TMP-POW0_2004TMP-POW0_2004TMP-POW0" xfId="16657"/>
    <cellStyle name="_입찰표지 _2003TMP-POW1-1_2003TMP-POW1_2003TMP-POW1_2003TMP-POW1_2004TMP-POW0_2004TMP-POW0_2004TMP-POW0 2" xfId="16658"/>
    <cellStyle name="_입찰표지 _2003TMP-POW1-1_2003TMP-POW1_2003TMP-POW1_2004TMP-POW0" xfId="16659"/>
    <cellStyle name="_입찰표지 _2003TMP-POW1-1_2003TMP-POW1_2003TMP-POW1_2004TMP-POW0 2" xfId="16660"/>
    <cellStyle name="_입찰표지 _2003TMP-POW1-1_2003TMP-POW1_2003TMP-POW1_2004TMP-POW0_2004TMP-POW0" xfId="16661"/>
    <cellStyle name="_입찰표지 _2003TMP-POW1-1_2003TMP-POW1_2003TMP-POW1_2004TMP-POW0_2004TMP-POW0 2" xfId="16662"/>
    <cellStyle name="_입찰표지 _2003TMP-POW1-1_2003TMP-POW1_2003TMP-POW1_2004TMP-POW0_2004TMP-POW0_2004TMP-POW0" xfId="16663"/>
    <cellStyle name="_입찰표지 _2003TMP-POW1-1_2003TMP-POW1_2003TMP-POW1_2004TMP-POW0_2004TMP-POW0_2004TMP-POW0 2" xfId="16664"/>
    <cellStyle name="_입찰표지 _2003TMP-POW1-1_2003TMP-POW1_2003TMP-POW1_2004TMP-POW0_2004TMP-POW0_2004TMP-POW0_2004TMP-POW0" xfId="16665"/>
    <cellStyle name="_입찰표지 _2003TMP-POW1-1_2003TMP-POW1_2003TMP-POW1_2004TMP-POW0_2004TMP-POW0_2004TMP-POW0_2004TMP-POW0 2" xfId="16666"/>
    <cellStyle name="_입찰표지 _2003TMP-POW1-1_2003TMP-POW1_2003TMP-POW1_Book2" xfId="16667"/>
    <cellStyle name="_입찰표지 _2003TMP-POW1-1_2003TMP-POW1_2003TMP-POW1_Book2 2" xfId="16668"/>
    <cellStyle name="_입찰표지 _2003TMP-POW1-1_2003TMP-POW1_2003TMP-POW1_Book4" xfId="16669"/>
    <cellStyle name="_입찰표지 _2003TMP-POW1-1_2003TMP-POW1_2003TMP-POW1_Book4 2" xfId="16670"/>
    <cellStyle name="_입찰표지 _2003TMP-POW1-1_2003TMP-POW1_2004TMP-POW0" xfId="16671"/>
    <cellStyle name="_입찰표지 _2003TMP-POW1-1_2003TMP-POW1_2004TMP-POW0 2" xfId="16672"/>
    <cellStyle name="_입찰표지 _2003TMP-POW1-1_2003TMP-POW1_2004TMP-POW0_2004TMP-POW0" xfId="16673"/>
    <cellStyle name="_입찰표지 _2003TMP-POW1-1_2003TMP-POW1_2004TMP-POW0_2004TMP-POW0 2" xfId="16674"/>
    <cellStyle name="_입찰표지 _2003TMP-POW1-1_2003TMP-POW1_2004TMP-POW0_2004TMP-POW0_2004TMP-POW0" xfId="16675"/>
    <cellStyle name="_입찰표지 _2003TMP-POW1-1_2003TMP-POW1_2004TMP-POW0_2004TMP-POW0_2004TMP-POW0 2" xfId="16676"/>
    <cellStyle name="_입찰표지 _2003TMP-POW1-1_2003TMP-POW1_Book2" xfId="16677"/>
    <cellStyle name="_입찰표지 _2003TMP-POW1-1_2003TMP-POW1_Book2 2" xfId="16678"/>
    <cellStyle name="_입찰표지 _2003TMP-POW1-1_2003TMP-POW1_Book4" xfId="16679"/>
    <cellStyle name="_입찰표지 _2003TMP-POW1-1_2003TMP-POW1_Book4 2" xfId="16680"/>
    <cellStyle name="_입찰표지 _2003TMP-POW1-1_2004TMP-POW0" xfId="16681"/>
    <cellStyle name="_입찰표지 _2003TMP-POW1-1_2004TMP-POW0 2" xfId="16682"/>
    <cellStyle name="_입찰표지 _2003TMP-POW1-1_2004TMP-POW0_2004TMP-POW0" xfId="16683"/>
    <cellStyle name="_입찰표지 _2003TMP-POW1-1_2004TMP-POW0_2004TMP-POW0 2" xfId="16684"/>
    <cellStyle name="_입찰표지 _2003TMP-POW1-1_2004TMP-POW0_2004TMP-POW0_2004TMP-POW0" xfId="16685"/>
    <cellStyle name="_입찰표지 _2003TMP-POW1-1_2004TMP-POW0_2004TMP-POW0_2004TMP-POW0 2" xfId="16686"/>
    <cellStyle name="_입찰표지 _2003TMP-POW1-1_2004TMP-POW0_2004TMP-POW0_2004TMP-POW0_2004TMP-POW0" xfId="16687"/>
    <cellStyle name="_입찰표지 _2003TMP-POW1-1_2004TMP-POW0_2004TMP-POW0_2004TMP-POW0_2004TMP-POW0 2" xfId="16688"/>
    <cellStyle name="_입찰표지 _2003TMP-POW1-1_Book2" xfId="16689"/>
    <cellStyle name="_입찰표지 _2003TMP-POW1-1_Book2 2" xfId="16690"/>
    <cellStyle name="_입찰표지 _2003TMP-POW1-1_Book4" xfId="16691"/>
    <cellStyle name="_입찰표지 _2003TMP-POW1-1_Book4 2" xfId="16692"/>
    <cellStyle name="_입찰표지 _2003TMP-POWER" xfId="16749"/>
    <cellStyle name="_입찰표지 _2003TMP-POWER 2" xfId="16750"/>
    <cellStyle name="_입찰표지 _2003TMP-POWER_2003TMP-POW1" xfId="16751"/>
    <cellStyle name="_입찰표지 _2003TMP-POWER_2003TMP-POW1 2" xfId="16752"/>
    <cellStyle name="_입찰표지 _2003TMP-POWER_2003TMP-POW1_2003TMP-POW1" xfId="16753"/>
    <cellStyle name="_입찰표지 _2003TMP-POWER_2003TMP-POW1_2003TMP-POW1 2" xfId="16754"/>
    <cellStyle name="_입찰표지 _2003TMP-POWER_2003TMP-POW1_2003TMP-POW1_2003TMP-POW1" xfId="16755"/>
    <cellStyle name="_입찰표지 _2003TMP-POWER_2003TMP-POW1_2003TMP-POW1_2003TMP-POW1 2" xfId="16756"/>
    <cellStyle name="_입찰표지 _2003TMP-POWER_2003TMP-POW1_2003TMP-POW1_2003TMP-POW1_2003TMP-POW1" xfId="16757"/>
    <cellStyle name="_입찰표지 _2003TMP-POWER_2003TMP-POW1_2003TMP-POW1_2003TMP-POW1_2003TMP-POW1 2" xfId="16758"/>
    <cellStyle name="_입찰표지 _2003TMP-POWER_2003TMP-POW1_2003TMP-POW1_2003TMP-POW1_2003TMP-POW1_2004TMP-POW0" xfId="16759"/>
    <cellStyle name="_입찰표지 _2003TMP-POWER_2003TMP-POW1_2003TMP-POW1_2003TMP-POW1_2003TMP-POW1_2004TMP-POW0 2" xfId="16760"/>
    <cellStyle name="_입찰표지 _2003TMP-POWER_2003TMP-POW1_2003TMP-POW1_2003TMP-POW1_2003TMP-POW1_2004TMP-POW0_2004TMP-POW0" xfId="16761"/>
    <cellStyle name="_입찰표지 _2003TMP-POWER_2003TMP-POW1_2003TMP-POW1_2003TMP-POW1_2003TMP-POW1_2004TMP-POW0_2004TMP-POW0 2" xfId="16762"/>
    <cellStyle name="_입찰표지 _2003TMP-POWER_2003TMP-POW1_2003TMP-POW1_2003TMP-POW1_2003TMP-POW1_2004TMP-POW0_2004TMP-POW0_2004TMP-POW0" xfId="16763"/>
    <cellStyle name="_입찰표지 _2003TMP-POWER_2003TMP-POW1_2003TMP-POW1_2003TMP-POW1_2003TMP-POW1_2004TMP-POW0_2004TMP-POW0_2004TMP-POW0 2" xfId="16764"/>
    <cellStyle name="_입찰표지 _2003TMP-POWER_2003TMP-POW1_2003TMP-POW1_2003TMP-POW1_2003TMP-POW1_2004TMP-POW0_2004TMP-POW0_2004TMP-POW0_2004TMP-POW0" xfId="16765"/>
    <cellStyle name="_입찰표지 _2003TMP-POWER_2003TMP-POW1_2003TMP-POW1_2003TMP-POW1_2003TMP-POW1_2004TMP-POW0_2004TMP-POW0_2004TMP-POW0_2004TMP-POW0 2" xfId="16766"/>
    <cellStyle name="_입찰표지 _2003TMP-POWER_2003TMP-POW1_2003TMP-POW1_2003TMP-POW1_2004TMP-POW0" xfId="16767"/>
    <cellStyle name="_입찰표지 _2003TMP-POWER_2003TMP-POW1_2003TMP-POW1_2003TMP-POW1_2004TMP-POW0 2" xfId="16768"/>
    <cellStyle name="_입찰표지 _2003TMP-POWER_2003TMP-POW1_2003TMP-POW1_2003TMP-POW1_2004TMP-POW0_2004TMP-POW0" xfId="16769"/>
    <cellStyle name="_입찰표지 _2003TMP-POWER_2003TMP-POW1_2003TMP-POW1_2003TMP-POW1_2004TMP-POW0_2004TMP-POW0 2" xfId="16770"/>
    <cellStyle name="_입찰표지 _2003TMP-POWER_2003TMP-POW1_2003TMP-POW1_2003TMP-POW1_2004TMP-POW0_2004TMP-POW0_2004TMP-POW0" xfId="16771"/>
    <cellStyle name="_입찰표지 _2003TMP-POWER_2003TMP-POW1_2003TMP-POW1_2003TMP-POW1_2004TMP-POW0_2004TMP-POW0_2004TMP-POW0 2" xfId="16772"/>
    <cellStyle name="_입찰표지 _2003TMP-POWER_2003TMP-POW1_2003TMP-POW1_2004TMP-POW0" xfId="16773"/>
    <cellStyle name="_입찰표지 _2003TMP-POWER_2003TMP-POW1_2003TMP-POW1_2004TMP-POW0 2" xfId="16774"/>
    <cellStyle name="_입찰표지 _2003TMP-POWER_2003TMP-POW1_2003TMP-POW1_2004TMP-POW0_2004TMP-POW0" xfId="16775"/>
    <cellStyle name="_입찰표지 _2003TMP-POWER_2003TMP-POW1_2003TMP-POW1_2004TMP-POW0_2004TMP-POW0 2" xfId="16776"/>
    <cellStyle name="_입찰표지 _2003TMP-POWER_2003TMP-POW1_2003TMP-POW1_2004TMP-POW0_2004TMP-POW0_2004TMP-POW0" xfId="16777"/>
    <cellStyle name="_입찰표지 _2003TMP-POWER_2003TMP-POW1_2003TMP-POW1_2004TMP-POW0_2004TMP-POW0_2004TMP-POW0 2" xfId="16778"/>
    <cellStyle name="_입찰표지 _2003TMP-POWER_2003TMP-POW1_2003TMP-POW1_2004TMP-POW0_2004TMP-POW0_2004TMP-POW0_2004TMP-POW0" xfId="16779"/>
    <cellStyle name="_입찰표지 _2003TMP-POWER_2003TMP-POW1_2003TMP-POW1_2004TMP-POW0_2004TMP-POW0_2004TMP-POW0_2004TMP-POW0 2" xfId="16780"/>
    <cellStyle name="_입찰표지 _2003TMP-POWER_2003TMP-POW1_2003TMP-POW1_Book2" xfId="16781"/>
    <cellStyle name="_입찰표지 _2003TMP-POWER_2003TMP-POW1_2003TMP-POW1_Book2 2" xfId="16782"/>
    <cellStyle name="_입찰표지 _2003TMP-POWER_2003TMP-POW1_2003TMP-POW1_Book4" xfId="16783"/>
    <cellStyle name="_입찰표지 _2003TMP-POWER_2003TMP-POW1_2003TMP-POW1_Book4 2" xfId="16784"/>
    <cellStyle name="_입찰표지 _2003TMP-POWER_2003TMP-POW1_2004TMP-POW0" xfId="16785"/>
    <cellStyle name="_입찰표지 _2003TMP-POWER_2003TMP-POW1_2004TMP-POW0 2" xfId="16786"/>
    <cellStyle name="_입찰표지 _2003TMP-POWER_2003TMP-POW1_2004TMP-POW0_2004TMP-POW0" xfId="16787"/>
    <cellStyle name="_입찰표지 _2003TMP-POWER_2003TMP-POW1_2004TMP-POW0_2004TMP-POW0 2" xfId="16788"/>
    <cellStyle name="_입찰표지 _2003TMP-POWER_2003TMP-POW1_2004TMP-POW0_2004TMP-POW0_2004TMP-POW0" xfId="16789"/>
    <cellStyle name="_입찰표지 _2003TMP-POWER_2003TMP-POW1_2004TMP-POW0_2004TMP-POW0_2004TMP-POW0 2" xfId="16790"/>
    <cellStyle name="_입찰표지 _2003TMP-POWER_2003TMP-POW1_Book2" xfId="16791"/>
    <cellStyle name="_입찰표지 _2003TMP-POWER_2003TMP-POW1_Book2 2" xfId="16792"/>
    <cellStyle name="_입찰표지 _2003TMP-POWER_2003TMP-POW1_Book4" xfId="16793"/>
    <cellStyle name="_입찰표지 _2003TMP-POWER_2003TMP-POW1_Book4 2" xfId="16794"/>
    <cellStyle name="_입찰표지 _2003TMP-POWER_2004TMP-POW0" xfId="16795"/>
    <cellStyle name="_입찰표지 _2003TMP-POWER_2004TMP-POW0 2" xfId="16796"/>
    <cellStyle name="_입찰표지 _2003TMP-POWER_2004TMP-POW0_2004TMP-POW0" xfId="16797"/>
    <cellStyle name="_입찰표지 _2003TMP-POWER_2004TMP-POW0_2004TMP-POW0 2" xfId="16798"/>
    <cellStyle name="_입찰표지 _2003TMP-POWER_2004TMP-POW0_2004TMP-POW0_2004TMP-POW0" xfId="16799"/>
    <cellStyle name="_입찰표지 _2003TMP-POWER_2004TMP-POW0_2004TMP-POW0_2004TMP-POW0 2" xfId="16800"/>
    <cellStyle name="_입찰표지 _2003TMP-POWER_2004TMP-POW0_2004TMP-POW0_2004TMP-POW0_2004TMP-POW0" xfId="16801"/>
    <cellStyle name="_입찰표지 _2003TMP-POWER_2004TMP-POW0_2004TMP-POW0_2004TMP-POW0_2004TMP-POW0 2" xfId="16802"/>
    <cellStyle name="_입찰표지 _2003TMP-POWER_Book2" xfId="16803"/>
    <cellStyle name="_입찰표지 _2003TMP-POWER_Book2 2" xfId="16804"/>
    <cellStyle name="_입찰표지 _2003TMP-POWER_Book4" xfId="16805"/>
    <cellStyle name="_입찰표지 _2003TMP-POWER_Book4 2" xfId="16806"/>
    <cellStyle name="_입찰표지 _2004TMP-POW0" xfId="16807"/>
    <cellStyle name="_입찰표지 _2004TMP-POW0 2" xfId="16808"/>
    <cellStyle name="_입찰표지 _2004TMP-POW0_2004TMP-POW0" xfId="16809"/>
    <cellStyle name="_입찰표지 _2004TMP-POW0_2004TMP-POW0 2" xfId="16810"/>
    <cellStyle name="_입찰표지 _2004TMP-POW0_2004TMP-POW0_2004TMP-POW0" xfId="16811"/>
    <cellStyle name="_입찰표지 _2004TMP-POW0_2004TMP-POW0_2004TMP-POW0 2" xfId="16812"/>
    <cellStyle name="_입찰표지 _2007현황보고양식" xfId="16813"/>
    <cellStyle name="_입찰표지 _2007현황보고양식 2" xfId="16814"/>
    <cellStyle name="_입찰표지 _3-1(금강)-여의도 세우회관 철거공사" xfId="16815"/>
    <cellStyle name="_입찰표지 _3-1(금강)-여의도 세우회관 철거공사_24-1(동부)-두능-연곡 도로건설공사 중 기존교량철거" xfId="16816"/>
    <cellStyle name="_입찰표지 _3-1(금강)-여의도 세우회관 철거공사_견적1" xfId="16817"/>
    <cellStyle name="_입찰표지 _3-1(금강)-여의도 세우회관 철거공사_견적1_28-3-2 삼환-대한생명 63빌딩 현장 철거공사 (재노경)" xfId="16818"/>
    <cellStyle name="_입찰표지 _35호(기숙사)" xfId="16819"/>
    <cellStyle name="_입찰표지 _35호(기숙사) 2" xfId="16820"/>
    <cellStyle name="_입찰표지 _35호(기숙사)_53호견적최종" xfId="16821"/>
    <cellStyle name="_입찰표지 _35호(기숙사)_53호견적최종 2" xfId="16822"/>
    <cellStyle name="_입찰표지 _35호(기숙사)_R-0053" xfId="16823"/>
    <cellStyle name="_입찰표지 _35호(기숙사)_R-0053 2" xfId="16824"/>
    <cellStyle name="_입찰표지 _35호(기숙사)_R-0053ELEC대" xfId="16825"/>
    <cellStyle name="_입찰표지 _35호(기숙사)_R-0053ELEC대 2" xfId="16826"/>
    <cellStyle name="_입찰표지 _35호(기숙사)_R-0053SITE" xfId="16827"/>
    <cellStyle name="_입찰표지 _35호(기숙사)_R-0053SITE 2" xfId="16828"/>
    <cellStyle name="_입찰표지 _35호(기숙사)POO" xfId="16829"/>
    <cellStyle name="_입찰표지 _35호(기숙사)POO 2" xfId="16830"/>
    <cellStyle name="_입찰표지 _35호(기숙사)POO_53호견적최종" xfId="16831"/>
    <cellStyle name="_입찰표지 _35호(기숙사)POO_53호견적최종 2" xfId="16832"/>
    <cellStyle name="_입찰표지 _35호(기숙사)POO_R-0053" xfId="16833"/>
    <cellStyle name="_입찰표지 _35호(기숙사)POO_R-0053 2" xfId="16834"/>
    <cellStyle name="_입찰표지 _35호(기숙사)POO_R-0053ELEC대" xfId="16835"/>
    <cellStyle name="_입찰표지 _35호(기숙사)POO_R-0053ELEC대 2" xfId="16836"/>
    <cellStyle name="_입찰표지 _35호(기숙사)POO_R-0053SITE" xfId="16837"/>
    <cellStyle name="_입찰표지 _35호(기숙사)POO_R-0053SITE 2" xfId="16838"/>
    <cellStyle name="_입찰표지 _38고대리" xfId="16839"/>
    <cellStyle name="_입찰표지 _38고대리 2" xfId="16840"/>
    <cellStyle name="_입찰표지 _38고대리_53호견적최종" xfId="16841"/>
    <cellStyle name="_입찰표지 _38고대리_53호견적최종 2" xfId="16842"/>
    <cellStyle name="_입찰표지 _38고대리_R-0053" xfId="16843"/>
    <cellStyle name="_입찰표지 _38고대리_R-0053 2" xfId="16844"/>
    <cellStyle name="_입찰표지 _38고대리_R-0053ELEC대" xfId="16845"/>
    <cellStyle name="_입찰표지 _38고대리_R-0053ELEC대 2" xfId="16846"/>
    <cellStyle name="_입찰표지 _38고대리_R-0053SITE" xfId="16847"/>
    <cellStyle name="_입찰표지 _38고대리_R-0053SITE 2" xfId="16848"/>
    <cellStyle name="_입찰표지 _38호" xfId="16849"/>
    <cellStyle name="_입찰표지 _38호 2" xfId="16850"/>
    <cellStyle name="_입찰표지 _38호_53호견적최종" xfId="16851"/>
    <cellStyle name="_입찰표지 _38호_53호견적최종 2" xfId="16852"/>
    <cellStyle name="_입찰표지 _38호_R-0053" xfId="16853"/>
    <cellStyle name="_입찰표지 _38호_R-0053 2" xfId="16854"/>
    <cellStyle name="_입찰표지 _38호_R-0053ELEC대" xfId="16855"/>
    <cellStyle name="_입찰표지 _38호_R-0053ELEC대 2" xfId="16856"/>
    <cellStyle name="_입찰표지 _38호_R-0053SITE" xfId="16857"/>
    <cellStyle name="_입찰표지 _38호_R-0053SITE 2" xfId="16858"/>
    <cellStyle name="_입찰표지 _53호견적최종" xfId="16859"/>
    <cellStyle name="_입찰표지 _53호견적최종 2" xfId="16860"/>
    <cellStyle name="_입찰표지 _8-2(삼성)-김해공항 국제청 화물청사 세관창고철거" xfId="16861"/>
    <cellStyle name="_입찰표지 _8-2(삼성)-김해공항 국제청 화물청사 세관창고철거_24-1(동부)-두능-연곡 도로건설공사 중 기존교량철거" xfId="16862"/>
    <cellStyle name="_입찰표지 _8-2(삼성)-김해공항 국제청 화물청사 세관창고철거_견적1" xfId="16863"/>
    <cellStyle name="_입찰표지 _8-2(삼성)-김해공항 국제청 화물청사 세관창고철거_견적1_28-3-2 삼환-대한생명 63빌딩 현장 철거공사 (재노경)" xfId="16864"/>
    <cellStyle name="_입찰표지 _B-2-b(1).부대입찰 공내역" xfId="16865"/>
    <cellStyle name="_입찰표지 _B-2-b(1).부대입찰 공내역 2" xfId="16866"/>
    <cellStyle name="_입찰표지 _Book1" xfId="16867"/>
    <cellStyle name="_입찰표지 _Book1 2" xfId="16868"/>
    <cellStyle name="_입찰표지 _Book1_내역서(최초)" xfId="16869"/>
    <cellStyle name="_입찰표지 _Book1_내역서(최초) 2" xfId="16870"/>
    <cellStyle name="_입찰표지 _Book1_설계내역서" xfId="16871"/>
    <cellStyle name="_입찰표지 _Book1_설계내역서 2" xfId="16872"/>
    <cellStyle name="_입찰표지 _Book1_설계내역서(2차)" xfId="16873"/>
    <cellStyle name="_입찰표지 _Book1_설계내역서(2차) 2" xfId="16874"/>
    <cellStyle name="_입찰표지 _Book2" xfId="16875"/>
    <cellStyle name="_입찰표지 _Book2 2" xfId="16876"/>
    <cellStyle name="_입찰표지 _Book2_Book2" xfId="16877"/>
    <cellStyle name="_입찰표지 _Book2_Book2 2" xfId="16878"/>
    <cellStyle name="_입찰표지 _Book2_Book4" xfId="16879"/>
    <cellStyle name="_입찰표지 _Book2_Book4 2" xfId="16880"/>
    <cellStyle name="_입찰표지 _IMSI-POW1" xfId="16881"/>
    <cellStyle name="_입찰표지 _IMSI-POW1 2" xfId="16882"/>
    <cellStyle name="_입찰표지 _IMSI-POW1_서초풍림아이원플러스(0723)(2)" xfId="16883"/>
    <cellStyle name="_입찰표지 _IMSI-POW1_서초풍림아이원플러스(0723)(2) 2" xfId="16884"/>
    <cellStyle name="_입찰표지 _IMSI-POW1_파주시금촌(2)지구C2BL풍림APT(1001)-공" xfId="16885"/>
    <cellStyle name="_입찰표지 _IMSI-POW1_파주시금촌(2)지구C2BL풍림APT(1001)-공 2" xfId="16886"/>
    <cellStyle name="_입찰표지 _nafkp5-02-r-0014" xfId="16887"/>
    <cellStyle name="_입찰표지 _nafkp5-02-r-0014 2" xfId="16888"/>
    <cellStyle name="_입찰표지 _nafkp5-02-r-0014_53호견적최종" xfId="16889"/>
    <cellStyle name="_입찰표지 _nafkp5-02-r-0014_53호견적최종 2" xfId="16890"/>
    <cellStyle name="_입찰표지 _nafkp5-02-r-0014_R-0053" xfId="16891"/>
    <cellStyle name="_입찰표지 _nafkp5-02-r-0014_R-0053 2" xfId="16892"/>
    <cellStyle name="_입찰표지 _nafkp5-02-r-0014_R-0053ELEC대" xfId="16893"/>
    <cellStyle name="_입찰표지 _nafkp5-02-r-0014_R-0053ELEC대 2" xfId="16894"/>
    <cellStyle name="_입찰표지 _nafkp5-02-r-0014_R-0053SITE" xfId="16895"/>
    <cellStyle name="_입찰표지 _nafkp5-02-r-0014_R-0053SITE 2" xfId="16896"/>
    <cellStyle name="_입찰표지 _P-(현리-신팔)" xfId="16897"/>
    <cellStyle name="_입찰표지 _P-(현리-신팔) 2" xfId="16898"/>
    <cellStyle name="_입찰표지 _P-(현리-신팔)_내역서(최초)" xfId="16899"/>
    <cellStyle name="_입찰표지 _P-(현리-신팔)_내역서(최초) 2" xfId="16900"/>
    <cellStyle name="_입찰표지 _P-(현리-신팔)_설계내역서" xfId="16901"/>
    <cellStyle name="_입찰표지 _P-(현리-신팔)_설계내역서 2" xfId="16902"/>
    <cellStyle name="_입찰표지 _P-(현리-신팔)_설계내역서(2차)" xfId="16903"/>
    <cellStyle name="_입찰표지 _P-(현리-신팔)_설계내역서(2차) 2" xfId="16904"/>
    <cellStyle name="_입찰표지 _p-하남강일1" xfId="16905"/>
    <cellStyle name="_입찰표지 _p-하남강일1 2" xfId="16906"/>
    <cellStyle name="_입찰표지 _p-하남강일1_내역서(최초)" xfId="16907"/>
    <cellStyle name="_입찰표지 _p-하남강일1_내역서(최초) 2" xfId="16908"/>
    <cellStyle name="_입찰표지 _p-하남강일1_설계내역서" xfId="16909"/>
    <cellStyle name="_입찰표지 _p-하남강일1_설계내역서 2" xfId="16910"/>
    <cellStyle name="_입찰표지 _p-하남강일1_설계내역서(2차)" xfId="16911"/>
    <cellStyle name="_입찰표지 _p-하남강일1_설계내역서(2차) 2" xfId="16912"/>
    <cellStyle name="_입찰표지 _R0003CostBD원본261" xfId="16949"/>
    <cellStyle name="_입찰표지 _R0003CostBD원본261 2" xfId="16950"/>
    <cellStyle name="_입찰표지 _R0003CostBD원본261_53호견적최종" xfId="16951"/>
    <cellStyle name="_입찰표지 _R0003CostBD원본261_53호견적최종 2" xfId="16952"/>
    <cellStyle name="_입찰표지 _R0003CostBD원본261_R-0053" xfId="16953"/>
    <cellStyle name="_입찰표지 _R0003CostBD원본261_R-0053 2" xfId="16954"/>
    <cellStyle name="_입찰표지 _R0003CostBD원본261_R-0053ELEC대" xfId="16955"/>
    <cellStyle name="_입찰표지 _R0003CostBD원본261_R-0053ELEC대 2" xfId="16956"/>
    <cellStyle name="_입찰표지 _R0003CostBD원본261_R-0053SITE" xfId="16957"/>
    <cellStyle name="_입찰표지 _R0003CostBD원본261_R-0053SITE 2" xfId="16958"/>
    <cellStyle name="_입찰표지 _R-0003입찰내역" xfId="16913"/>
    <cellStyle name="_입찰표지 _R-0003입찰내역 2" xfId="16914"/>
    <cellStyle name="_입찰표지 _R-0003입찰내역_53호견적최종" xfId="16915"/>
    <cellStyle name="_입찰표지 _R-0003입찰내역_53호견적최종 2" xfId="16916"/>
    <cellStyle name="_입찰표지 _R-0003입찰내역_R-0053" xfId="16917"/>
    <cellStyle name="_입찰표지 _R-0003입찰내역_R-0053 2" xfId="16918"/>
    <cellStyle name="_입찰표지 _R-0003입찰내역_R-0053ELEC대" xfId="16919"/>
    <cellStyle name="_입찰표지 _R-0003입찰내역_R-0053ELEC대 2" xfId="16920"/>
    <cellStyle name="_입찰표지 _R-0003입찰내역_R-0053SITE" xfId="16921"/>
    <cellStyle name="_입찰표지 _R-0003입찰내역_R-0053SITE 2" xfId="16922"/>
    <cellStyle name="_입찰표지 _R0038CostBD(version2)" xfId="16959"/>
    <cellStyle name="_입찰표지 _R0038CostBD(version2) 2" xfId="16960"/>
    <cellStyle name="_입찰표지 _R0038CostBD(version2)_53호견적최종" xfId="16961"/>
    <cellStyle name="_입찰표지 _R0038CostBD(version2)_53호견적최종 2" xfId="16962"/>
    <cellStyle name="_입찰표지 _R0038CostBD(version2)_R-0053" xfId="16963"/>
    <cellStyle name="_입찰표지 _R0038CostBD(version2)_R-0053 2" xfId="16964"/>
    <cellStyle name="_입찰표지 _R0038CostBD(version2)_R-0053ELEC대" xfId="16965"/>
    <cellStyle name="_입찰표지 _R0038CostBD(version2)_R-0053ELEC대 2" xfId="16966"/>
    <cellStyle name="_입찰표지 _R0038CostBD(version2)_R-0053SITE" xfId="16967"/>
    <cellStyle name="_입찰표지 _R0038CostBD(version2)_R-0053SITE 2" xfId="16968"/>
    <cellStyle name="_입찰표지 _R0038CostBD(화인)" xfId="16969"/>
    <cellStyle name="_입찰표지 _R0038CostBD(화인) 2" xfId="16970"/>
    <cellStyle name="_입찰표지 _R0038CostBD(화인)_53호견적최종" xfId="16971"/>
    <cellStyle name="_입찰표지 _R0038CostBD(화인)_53호견적최종 2" xfId="16972"/>
    <cellStyle name="_입찰표지 _R0038CostBD(화인)_R-0053" xfId="16973"/>
    <cellStyle name="_입찰표지 _R0038CostBD(화인)_R-0053 2" xfId="16974"/>
    <cellStyle name="_입찰표지 _R0038CostBD(화인)_R-0053ELEC대" xfId="16975"/>
    <cellStyle name="_입찰표지 _R0038CostBD(화인)_R-0053ELEC대 2" xfId="16976"/>
    <cellStyle name="_입찰표지 _R0038CostBD(화인)_R-0053SITE" xfId="16977"/>
    <cellStyle name="_입찰표지 _R0038CostBD(화인)_R-0053SITE 2" xfId="16978"/>
    <cellStyle name="_입찰표지 _R-0053" xfId="16923"/>
    <cellStyle name="_입찰표지 _R-0053 2" xfId="16924"/>
    <cellStyle name="_입찰표지 _R0053CostBD-건축-김이사님" xfId="16979"/>
    <cellStyle name="_입찰표지 _R0053CostBD-건축-김이사님 2" xfId="16980"/>
    <cellStyle name="_입찰표지 _R0053CostBD-건축-김이사님_53호견적최종" xfId="16981"/>
    <cellStyle name="_입찰표지 _R0053CostBD-건축-김이사님_53호견적최종 2" xfId="16982"/>
    <cellStyle name="_입찰표지 _R0053CostBD-건축-김이사님_R-0053" xfId="16983"/>
    <cellStyle name="_입찰표지 _R0053CostBD-건축-김이사님_R-0053 2" xfId="16984"/>
    <cellStyle name="_입찰표지 _R0053CostBD-건축-김이사님_R-0053ELEC대" xfId="16985"/>
    <cellStyle name="_입찰표지 _R0053CostBD-건축-김이사님_R-0053ELEC대 2" xfId="16986"/>
    <cellStyle name="_입찰표지 _R0053CostBD-건축-김이사님_R-0053SITE" xfId="16987"/>
    <cellStyle name="_입찰표지 _R0053CostBD-건축-김이사님_R-0053SITE 2" xfId="16988"/>
    <cellStyle name="_입찰표지 _R-0053ELEC대" xfId="16925"/>
    <cellStyle name="_입찰표지 _R-0053ELEC대 2" xfId="16926"/>
    <cellStyle name="_입찰표지 _R-0053SITE" xfId="16927"/>
    <cellStyle name="_입찰표지 _R-0053SITE 2" xfId="16928"/>
    <cellStyle name="_입찰표지 _R-0053건축" xfId="16929"/>
    <cellStyle name="_입찰표지 _R-0053건축 2" xfId="16930"/>
    <cellStyle name="_입찰표지 _R-0053건축_53호견적최종" xfId="16931"/>
    <cellStyle name="_입찰표지 _R-0053건축_53호견적최종 2" xfId="16932"/>
    <cellStyle name="_입찰표지 _R-0053건축_R-0053" xfId="16933"/>
    <cellStyle name="_입찰표지 _R-0053건축_R-0053 2" xfId="16934"/>
    <cellStyle name="_입찰표지 _R-0053건축_R-0053ELEC대" xfId="16935"/>
    <cellStyle name="_입찰표지 _R-0053건축_R-0053ELEC대 2" xfId="16936"/>
    <cellStyle name="_입찰표지 _R-0053건축_R-0053SITE" xfId="16937"/>
    <cellStyle name="_입찰표지 _R-0053건축_R-0053SITE 2" xfId="16938"/>
    <cellStyle name="_입찰표지 _R-0053입찰내역" xfId="16939"/>
    <cellStyle name="_입찰표지 _R-0053입찰내역 2" xfId="16940"/>
    <cellStyle name="_입찰표지 _R-0053입찰내역_53호견적최종" xfId="16941"/>
    <cellStyle name="_입찰표지 _R-0053입찰내역_53호견적최종 2" xfId="16942"/>
    <cellStyle name="_입찰표지 _R-0053입찰내역_R-0053" xfId="16943"/>
    <cellStyle name="_입찰표지 _R-0053입찰내역_R-0053 2" xfId="16944"/>
    <cellStyle name="_입찰표지 _R-0053입찰내역_R-0053ELEC대" xfId="16945"/>
    <cellStyle name="_입찰표지 _R-0053입찰내역_R-0053ELEC대 2" xfId="16946"/>
    <cellStyle name="_입찰표지 _R-0053입찰내역_R-0053SITE" xfId="16947"/>
    <cellStyle name="_입찰표지 _R-0053입찰내역_R-0053SITE 2" xfId="16948"/>
    <cellStyle name="_입찰표지 _TMP-POW1" xfId="16989"/>
    <cellStyle name="_입찰표지 _TMP-POW1 2" xfId="16990"/>
    <cellStyle name="_입찰표지 _TMP-POW1_서초풍림아이원플러스(0723)(2)" xfId="16991"/>
    <cellStyle name="_입찰표지 _TMP-POW1_서초풍림아이원플러스(0723)(2) 2" xfId="16992"/>
    <cellStyle name="_입찰표지 _TMP-POW1_파주시금촌(2)지구C2BL풍림APT(1001)-공" xfId="16993"/>
    <cellStyle name="_입찰표지 _TMP-POW1_파주시금촌(2)지구C2BL풍림APT(1001)-공 2" xfId="16994"/>
    <cellStyle name="_입찰표지 _TMP-POW2" xfId="16995"/>
    <cellStyle name="_입찰표지 _TMP-POW2 2" xfId="16996"/>
    <cellStyle name="_입찰표지 _TMP-POW2_서초풍림아이원플러스(0723)(2)" xfId="16997"/>
    <cellStyle name="_입찰표지 _TMP-POW2_서초풍림아이원플러스(0723)(2) 2" xfId="16998"/>
    <cellStyle name="_입찰표지 _TMP-POW2_파주시금촌(2)지구C2BL풍림APT(1001)-공" xfId="16999"/>
    <cellStyle name="_입찰표지 _TMP-POW2_파주시금촌(2)지구C2BL풍림APT(1001)-공 2" xfId="17000"/>
    <cellStyle name="_입찰표지 _V-M-0001AB1216" xfId="17001"/>
    <cellStyle name="_입찰표지 _V-M-0001AB1216 2" xfId="17002"/>
    <cellStyle name="_입찰표지 _V-M-0001AB1216_53호견적최종" xfId="17003"/>
    <cellStyle name="_입찰표지 _V-M-0001AB1216_53호견적최종 2" xfId="17004"/>
    <cellStyle name="_입찰표지 _V-M-0001AB1216_R-0053" xfId="17005"/>
    <cellStyle name="_입찰표지 _V-M-0001AB1216_R-0053 2" xfId="17006"/>
    <cellStyle name="_입찰표지 _V-M-0001AB1216_R-0053ELEC대" xfId="17007"/>
    <cellStyle name="_입찰표지 _V-M-0001AB1216_R-0053ELEC대 2" xfId="17008"/>
    <cellStyle name="_입찰표지 _V-M-0001AB1216_R-0053SITE" xfId="17009"/>
    <cellStyle name="_입찰표지 _V-M-0001AB1216_R-0053SITE 2" xfId="17010"/>
    <cellStyle name="_입찰표지 _V-M-0001AC1217" xfId="17011"/>
    <cellStyle name="_입찰표지 _V-M-0001AC1217 2" xfId="17012"/>
    <cellStyle name="_입찰표지 _V-M-0001AC1217_53호견적최종" xfId="17013"/>
    <cellStyle name="_입찰표지 _V-M-0001AC1217_53호견적최종 2" xfId="17014"/>
    <cellStyle name="_입찰표지 _V-M-0001AC1217_R-0053" xfId="17015"/>
    <cellStyle name="_입찰표지 _V-M-0001AC1217_R-0053 2" xfId="17016"/>
    <cellStyle name="_입찰표지 _V-M-0001AC1217_R-0053ELEC대" xfId="17017"/>
    <cellStyle name="_입찰표지 _V-M-0001AC1217_R-0053ELEC대 2" xfId="17018"/>
    <cellStyle name="_입찰표지 _V-M-0001AC1217_R-0053SITE" xfId="17019"/>
    <cellStyle name="_입찰표지 _V-M-0001AC1217_R-0053SITE 2" xfId="17020"/>
    <cellStyle name="_입찰표지 _V-M-0001AD2460" xfId="17021"/>
    <cellStyle name="_입찰표지 _V-M-0001AD2460 2" xfId="17022"/>
    <cellStyle name="_입찰표지 _V-M-0001AD2460_53호견적최종" xfId="17023"/>
    <cellStyle name="_입찰표지 _V-M-0001AD2460_53호견적최종 2" xfId="17024"/>
    <cellStyle name="_입찰표지 _V-M-0001AD2460_R-0053" xfId="17025"/>
    <cellStyle name="_입찰표지 _V-M-0001AD2460_R-0053 2" xfId="17026"/>
    <cellStyle name="_입찰표지 _V-M-0001AD2460_R-0053ELEC대" xfId="17027"/>
    <cellStyle name="_입찰표지 _V-M-0001AD2460_R-0053ELEC대 2" xfId="17028"/>
    <cellStyle name="_입찰표지 _V-M-0001AD2460_R-0053SITE" xfId="17029"/>
    <cellStyle name="_입찰표지 _V-M-0001AD2460_R-0053SITE 2" xfId="17030"/>
    <cellStyle name="_입찰표지 _V-M-0001AE RENOVATE BLDG1216" xfId="17031"/>
    <cellStyle name="_입찰표지 _V-M-0001AE RENOVATE BLDG1216 2" xfId="17032"/>
    <cellStyle name="_입찰표지 _V-M-0001AE RENOVATE BLDG1216_53호견적최종" xfId="17033"/>
    <cellStyle name="_입찰표지 _V-M-0001AE RENOVATE BLDG1216_53호견적최종 2" xfId="17034"/>
    <cellStyle name="_입찰표지 _V-M-0001AE RENOVATE BLDG1216_R-0053" xfId="17035"/>
    <cellStyle name="_입찰표지 _V-M-0001AE RENOVATE BLDG1216_R-0053 2" xfId="17036"/>
    <cellStyle name="_입찰표지 _V-M-0001AE RENOVATE BLDG1216_R-0053ELEC대" xfId="17037"/>
    <cellStyle name="_입찰표지 _V-M-0001AE RENOVATE BLDG1216_R-0053ELEC대 2" xfId="17038"/>
    <cellStyle name="_입찰표지 _V-M-0001AE RENOVATE BLDG1216_R-0053SITE" xfId="17039"/>
    <cellStyle name="_입찰표지 _V-M-0001AE RENOVATE BLDG1216_R-0053SITE 2" xfId="17040"/>
    <cellStyle name="_입찰표지 _V-M-0002" xfId="17041"/>
    <cellStyle name="_입찰표지 _V-M-0002 2" xfId="17042"/>
    <cellStyle name="_입찰표지 _V-M-0002_53호견적최종" xfId="17043"/>
    <cellStyle name="_입찰표지 _V-M-0002_53호견적최종 2" xfId="17044"/>
    <cellStyle name="_입찰표지 _V-M-0002_R-0053" xfId="17045"/>
    <cellStyle name="_입찰표지 _V-M-0002_R-0053 2" xfId="17046"/>
    <cellStyle name="_입찰표지 _V-M-0002_R-0053ELEC대" xfId="17047"/>
    <cellStyle name="_입찰표지 _V-M-0002_R-0053ELEC대 2" xfId="17048"/>
    <cellStyle name="_입찰표지 _V-M-0002_R-0053SITE" xfId="17049"/>
    <cellStyle name="_입찰표지 _V-M-0002_R-0053SITE 2" xfId="17050"/>
    <cellStyle name="_입찰표지 _V-M-0004" xfId="17051"/>
    <cellStyle name="_입찰표지 _V-M-0004 2" xfId="17052"/>
    <cellStyle name="_입찰표지 _V-M-0004_53호견적최종" xfId="17053"/>
    <cellStyle name="_입찰표지 _V-M-0004_53호견적최종 2" xfId="17054"/>
    <cellStyle name="_입찰표지 _V-M-0004_R-0053" xfId="17055"/>
    <cellStyle name="_입찰표지 _V-M-0004_R-0053 2" xfId="17056"/>
    <cellStyle name="_입찰표지 _V-M-0004_R-0053ELEC대" xfId="17057"/>
    <cellStyle name="_입찰표지 _V-M-0004_R-0053ELEC대 2" xfId="17058"/>
    <cellStyle name="_입찰표지 _V-M-0004_R-0053SITE" xfId="17059"/>
    <cellStyle name="_입찰표지 _V-M-0004_R-0053SITE 2" xfId="17060"/>
    <cellStyle name="_입찰표지 _V-M-0005" xfId="17061"/>
    <cellStyle name="_입찰표지 _V-M-0005 2" xfId="17062"/>
    <cellStyle name="_입찰표지 _V-M-0005_53호견적최종" xfId="17063"/>
    <cellStyle name="_입찰표지 _V-M-0005_53호견적최종 2" xfId="17064"/>
    <cellStyle name="_입찰표지 _V-M-0005_R-0053" xfId="17065"/>
    <cellStyle name="_입찰표지 _V-M-0005_R-0053 2" xfId="17066"/>
    <cellStyle name="_입찰표지 _V-M-0005_R-0053ELEC대" xfId="17067"/>
    <cellStyle name="_입찰표지 _V-M-0005_R-0053ELEC대 2" xfId="17068"/>
    <cellStyle name="_입찰표지 _V-M-0005_R-0053SITE" xfId="17069"/>
    <cellStyle name="_입찰표지 _V-M-0005_R-0053SITE 2" xfId="17070"/>
    <cellStyle name="_입찰표지 _V-O-0007" xfId="17071"/>
    <cellStyle name="_입찰표지 _V-O-0007 2" xfId="17072"/>
    <cellStyle name="_입찰표지 _V-O-0007_53호견적최종" xfId="17073"/>
    <cellStyle name="_입찰표지 _V-O-0007_53호견적최종 2" xfId="17074"/>
    <cellStyle name="_입찰표지 _V-O-0007_R-0053" xfId="17075"/>
    <cellStyle name="_입찰표지 _V-O-0007_R-0053 2" xfId="17076"/>
    <cellStyle name="_입찰표지 _V-O-0007_R-0053ELEC대" xfId="17077"/>
    <cellStyle name="_입찰표지 _V-O-0007_R-0053ELEC대 2" xfId="17078"/>
    <cellStyle name="_입찰표지 _V-O-0007_R-0053SITE" xfId="17079"/>
    <cellStyle name="_입찰표지 _V-O-0007_R-0053SITE 2" xfId="17080"/>
    <cellStyle name="_입찰표지 _V-O-0009" xfId="17081"/>
    <cellStyle name="_입찰표지 _V-O-0009 2" xfId="17082"/>
    <cellStyle name="_입찰표지 _V-O-0009_53호견적최종" xfId="17083"/>
    <cellStyle name="_입찰표지 _V-O-0009_53호견적최종 2" xfId="17084"/>
    <cellStyle name="_입찰표지 _V-O-0009_R-0053" xfId="17085"/>
    <cellStyle name="_입찰표지 _V-O-0009_R-0053 2" xfId="17086"/>
    <cellStyle name="_입찰표지 _V-O-0009_R-0053ELEC대" xfId="17087"/>
    <cellStyle name="_입찰표지 _V-O-0009_R-0053ELEC대 2" xfId="17088"/>
    <cellStyle name="_입찰표지 _V-O-0009_R-0053SITE" xfId="17089"/>
    <cellStyle name="_입찰표지 _V-O-0009_R-0053SITE 2" xfId="17090"/>
    <cellStyle name="_입찰표지 _가구공사" xfId="17091"/>
    <cellStyle name="_입찰표지 _가구공사 2" xfId="17092"/>
    <cellStyle name="_입찰표지 _가구공사_2007현황보고양식" xfId="17093"/>
    <cellStyle name="_입찰표지 _가구공사_2007현황보고양식 2" xfId="17094"/>
    <cellStyle name="_입찰표지 _가구공사_두산산업개발 입찰견적" xfId="17095"/>
    <cellStyle name="_입찰표지 _가구공사_두산산업개발 입찰견적 2" xfId="17096"/>
    <cellStyle name="_입찰표지 _가구공사_두산중공업 입찰견적" xfId="17097"/>
    <cellStyle name="_입찰표지 _가구공사_두산중공업 입찰견적 2" xfId="17098"/>
    <cellStyle name="_입찰표지 _가구공사_추가일위대가표 총괄" xfId="17099"/>
    <cellStyle name="_입찰표지 _가구공사_추가일위대가표 총괄 2" xfId="17100"/>
    <cellStyle name="_입찰표지 _가구공사_현대건설 대구대천" xfId="17101"/>
    <cellStyle name="_입찰표지 _가구공사_현대건설 대구대천 2" xfId="17102"/>
    <cellStyle name="_입찰표지 _검암2차사전공사(본사검토) " xfId="17103"/>
    <cellStyle name="_입찰표지 _검암2차사전공사(본사검토)  2" xfId="17104"/>
    <cellStyle name="_입찰표지 _검암2차사전공사(본사검토)  2 2" xfId="17105"/>
    <cellStyle name="_입찰표지 _검암2차사전공사(본사검토)  3" xfId="17106"/>
    <cellStyle name="_입찰표지 _검암2차사전공사(본사검토)  3 2" xfId="17107"/>
    <cellStyle name="_입찰표지 _검암2차사전공사(본사검토)  4" xfId="17108"/>
    <cellStyle name="_입찰표지 _검암2차사전공사(본사검토)  4 2" xfId="17109"/>
    <cellStyle name="_입찰표지 _검암2차사전공사(본사검토)  5" xfId="17110"/>
    <cellStyle name="_입찰표지 _검암2차사전공사(본사검토)  5 2" xfId="17111"/>
    <cellStyle name="_입찰표지 _검암2차사전공사(본사검토)  6" xfId="17112"/>
    <cellStyle name="_입찰표지 _검암2차사전공사(본사검토)  6 2" xfId="17113"/>
    <cellStyle name="_입찰표지 _검암2차사전공사(본사검토)  7" xfId="17114"/>
    <cellStyle name="_입찰표지 _검암2차사전공사(본사검토)  7 2" xfId="17115"/>
    <cellStyle name="_입찰표지 _검암2차사전공사(본사검토)  8" xfId="17116"/>
    <cellStyle name="_입찰표지 _검암2차사전공사(본사검토) _Book2" xfId="17117"/>
    <cellStyle name="_입찰표지 _검암2차사전공사(본사검토) _Book2 2" xfId="17118"/>
    <cellStyle name="_입찰표지 _검암2차사전공사(본사검토) _Book4" xfId="17119"/>
    <cellStyle name="_입찰표지 _검암2차사전공사(본사검토) _Book4 2" xfId="17120"/>
    <cellStyle name="_입찰표지 _견적1" xfId="17121"/>
    <cellStyle name="_입찰표지 _견적1_28-3-2 삼환-대한생명 63빌딩 현장 철거공사 (재노경)" xfId="17122"/>
    <cellStyle name="_입찰표지 _견적서" xfId="17123"/>
    <cellStyle name="_입찰표지 _견적서_24-1(동부)-두능-연곡 도로건설공사 중 기존교량철거" xfId="17124"/>
    <cellStyle name="_입찰표지 _견적서_견적1" xfId="17125"/>
    <cellStyle name="_입찰표지 _견적서_견적1_28-3-2 삼환-대한생명 63빌딩 현장 철거공사 (재노경)" xfId="17126"/>
    <cellStyle name="_입찰표지 _공내역서" xfId="17127"/>
    <cellStyle name="_입찰표지 _공내역서 2" xfId="17128"/>
    <cellStyle name="_입찰표지 _공내역서_사본 - ☆태평동  도급내역" xfId="17261"/>
    <cellStyle name="_입찰표지 _공내역서_사본 - ☆태평동  도급내역 2" xfId="17262"/>
    <cellStyle name="_입찰표지 _공내역서_성남태평동설비공사" xfId="17263"/>
    <cellStyle name="_입찰표지 _공내역서_성남태평동설비공사 2" xfId="17264"/>
    <cellStyle name="_입찰표지 _공내역서_수원율전 실행내역" xfId="17265"/>
    <cellStyle name="_입찰표지 _공내역서_수원율전 실행내역 2" xfId="17266"/>
    <cellStyle name="_입찰표지 _공내역서_수원율전 실행내역 검토안" xfId="17267"/>
    <cellStyle name="_입찰표지 _공내역서_수원율전 실행내역 검토안 2" xfId="17268"/>
    <cellStyle name="_입찰표지 _공내역서_수원율전 실행내역 검토안_사본 - ☆태평동  도급내역" xfId="17269"/>
    <cellStyle name="_입찰표지 _공내역서_수원율전 실행내역 검토안_사본 - ☆태평동  도급내역 2" xfId="17270"/>
    <cellStyle name="_입찰표지 _공내역서_수원율전 실행내역 검토안_성남태평동설비공사" xfId="17271"/>
    <cellStyle name="_입찰표지 _공내역서_수원율전 실행내역 검토안_성남태평동설비공사 2" xfId="17272"/>
    <cellStyle name="_입찰표지 _공내역서_수원율전 실행내역 검토안_수원율전 실행내역" xfId="17273"/>
    <cellStyle name="_입찰표지 _공내역서_수원율전 실행내역 검토안_수원율전 실행내역 2" xfId="17274"/>
    <cellStyle name="_입찰표지 _공내역서_수원율전 실행내역 검토안_수원율전 실행내역 검토안" xfId="17275"/>
    <cellStyle name="_입찰표지 _공내역서_수원율전 실행내역 검토안_수원율전 실행내역 검토안 2" xfId="17276"/>
    <cellStyle name="_입찰표지 _공내역서_수원율전 실행내역 검토안_수원율전 실행내역 검토안_사본 - ☆태평동  도급내역" xfId="17277"/>
    <cellStyle name="_입찰표지 _공내역서_수원율전 실행내역 검토안_수원율전 실행내역 검토안_사본 - ☆태평동  도급내역 2" xfId="17278"/>
    <cellStyle name="_입찰표지 _공내역서_수원율전 실행내역 검토안_수원율전 실행내역 검토안_성남태평동설비공사" xfId="17279"/>
    <cellStyle name="_입찰표지 _공내역서_수원율전 실행내역 검토안_수원율전 실행내역 검토안_성남태평동설비공사 2" xfId="17280"/>
    <cellStyle name="_입찰표지 _공내역서_수원율전 실행내역 검토안_수원율전 실행내역 검토안_수정구 태평동 주상복합 실행내역 검토안" xfId="17281"/>
    <cellStyle name="_입찰표지 _공내역서_수원율전 실행내역 검토안_수원율전 실행내역 검토안_수정구 태평동 주상복합 실행내역 검토안 2" xfId="17282"/>
    <cellStyle name="_입찰표지 _공내역서_수원율전 실행내역 검토안_수원율전 실행내역 검토안_태평동 실행내역서" xfId="17283"/>
    <cellStyle name="_입찰표지 _공내역서_수원율전 실행내역 검토안_수원율전 실행내역 검토안_태평동 실행내역서 2" xfId="17284"/>
    <cellStyle name="_입찰표지 _공내역서_수원율전 실행내역 검토안_수원율전 실행내역 검토안_태평동도급내역(Rev.2)-12.26" xfId="17285"/>
    <cellStyle name="_입찰표지 _공내역서_수원율전 실행내역 검토안_수원율전 실행내역 검토안_태평동도급내역(Rev.2)-12.26 2" xfId="17286"/>
    <cellStyle name="_입찰표지 _공내역서_수원율전 실행내역 검토안_수정구 태평동 주상복합 실행내역 검토안" xfId="17287"/>
    <cellStyle name="_입찰표지 _공내역서_수원율전 실행내역 검토안_수정구 태평동 주상복합 실행내역 검토안 2" xfId="17288"/>
    <cellStyle name="_입찰표지 _공내역서_수원율전 실행내역 검토안_태평동 실행내역서" xfId="17289"/>
    <cellStyle name="_입찰표지 _공내역서_수원율전 실행내역 검토안_태평동 실행내역서 2" xfId="17290"/>
    <cellStyle name="_입찰표지 _공내역서_수원율전 실행내역 검토안_태평동도급내역(Rev.2)-12.26" xfId="17291"/>
    <cellStyle name="_입찰표지 _공내역서_수원율전 실행내역 검토안_태평동도급내역(Rev.2)-12.26 2" xfId="17292"/>
    <cellStyle name="_입찰표지 _공내역서_수원율전조합" xfId="17293"/>
    <cellStyle name="_입찰표지 _공내역서_수원율전조합 2" xfId="17294"/>
    <cellStyle name="_입찰표지 _공내역서_수원율전조합_사본 - ☆태평동  도급내역" xfId="17295"/>
    <cellStyle name="_입찰표지 _공내역서_수원율전조합_사본 - ☆태평동  도급내역 2" xfId="17296"/>
    <cellStyle name="_입찰표지 _공내역서_수원율전조합_성남태평동설비공사" xfId="17297"/>
    <cellStyle name="_입찰표지 _공내역서_수원율전조합_성남태평동설비공사 2" xfId="17298"/>
    <cellStyle name="_입찰표지 _공내역서_수원율전조합_수원율전 실행내역" xfId="17299"/>
    <cellStyle name="_입찰표지 _공내역서_수원율전조합_수원율전 실행내역 2" xfId="17300"/>
    <cellStyle name="_입찰표지 _공내역서_수원율전조합_수원율전 실행내역 검토안" xfId="17301"/>
    <cellStyle name="_입찰표지 _공내역서_수원율전조합_수원율전 실행내역 검토안 2" xfId="17302"/>
    <cellStyle name="_입찰표지 _공내역서_수원율전조합_수원율전 실행내역 검토안_사본 - ☆태평동  도급내역" xfId="17303"/>
    <cellStyle name="_입찰표지 _공내역서_수원율전조합_수원율전 실행내역 검토안_사본 - ☆태평동  도급내역 2" xfId="17304"/>
    <cellStyle name="_입찰표지 _공내역서_수원율전조합_수원율전 실행내역 검토안_성남태평동설비공사" xfId="17305"/>
    <cellStyle name="_입찰표지 _공내역서_수원율전조합_수원율전 실행내역 검토안_성남태평동설비공사 2" xfId="17306"/>
    <cellStyle name="_입찰표지 _공내역서_수원율전조합_수원율전 실행내역 검토안_수정구 태평동 주상복합 실행내역 검토안" xfId="17307"/>
    <cellStyle name="_입찰표지 _공내역서_수원율전조합_수원율전 실행내역 검토안_수정구 태평동 주상복합 실행내역 검토안 2" xfId="17308"/>
    <cellStyle name="_입찰표지 _공내역서_수원율전조합_수원율전 실행내역 검토안_태평동 실행내역서" xfId="17309"/>
    <cellStyle name="_입찰표지 _공내역서_수원율전조합_수원율전 실행내역 검토안_태평동 실행내역서 2" xfId="17310"/>
    <cellStyle name="_입찰표지 _공내역서_수원율전조합_수원율전 실행내역 검토안_태평동도급내역(Rev.2)-12.26" xfId="17311"/>
    <cellStyle name="_입찰표지 _공내역서_수원율전조합_수원율전 실행내역 검토안_태평동도급내역(Rev.2)-12.26 2" xfId="17312"/>
    <cellStyle name="_입찰표지 _공내역서_수원율전조합_수정구 태평동 주상복합 실행내역 검토안" xfId="17313"/>
    <cellStyle name="_입찰표지 _공내역서_수원율전조합_수정구 태평동 주상복합 실행내역 검토안 2" xfId="17314"/>
    <cellStyle name="_입찰표지 _공내역서_수원율전조합_태평동 실행내역서" xfId="17315"/>
    <cellStyle name="_입찰표지 _공내역서_수원율전조합_태평동 실행내역서 2" xfId="17316"/>
    <cellStyle name="_입찰표지 _공내역서_수원율전조합_태평동도급내역(Rev.2)-12.26" xfId="17317"/>
    <cellStyle name="_입찰표지 _공내역서_수원율전조합_태평동도급내역(Rev.2)-12.26 2" xfId="17318"/>
    <cellStyle name="_입찰표지 _공내역서_수정구 태평동 주상복합 실행내역 검토안" xfId="17319"/>
    <cellStyle name="_입찰표지 _공내역서_수정구 태평동 주상복합 실행내역 검토안 2" xfId="17320"/>
    <cellStyle name="_입찰표지 _공내역서_태평동 실행내역서" xfId="17321"/>
    <cellStyle name="_입찰표지 _공내역서_태평동 실행내역서 2" xfId="17322"/>
    <cellStyle name="_입찰표지 _공내역서_태평동도급내역(Rev.2)-12.26" xfId="17323"/>
    <cellStyle name="_입찰표지 _공내역서_태평동도급내역(Rev.2)-12.26 2" xfId="17324"/>
    <cellStyle name="_입찰표지 _공내역서-창호" xfId="17129"/>
    <cellStyle name="_입찰표지 _공내역서-창호 2" xfId="17130"/>
    <cellStyle name="_입찰표지 _공내역서-창호_사본 - ☆태평동  도급내역" xfId="17131"/>
    <cellStyle name="_입찰표지 _공내역서-창호_사본 - ☆태평동  도급내역 2" xfId="17132"/>
    <cellStyle name="_입찰표지 _공내역서-창호_성남태평동설비공사" xfId="17133"/>
    <cellStyle name="_입찰표지 _공내역서-창호_성남태평동설비공사 2" xfId="17134"/>
    <cellStyle name="_입찰표지 _공내역서-창호_수원율전 실행내역" xfId="17135"/>
    <cellStyle name="_입찰표지 _공내역서-창호_수원율전 실행내역 2" xfId="17136"/>
    <cellStyle name="_입찰표지 _공내역서-창호_수원율전 실행내역 검토안" xfId="17137"/>
    <cellStyle name="_입찰표지 _공내역서-창호_수원율전 실행내역 검토안 2" xfId="17138"/>
    <cellStyle name="_입찰표지 _공내역서-창호_수원율전 실행내역 검토안_사본 - ☆태평동  도급내역" xfId="17139"/>
    <cellStyle name="_입찰표지 _공내역서-창호_수원율전 실행내역 검토안_사본 - ☆태평동  도급내역 2" xfId="17140"/>
    <cellStyle name="_입찰표지 _공내역서-창호_수원율전 실행내역 검토안_성남태평동설비공사" xfId="17141"/>
    <cellStyle name="_입찰표지 _공내역서-창호_수원율전 실행내역 검토안_성남태평동설비공사 2" xfId="17142"/>
    <cellStyle name="_입찰표지 _공내역서-창호_수원율전 실행내역 검토안_수원율전 실행내역" xfId="17143"/>
    <cellStyle name="_입찰표지 _공내역서-창호_수원율전 실행내역 검토안_수원율전 실행내역 2" xfId="17144"/>
    <cellStyle name="_입찰표지 _공내역서-창호_수원율전 실행내역 검토안_수원율전 실행내역 검토안" xfId="17145"/>
    <cellStyle name="_입찰표지 _공내역서-창호_수원율전 실행내역 검토안_수원율전 실행내역 검토안 2" xfId="17146"/>
    <cellStyle name="_입찰표지 _공내역서-창호_수원율전 실행내역 검토안_수원율전 실행내역 검토안_사본 - ☆태평동  도급내역" xfId="17147"/>
    <cellStyle name="_입찰표지 _공내역서-창호_수원율전 실행내역 검토안_수원율전 실행내역 검토안_사본 - ☆태평동  도급내역 2" xfId="17148"/>
    <cellStyle name="_입찰표지 _공내역서-창호_수원율전 실행내역 검토안_수원율전 실행내역 검토안_성남태평동설비공사" xfId="17149"/>
    <cellStyle name="_입찰표지 _공내역서-창호_수원율전 실행내역 검토안_수원율전 실행내역 검토안_성남태평동설비공사 2" xfId="17150"/>
    <cellStyle name="_입찰표지 _공내역서-창호_수원율전 실행내역 검토안_수원율전 실행내역 검토안_수정구 태평동 주상복합 실행내역 검토안" xfId="17151"/>
    <cellStyle name="_입찰표지 _공내역서-창호_수원율전 실행내역 검토안_수원율전 실행내역 검토안_수정구 태평동 주상복합 실행내역 검토안 2" xfId="17152"/>
    <cellStyle name="_입찰표지 _공내역서-창호_수원율전 실행내역 검토안_수원율전 실행내역 검토안_태평동 실행내역서" xfId="17153"/>
    <cellStyle name="_입찰표지 _공내역서-창호_수원율전 실행내역 검토안_수원율전 실행내역 검토안_태평동 실행내역서 2" xfId="17154"/>
    <cellStyle name="_입찰표지 _공내역서-창호_수원율전 실행내역 검토안_수원율전 실행내역 검토안_태평동도급내역(Rev.2)-12.26" xfId="17155"/>
    <cellStyle name="_입찰표지 _공내역서-창호_수원율전 실행내역 검토안_수원율전 실행내역 검토안_태평동도급내역(Rev.2)-12.26 2" xfId="17156"/>
    <cellStyle name="_입찰표지 _공내역서-창호_수원율전 실행내역 검토안_수정구 태평동 주상복합 실행내역 검토안" xfId="17157"/>
    <cellStyle name="_입찰표지 _공내역서-창호_수원율전 실행내역 검토안_수정구 태평동 주상복합 실행내역 검토안 2" xfId="17158"/>
    <cellStyle name="_입찰표지 _공내역서-창호_수원율전 실행내역 검토안_태평동 실행내역서" xfId="17159"/>
    <cellStyle name="_입찰표지 _공내역서-창호_수원율전 실행내역 검토안_태평동 실행내역서 2" xfId="17160"/>
    <cellStyle name="_입찰표지 _공내역서-창호_수원율전 실행내역 검토안_태평동도급내역(Rev.2)-12.26" xfId="17161"/>
    <cellStyle name="_입찰표지 _공내역서-창호_수원율전 실행내역 검토안_태평동도급내역(Rev.2)-12.26 2" xfId="17162"/>
    <cellStyle name="_입찰표지 _공내역서-창호_수원율전조합" xfId="17163"/>
    <cellStyle name="_입찰표지 _공내역서-창호_수원율전조합 2" xfId="17164"/>
    <cellStyle name="_입찰표지 _공내역서-창호_수원율전조합_사본 - ☆태평동  도급내역" xfId="17165"/>
    <cellStyle name="_입찰표지 _공내역서-창호_수원율전조합_사본 - ☆태평동  도급내역 2" xfId="17166"/>
    <cellStyle name="_입찰표지 _공내역서-창호_수원율전조합_성남태평동설비공사" xfId="17167"/>
    <cellStyle name="_입찰표지 _공내역서-창호_수원율전조합_성남태평동설비공사 2" xfId="17168"/>
    <cellStyle name="_입찰표지 _공내역서-창호_수원율전조합_수원율전 실행내역" xfId="17169"/>
    <cellStyle name="_입찰표지 _공내역서-창호_수원율전조합_수원율전 실행내역 2" xfId="17170"/>
    <cellStyle name="_입찰표지 _공내역서-창호_수원율전조합_수원율전 실행내역 검토안" xfId="17171"/>
    <cellStyle name="_입찰표지 _공내역서-창호_수원율전조합_수원율전 실행내역 검토안 2" xfId="17172"/>
    <cellStyle name="_입찰표지 _공내역서-창호_수원율전조합_수원율전 실행내역 검토안_사본 - ☆태평동  도급내역" xfId="17173"/>
    <cellStyle name="_입찰표지 _공내역서-창호_수원율전조합_수원율전 실행내역 검토안_사본 - ☆태평동  도급내역 2" xfId="17174"/>
    <cellStyle name="_입찰표지 _공내역서-창호_수원율전조합_수원율전 실행내역 검토안_성남태평동설비공사" xfId="17175"/>
    <cellStyle name="_입찰표지 _공내역서-창호_수원율전조합_수원율전 실행내역 검토안_성남태평동설비공사 2" xfId="17176"/>
    <cellStyle name="_입찰표지 _공내역서-창호_수원율전조합_수원율전 실행내역 검토안_수정구 태평동 주상복합 실행내역 검토안" xfId="17177"/>
    <cellStyle name="_입찰표지 _공내역서-창호_수원율전조합_수원율전 실행내역 검토안_수정구 태평동 주상복합 실행내역 검토안 2" xfId="17178"/>
    <cellStyle name="_입찰표지 _공내역서-창호_수원율전조합_수원율전 실행내역 검토안_태평동 실행내역서" xfId="17179"/>
    <cellStyle name="_입찰표지 _공내역서-창호_수원율전조합_수원율전 실행내역 검토안_태평동 실행내역서 2" xfId="17180"/>
    <cellStyle name="_입찰표지 _공내역서-창호_수원율전조합_수원율전 실행내역 검토안_태평동도급내역(Rev.2)-12.26" xfId="17181"/>
    <cellStyle name="_입찰표지 _공내역서-창호_수원율전조합_수원율전 실행내역 검토안_태평동도급내역(Rev.2)-12.26 2" xfId="17182"/>
    <cellStyle name="_입찰표지 _공내역서-창호_수원율전조합_수정구 태평동 주상복합 실행내역 검토안" xfId="17183"/>
    <cellStyle name="_입찰표지 _공내역서-창호_수원율전조합_수정구 태평동 주상복합 실행내역 검토안 2" xfId="17184"/>
    <cellStyle name="_입찰표지 _공내역서-창호_수원율전조합_태평동 실행내역서" xfId="17185"/>
    <cellStyle name="_입찰표지 _공내역서-창호_수원율전조합_태평동 실행내역서 2" xfId="17186"/>
    <cellStyle name="_입찰표지 _공내역서-창호_수원율전조합_태평동도급내역(Rev.2)-12.26" xfId="17187"/>
    <cellStyle name="_입찰표지 _공내역서-창호_수원율전조합_태평동도급내역(Rev.2)-12.26 2" xfId="17188"/>
    <cellStyle name="_입찰표지 _공내역서-창호_수정구 태평동 주상복합 실행내역 검토안" xfId="17189"/>
    <cellStyle name="_입찰표지 _공내역서-창호_수정구 태평동 주상복합 실행내역 검토안 2" xfId="17190"/>
    <cellStyle name="_입찰표지 _공내역서-창호_태평동 실행내역서" xfId="17191"/>
    <cellStyle name="_입찰표지 _공내역서-창호_태평동 실행내역서 2" xfId="17192"/>
    <cellStyle name="_입찰표지 _공내역서-창호_태평동도급내역(Rev.2)-12.26" xfId="17193"/>
    <cellStyle name="_입찰표지 _공내역서-창호_태평동도급내역(Rev.2)-12.26 2" xfId="17194"/>
    <cellStyle name="_입찰표지 _공내역서-창호분개" xfId="17195"/>
    <cellStyle name="_입찰표지 _공내역서-창호분개 2" xfId="17196"/>
    <cellStyle name="_입찰표지 _공내역서-창호분개_사본 - ☆태평동  도급내역" xfId="17197"/>
    <cellStyle name="_입찰표지 _공내역서-창호분개_사본 - ☆태평동  도급내역 2" xfId="17198"/>
    <cellStyle name="_입찰표지 _공내역서-창호분개_성남태평동설비공사" xfId="17199"/>
    <cellStyle name="_입찰표지 _공내역서-창호분개_성남태평동설비공사 2" xfId="17200"/>
    <cellStyle name="_입찰표지 _공내역서-창호분개_수원율전 실행내역" xfId="17201"/>
    <cellStyle name="_입찰표지 _공내역서-창호분개_수원율전 실행내역 2" xfId="17202"/>
    <cellStyle name="_입찰표지 _공내역서-창호분개_수원율전 실행내역 검토안" xfId="17203"/>
    <cellStyle name="_입찰표지 _공내역서-창호분개_수원율전 실행내역 검토안 2" xfId="17204"/>
    <cellStyle name="_입찰표지 _공내역서-창호분개_수원율전 실행내역 검토안_사본 - ☆태평동  도급내역" xfId="17205"/>
    <cellStyle name="_입찰표지 _공내역서-창호분개_수원율전 실행내역 검토안_사본 - ☆태평동  도급내역 2" xfId="17206"/>
    <cellStyle name="_입찰표지 _공내역서-창호분개_수원율전 실행내역 검토안_성남태평동설비공사" xfId="17207"/>
    <cellStyle name="_입찰표지 _공내역서-창호분개_수원율전 실행내역 검토안_성남태평동설비공사 2" xfId="17208"/>
    <cellStyle name="_입찰표지 _공내역서-창호분개_수원율전 실행내역 검토안_수원율전 실행내역" xfId="17209"/>
    <cellStyle name="_입찰표지 _공내역서-창호분개_수원율전 실행내역 검토안_수원율전 실행내역 2" xfId="17210"/>
    <cellStyle name="_입찰표지 _공내역서-창호분개_수원율전 실행내역 검토안_수원율전 실행내역 검토안" xfId="17211"/>
    <cellStyle name="_입찰표지 _공내역서-창호분개_수원율전 실행내역 검토안_수원율전 실행내역 검토안 2" xfId="17212"/>
    <cellStyle name="_입찰표지 _공내역서-창호분개_수원율전 실행내역 검토안_수원율전 실행내역 검토안_사본 - ☆태평동  도급내역" xfId="17213"/>
    <cellStyle name="_입찰표지 _공내역서-창호분개_수원율전 실행내역 검토안_수원율전 실행내역 검토안_사본 - ☆태평동  도급내역 2" xfId="17214"/>
    <cellStyle name="_입찰표지 _공내역서-창호분개_수원율전 실행내역 검토안_수원율전 실행내역 검토안_성남태평동설비공사" xfId="17215"/>
    <cellStyle name="_입찰표지 _공내역서-창호분개_수원율전 실행내역 검토안_수원율전 실행내역 검토안_성남태평동설비공사 2" xfId="17216"/>
    <cellStyle name="_입찰표지 _공내역서-창호분개_수원율전 실행내역 검토안_수원율전 실행내역 검토안_수정구 태평동 주상복합 실행내역 검토안" xfId="17217"/>
    <cellStyle name="_입찰표지 _공내역서-창호분개_수원율전 실행내역 검토안_수원율전 실행내역 검토안_수정구 태평동 주상복합 실행내역 검토안 2" xfId="17218"/>
    <cellStyle name="_입찰표지 _공내역서-창호분개_수원율전 실행내역 검토안_수원율전 실행내역 검토안_태평동 실행내역서" xfId="17219"/>
    <cellStyle name="_입찰표지 _공내역서-창호분개_수원율전 실행내역 검토안_수원율전 실행내역 검토안_태평동 실행내역서 2" xfId="17220"/>
    <cellStyle name="_입찰표지 _공내역서-창호분개_수원율전 실행내역 검토안_수원율전 실행내역 검토안_태평동도급내역(Rev.2)-12.26" xfId="17221"/>
    <cellStyle name="_입찰표지 _공내역서-창호분개_수원율전 실행내역 검토안_수원율전 실행내역 검토안_태평동도급내역(Rev.2)-12.26 2" xfId="17222"/>
    <cellStyle name="_입찰표지 _공내역서-창호분개_수원율전 실행내역 검토안_수정구 태평동 주상복합 실행내역 검토안" xfId="17223"/>
    <cellStyle name="_입찰표지 _공내역서-창호분개_수원율전 실행내역 검토안_수정구 태평동 주상복합 실행내역 검토안 2" xfId="17224"/>
    <cellStyle name="_입찰표지 _공내역서-창호분개_수원율전 실행내역 검토안_태평동 실행내역서" xfId="17225"/>
    <cellStyle name="_입찰표지 _공내역서-창호분개_수원율전 실행내역 검토안_태평동 실행내역서 2" xfId="17226"/>
    <cellStyle name="_입찰표지 _공내역서-창호분개_수원율전 실행내역 검토안_태평동도급내역(Rev.2)-12.26" xfId="17227"/>
    <cellStyle name="_입찰표지 _공내역서-창호분개_수원율전 실행내역 검토안_태평동도급내역(Rev.2)-12.26 2" xfId="17228"/>
    <cellStyle name="_입찰표지 _공내역서-창호분개_수원율전조합" xfId="17229"/>
    <cellStyle name="_입찰표지 _공내역서-창호분개_수원율전조합 2" xfId="17230"/>
    <cellStyle name="_입찰표지 _공내역서-창호분개_수원율전조합_사본 - ☆태평동  도급내역" xfId="17231"/>
    <cellStyle name="_입찰표지 _공내역서-창호분개_수원율전조합_사본 - ☆태평동  도급내역 2" xfId="17232"/>
    <cellStyle name="_입찰표지 _공내역서-창호분개_수원율전조합_성남태평동설비공사" xfId="17233"/>
    <cellStyle name="_입찰표지 _공내역서-창호분개_수원율전조합_성남태평동설비공사 2" xfId="17234"/>
    <cellStyle name="_입찰표지 _공내역서-창호분개_수원율전조합_수원율전 실행내역" xfId="17235"/>
    <cellStyle name="_입찰표지 _공내역서-창호분개_수원율전조합_수원율전 실행내역 2" xfId="17236"/>
    <cellStyle name="_입찰표지 _공내역서-창호분개_수원율전조합_수원율전 실행내역 검토안" xfId="17237"/>
    <cellStyle name="_입찰표지 _공내역서-창호분개_수원율전조합_수원율전 실행내역 검토안 2" xfId="17238"/>
    <cellStyle name="_입찰표지 _공내역서-창호분개_수원율전조합_수원율전 실행내역 검토안_사본 - ☆태평동  도급내역" xfId="17239"/>
    <cellStyle name="_입찰표지 _공내역서-창호분개_수원율전조합_수원율전 실행내역 검토안_사본 - ☆태평동  도급내역 2" xfId="17240"/>
    <cellStyle name="_입찰표지 _공내역서-창호분개_수원율전조합_수원율전 실행내역 검토안_성남태평동설비공사" xfId="17241"/>
    <cellStyle name="_입찰표지 _공내역서-창호분개_수원율전조합_수원율전 실행내역 검토안_성남태평동설비공사 2" xfId="17242"/>
    <cellStyle name="_입찰표지 _공내역서-창호분개_수원율전조합_수원율전 실행내역 검토안_수정구 태평동 주상복합 실행내역 검토안" xfId="17243"/>
    <cellStyle name="_입찰표지 _공내역서-창호분개_수원율전조합_수원율전 실행내역 검토안_수정구 태평동 주상복합 실행내역 검토안 2" xfId="17244"/>
    <cellStyle name="_입찰표지 _공내역서-창호분개_수원율전조합_수원율전 실행내역 검토안_태평동 실행내역서" xfId="17245"/>
    <cellStyle name="_입찰표지 _공내역서-창호분개_수원율전조합_수원율전 실행내역 검토안_태평동 실행내역서 2" xfId="17246"/>
    <cellStyle name="_입찰표지 _공내역서-창호분개_수원율전조합_수원율전 실행내역 검토안_태평동도급내역(Rev.2)-12.26" xfId="17247"/>
    <cellStyle name="_입찰표지 _공내역서-창호분개_수원율전조합_수원율전 실행내역 검토안_태평동도급내역(Rev.2)-12.26 2" xfId="17248"/>
    <cellStyle name="_입찰표지 _공내역서-창호분개_수원율전조합_수정구 태평동 주상복합 실행내역 검토안" xfId="17249"/>
    <cellStyle name="_입찰표지 _공내역서-창호분개_수원율전조합_수정구 태평동 주상복합 실행내역 검토안 2" xfId="17250"/>
    <cellStyle name="_입찰표지 _공내역서-창호분개_수원율전조합_태평동 실행내역서" xfId="17251"/>
    <cellStyle name="_입찰표지 _공내역서-창호분개_수원율전조합_태평동 실행내역서 2" xfId="17252"/>
    <cellStyle name="_입찰표지 _공내역서-창호분개_수원율전조합_태평동도급내역(Rev.2)-12.26" xfId="17253"/>
    <cellStyle name="_입찰표지 _공내역서-창호분개_수원율전조합_태평동도급내역(Rev.2)-12.26 2" xfId="17254"/>
    <cellStyle name="_입찰표지 _공내역서-창호분개_수정구 태평동 주상복합 실행내역 검토안" xfId="17255"/>
    <cellStyle name="_입찰표지 _공내역서-창호분개_수정구 태평동 주상복합 실행내역 검토안 2" xfId="17256"/>
    <cellStyle name="_입찰표지 _공내역서-창호분개_태평동 실행내역서" xfId="17257"/>
    <cellStyle name="_입찰표지 _공내역서-창호분개_태평동 실행내역서 2" xfId="17258"/>
    <cellStyle name="_입찰표지 _공내역서-창호분개_태평동도급내역(Rev.2)-12.26" xfId="17259"/>
    <cellStyle name="_입찰표지 _공내역서-창호분개_태평동도급내역(Rev.2)-12.26 2" xfId="17260"/>
    <cellStyle name="_입찰표지 _공사개요" xfId="17325"/>
    <cellStyle name="_입찰표지 _공사개요 2" xfId="17326"/>
    <cellStyle name="_입찰표지 _공사개요_Book2" xfId="17327"/>
    <cellStyle name="_입찰표지 _공사개요_Book2 2" xfId="17328"/>
    <cellStyle name="_입찰표지 _공사개요_Book4" xfId="17329"/>
    <cellStyle name="_입찰표지 _공사개요_Book4 2" xfId="17330"/>
    <cellStyle name="_입찰표지 _내역(02.04.16)선우대교" xfId="17331"/>
    <cellStyle name="_입찰표지 _내역(02.04.16)선우대교_☆남악2-3공구가실행" xfId="17340"/>
    <cellStyle name="_입찰표지 _내역(02.04.16)선우대교_☆남악2-3공구가실행_3-1(금강)-여의도 세우회관 철거공사" xfId="17341"/>
    <cellStyle name="_입찰표지 _내역(02.04.16)선우대교_☆남악2-3공구가실행_3-1(금강)-여의도 세우회관 철거공사_24-1(동부)-두능-연곡 도로건설공사 중 기존교량철거" xfId="17342"/>
    <cellStyle name="_입찰표지 _내역(02.04.16)선우대교_☆남악2-3공구가실행_3-1(금강)-여의도 세우회관 철거공사_견적1" xfId="17343"/>
    <cellStyle name="_입찰표지 _내역(02.04.16)선우대교_☆남악2-3공구가실행_3-1(금강)-여의도 세우회관 철거공사_견적1_28-3-2 삼환-대한생명 63빌딩 현장 철거공사 (재노경)" xfId="17344"/>
    <cellStyle name="_입찰표지 _내역(02.04.16)선우대교_☆남악2-3공구가실행_8-2(삼성)-김해공항 국제청 화물청사 세관창고철거" xfId="17345"/>
    <cellStyle name="_입찰표지 _내역(02.04.16)선우대교_☆남악2-3공구가실행_8-2(삼성)-김해공항 국제청 화물청사 세관창고철거_24-1(동부)-두능-연곡 도로건설공사 중 기존교량철거" xfId="17346"/>
    <cellStyle name="_입찰표지 _내역(02.04.16)선우대교_☆남악2-3공구가실행_8-2(삼성)-김해공항 국제청 화물청사 세관창고철거_견적1" xfId="17347"/>
    <cellStyle name="_입찰표지 _내역(02.04.16)선우대교_☆남악2-3공구가실행_8-2(삼성)-김해공항 국제청 화물청사 세관창고철거_견적1_28-3-2 삼환-대한생명 63빌딩 현장 철거공사 (재노경)" xfId="17348"/>
    <cellStyle name="_입찰표지 _내역(02.04.16)선우대교_☆남악2-3공구가실행_견적1" xfId="17349"/>
    <cellStyle name="_입찰표지 _내역(02.04.16)선우대교_☆남악2-3공구가실행_견적1_28-3-2 삼환-대한생명 63빌딩 현장 철거공사 (재노경)" xfId="17350"/>
    <cellStyle name="_입찰표지 _내역(02.04.16)선우대교_☆남악2-3공구가실행_견적서" xfId="17351"/>
    <cellStyle name="_입찰표지 _내역(02.04.16)선우대교_☆남악2-3공구가실행_견적서_24-1(동부)-두능-연곡 도로건설공사 중 기존교량철거" xfId="17352"/>
    <cellStyle name="_입찰표지 _내역(02.04.16)선우대교_☆남악2-3공구가실행_견적서_견적1" xfId="17353"/>
    <cellStyle name="_입찰표지 _내역(02.04.16)선우대교_☆남악2-3공구가실행_견적서_견적1_28-3-2 삼환-대한생명 63빌딩 현장 철거공사 (재노경)" xfId="17354"/>
    <cellStyle name="_입찰표지 _내역(02.04.16)선우대교_3-1(금강)-여의도 세우회관 철거공사" xfId="17332"/>
    <cellStyle name="_입찰표지 _내역(02.04.16)선우대교_3-1(금강)-여의도 세우회관 철거공사_24-1(동부)-두능-연곡 도로건설공사 중 기존교량철거" xfId="17333"/>
    <cellStyle name="_입찰표지 _내역(02.04.16)선우대교_3-1(금강)-여의도 세우회관 철거공사_견적1" xfId="17334"/>
    <cellStyle name="_입찰표지 _내역(02.04.16)선우대교_3-1(금강)-여의도 세우회관 철거공사_견적1_28-3-2 삼환-대한생명 63빌딩 현장 철거공사 (재노경)" xfId="17335"/>
    <cellStyle name="_입찰표지 _내역(02.04.16)선우대교_8-2(삼성)-김해공항 국제청 화물청사 세관창고철거" xfId="17336"/>
    <cellStyle name="_입찰표지 _내역(02.04.16)선우대교_8-2(삼성)-김해공항 국제청 화물청사 세관창고철거_24-1(동부)-두능-연곡 도로건설공사 중 기존교량철거" xfId="17337"/>
    <cellStyle name="_입찰표지 _내역(02.04.16)선우대교_8-2(삼성)-김해공항 국제청 화물청사 세관창고철거_견적1" xfId="17338"/>
    <cellStyle name="_입찰표지 _내역(02.04.16)선우대교_8-2(삼성)-김해공항 국제청 화물청사 세관창고철거_견적1_28-3-2 삼환-대한생명 63빌딩 현장 철거공사 (재노경)" xfId="17339"/>
    <cellStyle name="_입찰표지 _내역(02.04.16)선우대교_견적1" xfId="17355"/>
    <cellStyle name="_입찰표지 _내역(02.04.16)선우대교_견적1_28-3-2 삼환-대한생명 63빌딩 현장 철거공사 (재노경)" xfId="17356"/>
    <cellStyle name="_입찰표지 _내역(02.04.16)선우대교_견적서" xfId="17357"/>
    <cellStyle name="_입찰표지 _내역(02.04.16)선우대교_견적서_24-1(동부)-두능-연곡 도로건설공사 중 기존교량철거" xfId="17358"/>
    <cellStyle name="_입찰표지 _내역(02.04.16)선우대교_견적서_견적1" xfId="17359"/>
    <cellStyle name="_입찰표지 _내역(02.04.16)선우대교_견적서_견적1_28-3-2 삼환-대한생명 63빌딩 현장 철거공사 (재노경)" xfId="17360"/>
    <cellStyle name="_입찰표지 _내역(02.04.17)선우대교" xfId="17361"/>
    <cellStyle name="_입찰표지 _내역(02.04.17)선우대교_☆남악2-3공구가실행" xfId="17370"/>
    <cellStyle name="_입찰표지 _내역(02.04.17)선우대교_☆남악2-3공구가실행_3-1(금강)-여의도 세우회관 철거공사" xfId="17371"/>
    <cellStyle name="_입찰표지 _내역(02.04.17)선우대교_☆남악2-3공구가실행_3-1(금강)-여의도 세우회관 철거공사_24-1(동부)-두능-연곡 도로건설공사 중 기존교량철거" xfId="17372"/>
    <cellStyle name="_입찰표지 _내역(02.04.17)선우대교_☆남악2-3공구가실행_3-1(금강)-여의도 세우회관 철거공사_견적1" xfId="17373"/>
    <cellStyle name="_입찰표지 _내역(02.04.17)선우대교_☆남악2-3공구가실행_3-1(금강)-여의도 세우회관 철거공사_견적1_28-3-2 삼환-대한생명 63빌딩 현장 철거공사 (재노경)" xfId="17374"/>
    <cellStyle name="_입찰표지 _내역(02.04.17)선우대교_☆남악2-3공구가실행_8-2(삼성)-김해공항 국제청 화물청사 세관창고철거" xfId="17375"/>
    <cellStyle name="_입찰표지 _내역(02.04.17)선우대교_☆남악2-3공구가실행_8-2(삼성)-김해공항 국제청 화물청사 세관창고철거_24-1(동부)-두능-연곡 도로건설공사 중 기존교량철거" xfId="17376"/>
    <cellStyle name="_입찰표지 _내역(02.04.17)선우대교_☆남악2-3공구가실행_8-2(삼성)-김해공항 국제청 화물청사 세관창고철거_견적1" xfId="17377"/>
    <cellStyle name="_입찰표지 _내역(02.04.17)선우대교_☆남악2-3공구가실행_8-2(삼성)-김해공항 국제청 화물청사 세관창고철거_견적1_28-3-2 삼환-대한생명 63빌딩 현장 철거공사 (재노경)" xfId="17378"/>
    <cellStyle name="_입찰표지 _내역(02.04.17)선우대교_☆남악2-3공구가실행_견적1" xfId="17379"/>
    <cellStyle name="_입찰표지 _내역(02.04.17)선우대교_☆남악2-3공구가실행_견적1_28-3-2 삼환-대한생명 63빌딩 현장 철거공사 (재노경)" xfId="17380"/>
    <cellStyle name="_입찰표지 _내역(02.04.17)선우대교_☆남악2-3공구가실행_견적서" xfId="17381"/>
    <cellStyle name="_입찰표지 _내역(02.04.17)선우대교_☆남악2-3공구가실행_견적서_24-1(동부)-두능-연곡 도로건설공사 중 기존교량철거" xfId="17382"/>
    <cellStyle name="_입찰표지 _내역(02.04.17)선우대교_☆남악2-3공구가실행_견적서_견적1" xfId="17383"/>
    <cellStyle name="_입찰표지 _내역(02.04.17)선우대교_☆남악2-3공구가실행_견적서_견적1_28-3-2 삼환-대한생명 63빌딩 현장 철거공사 (재노경)" xfId="17384"/>
    <cellStyle name="_입찰표지 _내역(02.04.17)선우대교_3-1(금강)-여의도 세우회관 철거공사" xfId="17362"/>
    <cellStyle name="_입찰표지 _내역(02.04.17)선우대교_3-1(금강)-여의도 세우회관 철거공사_24-1(동부)-두능-연곡 도로건설공사 중 기존교량철거" xfId="17363"/>
    <cellStyle name="_입찰표지 _내역(02.04.17)선우대교_3-1(금강)-여의도 세우회관 철거공사_견적1" xfId="17364"/>
    <cellStyle name="_입찰표지 _내역(02.04.17)선우대교_3-1(금강)-여의도 세우회관 철거공사_견적1_28-3-2 삼환-대한생명 63빌딩 현장 철거공사 (재노경)" xfId="17365"/>
    <cellStyle name="_입찰표지 _내역(02.04.17)선우대교_8-2(삼성)-김해공항 국제청 화물청사 세관창고철거" xfId="17366"/>
    <cellStyle name="_입찰표지 _내역(02.04.17)선우대교_8-2(삼성)-김해공항 국제청 화물청사 세관창고철거_24-1(동부)-두능-연곡 도로건설공사 중 기존교량철거" xfId="17367"/>
    <cellStyle name="_입찰표지 _내역(02.04.17)선우대교_8-2(삼성)-김해공항 국제청 화물청사 세관창고철거_견적1" xfId="17368"/>
    <cellStyle name="_입찰표지 _내역(02.04.17)선우대교_8-2(삼성)-김해공항 국제청 화물청사 세관창고철거_견적1_28-3-2 삼환-대한생명 63빌딩 현장 철거공사 (재노경)" xfId="17369"/>
    <cellStyle name="_입찰표지 _내역(02.04.17)선우대교_견적1" xfId="17385"/>
    <cellStyle name="_입찰표지 _내역(02.04.17)선우대교_견적1_28-3-2 삼환-대한생명 63빌딩 현장 철거공사 (재노경)" xfId="17386"/>
    <cellStyle name="_입찰표지 _내역(02.04.17)선우대교_견적서" xfId="17387"/>
    <cellStyle name="_입찰표지 _내역(02.04.17)선우대교_견적서_24-1(동부)-두능-연곡 도로건설공사 중 기존교량철거" xfId="17388"/>
    <cellStyle name="_입찰표지 _내역(02.04.17)선우대교_견적서_견적1" xfId="17389"/>
    <cellStyle name="_입찰표지 _내역(02.04.17)선우대교_견적서_견적1_28-3-2 삼환-대한생명 63빌딩 현장 철거공사 (재노경)" xfId="17390"/>
    <cellStyle name="_입찰표지 _내역(02.04.17)추모공원" xfId="17391"/>
    <cellStyle name="_입찰표지 _내역(02.04.17)추모공원_☆남악2-3공구가실행" xfId="17400"/>
    <cellStyle name="_입찰표지 _내역(02.04.17)추모공원_☆남악2-3공구가실행_3-1(금강)-여의도 세우회관 철거공사" xfId="17401"/>
    <cellStyle name="_입찰표지 _내역(02.04.17)추모공원_☆남악2-3공구가실행_3-1(금강)-여의도 세우회관 철거공사_24-1(동부)-두능-연곡 도로건설공사 중 기존교량철거" xfId="17402"/>
    <cellStyle name="_입찰표지 _내역(02.04.17)추모공원_☆남악2-3공구가실행_3-1(금강)-여의도 세우회관 철거공사_견적1" xfId="17403"/>
    <cellStyle name="_입찰표지 _내역(02.04.17)추모공원_☆남악2-3공구가실행_3-1(금강)-여의도 세우회관 철거공사_견적1_28-3-2 삼환-대한생명 63빌딩 현장 철거공사 (재노경)" xfId="17404"/>
    <cellStyle name="_입찰표지 _내역(02.04.17)추모공원_☆남악2-3공구가실행_8-2(삼성)-김해공항 국제청 화물청사 세관창고철거" xfId="17405"/>
    <cellStyle name="_입찰표지 _내역(02.04.17)추모공원_☆남악2-3공구가실행_8-2(삼성)-김해공항 국제청 화물청사 세관창고철거_24-1(동부)-두능-연곡 도로건설공사 중 기존교량철거" xfId="17406"/>
    <cellStyle name="_입찰표지 _내역(02.04.17)추모공원_☆남악2-3공구가실행_8-2(삼성)-김해공항 국제청 화물청사 세관창고철거_견적1" xfId="17407"/>
    <cellStyle name="_입찰표지 _내역(02.04.17)추모공원_☆남악2-3공구가실행_8-2(삼성)-김해공항 국제청 화물청사 세관창고철거_견적1_28-3-2 삼환-대한생명 63빌딩 현장 철거공사 (재노경)" xfId="17408"/>
    <cellStyle name="_입찰표지 _내역(02.04.17)추모공원_☆남악2-3공구가실행_견적1" xfId="17409"/>
    <cellStyle name="_입찰표지 _내역(02.04.17)추모공원_☆남악2-3공구가실행_견적1_28-3-2 삼환-대한생명 63빌딩 현장 철거공사 (재노경)" xfId="17410"/>
    <cellStyle name="_입찰표지 _내역(02.04.17)추모공원_☆남악2-3공구가실행_견적서" xfId="17411"/>
    <cellStyle name="_입찰표지 _내역(02.04.17)추모공원_☆남악2-3공구가실행_견적서_24-1(동부)-두능-연곡 도로건설공사 중 기존교량철거" xfId="17412"/>
    <cellStyle name="_입찰표지 _내역(02.04.17)추모공원_☆남악2-3공구가실행_견적서_견적1" xfId="17413"/>
    <cellStyle name="_입찰표지 _내역(02.04.17)추모공원_☆남악2-3공구가실행_견적서_견적1_28-3-2 삼환-대한생명 63빌딩 현장 철거공사 (재노경)" xfId="17414"/>
    <cellStyle name="_입찰표지 _내역(02.04.17)추모공원_3-1(금강)-여의도 세우회관 철거공사" xfId="17392"/>
    <cellStyle name="_입찰표지 _내역(02.04.17)추모공원_3-1(금강)-여의도 세우회관 철거공사_24-1(동부)-두능-연곡 도로건설공사 중 기존교량철거" xfId="17393"/>
    <cellStyle name="_입찰표지 _내역(02.04.17)추모공원_3-1(금강)-여의도 세우회관 철거공사_견적1" xfId="17394"/>
    <cellStyle name="_입찰표지 _내역(02.04.17)추모공원_3-1(금강)-여의도 세우회관 철거공사_견적1_28-3-2 삼환-대한생명 63빌딩 현장 철거공사 (재노경)" xfId="17395"/>
    <cellStyle name="_입찰표지 _내역(02.04.17)추모공원_8-2(삼성)-김해공항 국제청 화물청사 세관창고철거" xfId="17396"/>
    <cellStyle name="_입찰표지 _내역(02.04.17)추모공원_8-2(삼성)-김해공항 국제청 화물청사 세관창고철거_24-1(동부)-두능-연곡 도로건설공사 중 기존교량철거" xfId="17397"/>
    <cellStyle name="_입찰표지 _내역(02.04.17)추모공원_8-2(삼성)-김해공항 국제청 화물청사 세관창고철거_견적1" xfId="17398"/>
    <cellStyle name="_입찰표지 _내역(02.04.17)추모공원_8-2(삼성)-김해공항 국제청 화물청사 세관창고철거_견적1_28-3-2 삼환-대한생명 63빌딩 현장 철거공사 (재노경)" xfId="17399"/>
    <cellStyle name="_입찰표지 _내역(02.04.17)추모공원_견적1" xfId="17415"/>
    <cellStyle name="_입찰표지 _내역(02.04.17)추모공원_견적1_28-3-2 삼환-대한생명 63빌딩 현장 철거공사 (재노경)" xfId="17416"/>
    <cellStyle name="_입찰표지 _내역(02.04.17)추모공원_견적서" xfId="17417"/>
    <cellStyle name="_입찰표지 _내역(02.04.17)추모공원_견적서_24-1(동부)-두능-연곡 도로건설공사 중 기존교량철거" xfId="17418"/>
    <cellStyle name="_입찰표지 _내역(02.04.17)추모공원_견적서_견적1" xfId="17419"/>
    <cellStyle name="_입찰표지 _내역(02.04.17)추모공원_견적서_견적1_28-3-2 삼환-대한생명 63빌딩 현장 철거공사 (재노경)" xfId="17420"/>
    <cellStyle name="_입찰표지 _내역(02.09.30)신령-영천(2공구)" xfId="17421"/>
    <cellStyle name="_입찰표지 _내역(02.09.30)신령-영천(2공구)_☆남악2-3공구가실행" xfId="17430"/>
    <cellStyle name="_입찰표지 _내역(02.09.30)신령-영천(2공구)_☆남악2-3공구가실행_3-1(금강)-여의도 세우회관 철거공사" xfId="17431"/>
    <cellStyle name="_입찰표지 _내역(02.09.30)신령-영천(2공구)_☆남악2-3공구가실행_3-1(금강)-여의도 세우회관 철거공사_24-1(동부)-두능-연곡 도로건설공사 중 기존교량철거" xfId="17432"/>
    <cellStyle name="_입찰표지 _내역(02.09.30)신령-영천(2공구)_☆남악2-3공구가실행_3-1(금강)-여의도 세우회관 철거공사_견적1" xfId="17433"/>
    <cellStyle name="_입찰표지 _내역(02.09.30)신령-영천(2공구)_☆남악2-3공구가실행_3-1(금강)-여의도 세우회관 철거공사_견적1_28-3-2 삼환-대한생명 63빌딩 현장 철거공사 (재노경)" xfId="17434"/>
    <cellStyle name="_입찰표지 _내역(02.09.30)신령-영천(2공구)_☆남악2-3공구가실행_8-2(삼성)-김해공항 국제청 화물청사 세관창고철거" xfId="17435"/>
    <cellStyle name="_입찰표지 _내역(02.09.30)신령-영천(2공구)_☆남악2-3공구가실행_8-2(삼성)-김해공항 국제청 화물청사 세관창고철거_24-1(동부)-두능-연곡 도로건설공사 중 기존교량철거" xfId="17436"/>
    <cellStyle name="_입찰표지 _내역(02.09.30)신령-영천(2공구)_☆남악2-3공구가실행_8-2(삼성)-김해공항 국제청 화물청사 세관창고철거_견적1" xfId="17437"/>
    <cellStyle name="_입찰표지 _내역(02.09.30)신령-영천(2공구)_☆남악2-3공구가실행_8-2(삼성)-김해공항 국제청 화물청사 세관창고철거_견적1_28-3-2 삼환-대한생명 63빌딩 현장 철거공사 (재노경)" xfId="17438"/>
    <cellStyle name="_입찰표지 _내역(02.09.30)신령-영천(2공구)_☆남악2-3공구가실행_견적1" xfId="17439"/>
    <cellStyle name="_입찰표지 _내역(02.09.30)신령-영천(2공구)_☆남악2-3공구가실행_견적1_28-3-2 삼환-대한생명 63빌딩 현장 철거공사 (재노경)" xfId="17440"/>
    <cellStyle name="_입찰표지 _내역(02.09.30)신령-영천(2공구)_☆남악2-3공구가실행_견적서" xfId="17441"/>
    <cellStyle name="_입찰표지 _내역(02.09.30)신령-영천(2공구)_☆남악2-3공구가실행_견적서_24-1(동부)-두능-연곡 도로건설공사 중 기존교량철거" xfId="17442"/>
    <cellStyle name="_입찰표지 _내역(02.09.30)신령-영천(2공구)_☆남악2-3공구가실행_견적서_견적1" xfId="17443"/>
    <cellStyle name="_입찰표지 _내역(02.09.30)신령-영천(2공구)_☆남악2-3공구가실행_견적서_견적1_28-3-2 삼환-대한생명 63빌딩 현장 철거공사 (재노경)" xfId="17444"/>
    <cellStyle name="_입찰표지 _내역(02.09.30)신령-영천(2공구)_3-1(금강)-여의도 세우회관 철거공사" xfId="17422"/>
    <cellStyle name="_입찰표지 _내역(02.09.30)신령-영천(2공구)_3-1(금강)-여의도 세우회관 철거공사_24-1(동부)-두능-연곡 도로건설공사 중 기존교량철거" xfId="17423"/>
    <cellStyle name="_입찰표지 _내역(02.09.30)신령-영천(2공구)_3-1(금강)-여의도 세우회관 철거공사_견적1" xfId="17424"/>
    <cellStyle name="_입찰표지 _내역(02.09.30)신령-영천(2공구)_3-1(금강)-여의도 세우회관 철거공사_견적1_28-3-2 삼환-대한생명 63빌딩 현장 철거공사 (재노경)" xfId="17425"/>
    <cellStyle name="_입찰표지 _내역(02.09.30)신령-영천(2공구)_8-2(삼성)-김해공항 국제청 화물청사 세관창고철거" xfId="17426"/>
    <cellStyle name="_입찰표지 _내역(02.09.30)신령-영천(2공구)_8-2(삼성)-김해공항 국제청 화물청사 세관창고철거_24-1(동부)-두능-연곡 도로건설공사 중 기존교량철거" xfId="17427"/>
    <cellStyle name="_입찰표지 _내역(02.09.30)신령-영천(2공구)_8-2(삼성)-김해공항 국제청 화물청사 세관창고철거_견적1" xfId="17428"/>
    <cellStyle name="_입찰표지 _내역(02.09.30)신령-영천(2공구)_8-2(삼성)-김해공항 국제청 화물청사 세관창고철거_견적1_28-3-2 삼환-대한생명 63빌딩 현장 철거공사 (재노경)" xfId="17429"/>
    <cellStyle name="_입찰표지 _내역(02.09.30)신령-영천(2공구)_견적1" xfId="17445"/>
    <cellStyle name="_입찰표지 _내역(02.09.30)신령-영천(2공구)_견적1_28-3-2 삼환-대한생명 63빌딩 현장 철거공사 (재노경)" xfId="17446"/>
    <cellStyle name="_입찰표지 _내역(02.09.30)신령-영천(2공구)_견적서" xfId="17447"/>
    <cellStyle name="_입찰표지 _내역(02.09.30)신령-영천(2공구)_견적서_24-1(동부)-두능-연곡 도로건설공사 중 기존교량철거" xfId="17448"/>
    <cellStyle name="_입찰표지 _내역(02.09.30)신령-영천(2공구)_견적서_견적1" xfId="17449"/>
    <cellStyle name="_입찰표지 _내역(02.09.30)신령-영천(2공구)_견적서_견적1_28-3-2 삼환-대한생명 63빌딩 현장 철거공사 (재노경)" xfId="17450"/>
    <cellStyle name="_입찰표지 _내역(02.10.14)신령-영천(2공구)-0.3312" xfId="17451"/>
    <cellStyle name="_입찰표지 _내역(02.10.14)신령-영천(2공구)-0.3312_☆남악2-3공구가실행" xfId="17460"/>
    <cellStyle name="_입찰표지 _내역(02.10.14)신령-영천(2공구)-0.3312_☆남악2-3공구가실행_3-1(금강)-여의도 세우회관 철거공사" xfId="17461"/>
    <cellStyle name="_입찰표지 _내역(02.10.14)신령-영천(2공구)-0.3312_☆남악2-3공구가실행_3-1(금강)-여의도 세우회관 철거공사_24-1(동부)-두능-연곡 도로건설공사 중 기존교량철거" xfId="17462"/>
    <cellStyle name="_입찰표지 _내역(02.10.14)신령-영천(2공구)-0.3312_☆남악2-3공구가실행_3-1(금강)-여의도 세우회관 철거공사_견적1" xfId="17463"/>
    <cellStyle name="_입찰표지 _내역(02.10.14)신령-영천(2공구)-0.3312_☆남악2-3공구가실행_3-1(금강)-여의도 세우회관 철거공사_견적1_28-3-2 삼환-대한생명 63빌딩 현장 철거공사 (재노경)" xfId="17464"/>
    <cellStyle name="_입찰표지 _내역(02.10.14)신령-영천(2공구)-0.3312_☆남악2-3공구가실행_8-2(삼성)-김해공항 국제청 화물청사 세관창고철거" xfId="17465"/>
    <cellStyle name="_입찰표지 _내역(02.10.14)신령-영천(2공구)-0.3312_☆남악2-3공구가실행_8-2(삼성)-김해공항 국제청 화물청사 세관창고철거_24-1(동부)-두능-연곡 도로건설공사 중 기존교량철거" xfId="17466"/>
    <cellStyle name="_입찰표지 _내역(02.10.14)신령-영천(2공구)-0.3312_☆남악2-3공구가실행_8-2(삼성)-김해공항 국제청 화물청사 세관창고철거_견적1" xfId="17467"/>
    <cellStyle name="_입찰표지 _내역(02.10.14)신령-영천(2공구)-0.3312_☆남악2-3공구가실행_8-2(삼성)-김해공항 국제청 화물청사 세관창고철거_견적1_28-3-2 삼환-대한생명 63빌딩 현장 철거공사 (재노경)" xfId="17468"/>
    <cellStyle name="_입찰표지 _내역(02.10.14)신령-영천(2공구)-0.3312_☆남악2-3공구가실행_견적1" xfId="17469"/>
    <cellStyle name="_입찰표지 _내역(02.10.14)신령-영천(2공구)-0.3312_☆남악2-3공구가실행_견적1_28-3-2 삼환-대한생명 63빌딩 현장 철거공사 (재노경)" xfId="17470"/>
    <cellStyle name="_입찰표지 _내역(02.10.14)신령-영천(2공구)-0.3312_☆남악2-3공구가실행_견적서" xfId="17471"/>
    <cellStyle name="_입찰표지 _내역(02.10.14)신령-영천(2공구)-0.3312_☆남악2-3공구가실행_견적서_24-1(동부)-두능-연곡 도로건설공사 중 기존교량철거" xfId="17472"/>
    <cellStyle name="_입찰표지 _내역(02.10.14)신령-영천(2공구)-0.3312_☆남악2-3공구가실행_견적서_견적1" xfId="17473"/>
    <cellStyle name="_입찰표지 _내역(02.10.14)신령-영천(2공구)-0.3312_☆남악2-3공구가실행_견적서_견적1_28-3-2 삼환-대한생명 63빌딩 현장 철거공사 (재노경)" xfId="17474"/>
    <cellStyle name="_입찰표지 _내역(02.10.14)신령-영천(2공구)-0.3312_3-1(금강)-여의도 세우회관 철거공사" xfId="17452"/>
    <cellStyle name="_입찰표지 _내역(02.10.14)신령-영천(2공구)-0.3312_3-1(금강)-여의도 세우회관 철거공사_24-1(동부)-두능-연곡 도로건설공사 중 기존교량철거" xfId="17453"/>
    <cellStyle name="_입찰표지 _내역(02.10.14)신령-영천(2공구)-0.3312_3-1(금강)-여의도 세우회관 철거공사_견적1" xfId="17454"/>
    <cellStyle name="_입찰표지 _내역(02.10.14)신령-영천(2공구)-0.3312_3-1(금강)-여의도 세우회관 철거공사_견적1_28-3-2 삼환-대한생명 63빌딩 현장 철거공사 (재노경)" xfId="17455"/>
    <cellStyle name="_입찰표지 _내역(02.10.14)신령-영천(2공구)-0.3312_8-2(삼성)-김해공항 국제청 화물청사 세관창고철거" xfId="17456"/>
    <cellStyle name="_입찰표지 _내역(02.10.14)신령-영천(2공구)-0.3312_8-2(삼성)-김해공항 국제청 화물청사 세관창고철거_24-1(동부)-두능-연곡 도로건설공사 중 기존교량철거" xfId="17457"/>
    <cellStyle name="_입찰표지 _내역(02.10.14)신령-영천(2공구)-0.3312_8-2(삼성)-김해공항 국제청 화물청사 세관창고철거_견적1" xfId="17458"/>
    <cellStyle name="_입찰표지 _내역(02.10.14)신령-영천(2공구)-0.3312_8-2(삼성)-김해공항 국제청 화물청사 세관창고철거_견적1_28-3-2 삼환-대한생명 63빌딩 현장 철거공사 (재노경)" xfId="17459"/>
    <cellStyle name="_입찰표지 _내역(02.10.14)신령-영천(2공구)-0.3312_견적1" xfId="17475"/>
    <cellStyle name="_입찰표지 _내역(02.10.14)신령-영천(2공구)-0.3312_견적1_28-3-2 삼환-대한생명 63빌딩 현장 철거공사 (재노경)" xfId="17476"/>
    <cellStyle name="_입찰표지 _내역(02.10.14)신령-영천(2공구)-0.3312_견적서" xfId="17477"/>
    <cellStyle name="_입찰표지 _내역(02.10.14)신령-영천(2공구)-0.3312_견적서_24-1(동부)-두능-연곡 도로건설공사 중 기존교량철거" xfId="17478"/>
    <cellStyle name="_입찰표지 _내역(02.10.14)신령-영천(2공구)-0.3312_견적서_견적1" xfId="17479"/>
    <cellStyle name="_입찰표지 _내역(02.10.14)신령-영천(2공구)-0.3312_견적서_견적1_28-3-2 삼환-대한생명 63빌딩 현장 철거공사 (재노경)" xfId="17480"/>
    <cellStyle name="_입찰표지 _내역(02.11.07)강변북로(청담대교-성수대교)확장공사" xfId="17481"/>
    <cellStyle name="_입찰표지 _내역(02.11.07)강변북로(청담대교-성수대교)확장공사_☆남악2-3공구가실행" xfId="17490"/>
    <cellStyle name="_입찰표지 _내역(02.11.07)강변북로(청담대교-성수대교)확장공사_☆남악2-3공구가실행_3-1(금강)-여의도 세우회관 철거공사" xfId="17491"/>
    <cellStyle name="_입찰표지 _내역(02.11.07)강변북로(청담대교-성수대교)확장공사_☆남악2-3공구가실행_3-1(금강)-여의도 세우회관 철거공사_24-1(동부)-두능-연곡 도로건설공사 중 기존교량철거" xfId="17492"/>
    <cellStyle name="_입찰표지 _내역(02.11.07)강변북로(청담대교-성수대교)확장공사_☆남악2-3공구가실행_3-1(금강)-여의도 세우회관 철거공사_견적1" xfId="17493"/>
    <cellStyle name="_입찰표지 _내역(02.11.07)강변북로(청담대교-성수대교)확장공사_☆남악2-3공구가실행_3-1(금강)-여의도 세우회관 철거공사_견적1_28-3-2 삼환-대한생명 63빌딩 현장 철거공사 (재노경)" xfId="17494"/>
    <cellStyle name="_입찰표지 _내역(02.11.07)강변북로(청담대교-성수대교)확장공사_☆남악2-3공구가실행_8-2(삼성)-김해공항 국제청 화물청사 세관창고철거" xfId="17495"/>
    <cellStyle name="_입찰표지 _내역(02.11.07)강변북로(청담대교-성수대교)확장공사_☆남악2-3공구가실행_8-2(삼성)-김해공항 국제청 화물청사 세관창고철거_24-1(동부)-두능-연곡 도로건설공사 중 기존교량철거" xfId="17496"/>
    <cellStyle name="_입찰표지 _내역(02.11.07)강변북로(청담대교-성수대교)확장공사_☆남악2-3공구가실행_8-2(삼성)-김해공항 국제청 화물청사 세관창고철거_견적1" xfId="17497"/>
    <cellStyle name="_입찰표지 _내역(02.11.07)강변북로(청담대교-성수대교)확장공사_☆남악2-3공구가실행_8-2(삼성)-김해공항 국제청 화물청사 세관창고철거_견적1_28-3-2 삼환-대한생명 63빌딩 현장 철거공사 (재노경)" xfId="17498"/>
    <cellStyle name="_입찰표지 _내역(02.11.07)강변북로(청담대교-성수대교)확장공사_☆남악2-3공구가실행_견적1" xfId="17499"/>
    <cellStyle name="_입찰표지 _내역(02.11.07)강변북로(청담대교-성수대교)확장공사_☆남악2-3공구가실행_견적1_28-3-2 삼환-대한생명 63빌딩 현장 철거공사 (재노경)" xfId="17500"/>
    <cellStyle name="_입찰표지 _내역(02.11.07)강변북로(청담대교-성수대교)확장공사_☆남악2-3공구가실행_견적서" xfId="17501"/>
    <cellStyle name="_입찰표지 _내역(02.11.07)강변북로(청담대교-성수대교)확장공사_☆남악2-3공구가실행_견적서_24-1(동부)-두능-연곡 도로건설공사 중 기존교량철거" xfId="17502"/>
    <cellStyle name="_입찰표지 _내역(02.11.07)강변북로(청담대교-성수대교)확장공사_☆남악2-3공구가실행_견적서_견적1" xfId="17503"/>
    <cellStyle name="_입찰표지 _내역(02.11.07)강변북로(청담대교-성수대교)확장공사_☆남악2-3공구가실행_견적서_견적1_28-3-2 삼환-대한생명 63빌딩 현장 철거공사 (재노경)" xfId="17504"/>
    <cellStyle name="_입찰표지 _내역(02.11.07)강변북로(청담대교-성수대교)확장공사_3-1(금강)-여의도 세우회관 철거공사" xfId="17482"/>
    <cellStyle name="_입찰표지 _내역(02.11.07)강변북로(청담대교-성수대교)확장공사_3-1(금강)-여의도 세우회관 철거공사_24-1(동부)-두능-연곡 도로건설공사 중 기존교량철거" xfId="17483"/>
    <cellStyle name="_입찰표지 _내역(02.11.07)강변북로(청담대교-성수대교)확장공사_3-1(금강)-여의도 세우회관 철거공사_견적1" xfId="17484"/>
    <cellStyle name="_입찰표지 _내역(02.11.07)강변북로(청담대교-성수대교)확장공사_3-1(금강)-여의도 세우회관 철거공사_견적1_28-3-2 삼환-대한생명 63빌딩 현장 철거공사 (재노경)" xfId="17485"/>
    <cellStyle name="_입찰표지 _내역(02.11.07)강변북로(청담대교-성수대교)확장공사_8-2(삼성)-김해공항 국제청 화물청사 세관창고철거" xfId="17486"/>
    <cellStyle name="_입찰표지 _내역(02.11.07)강변북로(청담대교-성수대교)확장공사_8-2(삼성)-김해공항 국제청 화물청사 세관창고철거_24-1(동부)-두능-연곡 도로건설공사 중 기존교량철거" xfId="17487"/>
    <cellStyle name="_입찰표지 _내역(02.11.07)강변북로(청담대교-성수대교)확장공사_8-2(삼성)-김해공항 국제청 화물청사 세관창고철거_견적1" xfId="17488"/>
    <cellStyle name="_입찰표지 _내역(02.11.07)강변북로(청담대교-성수대교)확장공사_8-2(삼성)-김해공항 국제청 화물청사 세관창고철거_견적1_28-3-2 삼환-대한생명 63빌딩 현장 철거공사 (재노경)" xfId="17489"/>
    <cellStyle name="_입찰표지 _내역(02.11.07)강변북로(청담대교-성수대교)확장공사_견적1" xfId="17505"/>
    <cellStyle name="_입찰표지 _내역(02.11.07)강변북로(청담대교-성수대교)확장공사_견적1_28-3-2 삼환-대한생명 63빌딩 현장 철거공사 (재노경)" xfId="17506"/>
    <cellStyle name="_입찰표지 _내역(02.11.07)강변북로(청담대교-성수대교)확장공사_견적서" xfId="17507"/>
    <cellStyle name="_입찰표지 _내역(02.11.07)강변북로(청담대교-성수대교)확장공사_견적서_24-1(동부)-두능-연곡 도로건설공사 중 기존교량철거" xfId="17508"/>
    <cellStyle name="_입찰표지 _내역(02.11.07)강변북로(청담대교-성수대교)확장공사_견적서_견적1" xfId="17509"/>
    <cellStyle name="_입찰표지 _내역(02.11.07)강변북로(청담대교-성수대교)확장공사_견적서_견적1_28-3-2 삼환-대한생명 63빌딩 현장 철거공사 (재노경)" xfId="17510"/>
    <cellStyle name="_입찰표지 _내역(02.11.27)무안~광주간 건설공사(제2공구)투찰" xfId="17511"/>
    <cellStyle name="_입찰표지 _내역(02.11.27)무안~광주간 건설공사(제2공구)투찰_☆남악2-3공구가실행" xfId="17520"/>
    <cellStyle name="_입찰표지 _내역(02.11.27)무안~광주간 건설공사(제2공구)투찰_☆남악2-3공구가실행_3-1(금강)-여의도 세우회관 철거공사" xfId="17521"/>
    <cellStyle name="_입찰표지 _내역(02.11.27)무안~광주간 건설공사(제2공구)투찰_☆남악2-3공구가실행_3-1(금강)-여의도 세우회관 철거공사_24-1(동부)-두능-연곡 도로건설공사 중 기존교량철거" xfId="17522"/>
    <cellStyle name="_입찰표지 _내역(02.11.27)무안~광주간 건설공사(제2공구)투찰_☆남악2-3공구가실행_3-1(금강)-여의도 세우회관 철거공사_견적1" xfId="17523"/>
    <cellStyle name="_입찰표지 _내역(02.11.27)무안~광주간 건설공사(제2공구)투찰_☆남악2-3공구가실행_3-1(금강)-여의도 세우회관 철거공사_견적1_28-3-2 삼환-대한생명 63빌딩 현장 철거공사 (재노경)" xfId="17524"/>
    <cellStyle name="_입찰표지 _내역(02.11.27)무안~광주간 건설공사(제2공구)투찰_☆남악2-3공구가실행_8-2(삼성)-김해공항 국제청 화물청사 세관창고철거" xfId="17525"/>
    <cellStyle name="_입찰표지 _내역(02.11.27)무안~광주간 건설공사(제2공구)투찰_☆남악2-3공구가실행_8-2(삼성)-김해공항 국제청 화물청사 세관창고철거_24-1(동부)-두능-연곡 도로건설공사 중 기존교량철거" xfId="17526"/>
    <cellStyle name="_입찰표지 _내역(02.11.27)무안~광주간 건설공사(제2공구)투찰_☆남악2-3공구가실행_8-2(삼성)-김해공항 국제청 화물청사 세관창고철거_견적1" xfId="17527"/>
    <cellStyle name="_입찰표지 _내역(02.11.27)무안~광주간 건설공사(제2공구)투찰_☆남악2-3공구가실행_8-2(삼성)-김해공항 국제청 화물청사 세관창고철거_견적1_28-3-2 삼환-대한생명 63빌딩 현장 철거공사 (재노경)" xfId="17528"/>
    <cellStyle name="_입찰표지 _내역(02.11.27)무안~광주간 건설공사(제2공구)투찰_☆남악2-3공구가실행_견적1" xfId="17529"/>
    <cellStyle name="_입찰표지 _내역(02.11.27)무안~광주간 건설공사(제2공구)투찰_☆남악2-3공구가실행_견적1_28-3-2 삼환-대한생명 63빌딩 현장 철거공사 (재노경)" xfId="17530"/>
    <cellStyle name="_입찰표지 _내역(02.11.27)무안~광주간 건설공사(제2공구)투찰_☆남악2-3공구가실행_견적서" xfId="17531"/>
    <cellStyle name="_입찰표지 _내역(02.11.27)무안~광주간 건설공사(제2공구)투찰_☆남악2-3공구가실행_견적서_24-1(동부)-두능-연곡 도로건설공사 중 기존교량철거" xfId="17532"/>
    <cellStyle name="_입찰표지 _내역(02.11.27)무안~광주간 건설공사(제2공구)투찰_☆남악2-3공구가실행_견적서_견적1" xfId="17533"/>
    <cellStyle name="_입찰표지 _내역(02.11.27)무안~광주간 건설공사(제2공구)투찰_☆남악2-3공구가실행_견적서_견적1_28-3-2 삼환-대한생명 63빌딩 현장 철거공사 (재노경)" xfId="17534"/>
    <cellStyle name="_입찰표지 _내역(02.11.27)무안~광주간 건설공사(제2공구)투찰_3-1(금강)-여의도 세우회관 철거공사" xfId="17512"/>
    <cellStyle name="_입찰표지 _내역(02.11.27)무안~광주간 건설공사(제2공구)투찰_3-1(금강)-여의도 세우회관 철거공사_24-1(동부)-두능-연곡 도로건설공사 중 기존교량철거" xfId="17513"/>
    <cellStyle name="_입찰표지 _내역(02.11.27)무안~광주간 건설공사(제2공구)투찰_3-1(금강)-여의도 세우회관 철거공사_견적1" xfId="17514"/>
    <cellStyle name="_입찰표지 _내역(02.11.27)무안~광주간 건설공사(제2공구)투찰_3-1(금강)-여의도 세우회관 철거공사_견적1_28-3-2 삼환-대한생명 63빌딩 현장 철거공사 (재노경)" xfId="17515"/>
    <cellStyle name="_입찰표지 _내역(02.11.27)무안~광주간 건설공사(제2공구)투찰_8-2(삼성)-김해공항 국제청 화물청사 세관창고철거" xfId="17516"/>
    <cellStyle name="_입찰표지 _내역(02.11.27)무안~광주간 건설공사(제2공구)투찰_8-2(삼성)-김해공항 국제청 화물청사 세관창고철거_24-1(동부)-두능-연곡 도로건설공사 중 기존교량철거" xfId="17517"/>
    <cellStyle name="_입찰표지 _내역(02.11.27)무안~광주간 건설공사(제2공구)투찰_8-2(삼성)-김해공항 국제청 화물청사 세관창고철거_견적1" xfId="17518"/>
    <cellStyle name="_입찰표지 _내역(02.11.27)무안~광주간 건설공사(제2공구)투찰_8-2(삼성)-김해공항 국제청 화물청사 세관창고철거_견적1_28-3-2 삼환-대한생명 63빌딩 현장 철거공사 (재노경)" xfId="17519"/>
    <cellStyle name="_입찰표지 _내역(02.11.27)무안~광주간 건설공사(제2공구)투찰_견적1" xfId="17535"/>
    <cellStyle name="_입찰표지 _내역(02.11.27)무안~광주간 건설공사(제2공구)투찰_견적1_28-3-2 삼환-대한생명 63빌딩 현장 철거공사 (재노경)" xfId="17536"/>
    <cellStyle name="_입찰표지 _내역(02.11.27)무안~광주간 건설공사(제2공구)투찰_견적서" xfId="17537"/>
    <cellStyle name="_입찰표지 _내역(02.11.27)무안~광주간 건설공사(제2공구)투찰_견적서_24-1(동부)-두능-연곡 도로건설공사 중 기존교량철거" xfId="17538"/>
    <cellStyle name="_입찰표지 _내역(02.11.27)무안~광주간 건설공사(제2공구)투찰_견적서_견적1" xfId="17539"/>
    <cellStyle name="_입찰표지 _내역(02.11.27)무안~광주간 건설공사(제2공구)투찰_견적서_견적1_28-3-2 삼환-대한생명 63빌딩 현장 철거공사 (재노경)" xfId="17540"/>
    <cellStyle name="_입찰표지 _내역서(건설사)" xfId="17541"/>
    <cellStyle name="_입찰표지 _내역서(건설사) 2" xfId="17542"/>
    <cellStyle name="_입찰표지 _내역서(작업)" xfId="17543"/>
    <cellStyle name="_입찰표지 _내역서(작업) 2" xfId="17544"/>
    <cellStyle name="_입찰표지 _내역서(최초)" xfId="17545"/>
    <cellStyle name="_입찰표지 _내역서(최초) 2" xfId="17546"/>
    <cellStyle name="_입찰표지 _대안투찰내역(0221)" xfId="17547"/>
    <cellStyle name="_입찰표지 _대안투찰내역(0221)_3-1(금강)-여의도 세우회관 철거공사" xfId="17548"/>
    <cellStyle name="_입찰표지 _대안투찰내역(0221)_3-1(금강)-여의도 세우회관 철거공사_24-1(동부)-두능-연곡 도로건설공사 중 기존교량철거" xfId="17549"/>
    <cellStyle name="_입찰표지 _대안투찰내역(0221)_3-1(금강)-여의도 세우회관 철거공사_견적1" xfId="17550"/>
    <cellStyle name="_입찰표지 _대안투찰내역(0221)_3-1(금강)-여의도 세우회관 철거공사_견적1_28-3-2 삼환-대한생명 63빌딩 현장 철거공사 (재노경)" xfId="17551"/>
    <cellStyle name="_입찰표지 _대안투찰내역(0221)_8-2(삼성)-김해공항 국제청 화물청사 세관창고철거" xfId="17552"/>
    <cellStyle name="_입찰표지 _대안투찰내역(0221)_8-2(삼성)-김해공항 국제청 화물청사 세관창고철거_24-1(동부)-두능-연곡 도로건설공사 중 기존교량철거" xfId="17553"/>
    <cellStyle name="_입찰표지 _대안투찰내역(0221)_8-2(삼성)-김해공항 국제청 화물청사 세관창고철거_견적1" xfId="17554"/>
    <cellStyle name="_입찰표지 _대안투찰내역(0221)_8-2(삼성)-김해공항 국제청 화물청사 세관창고철거_견적1_28-3-2 삼환-대한생명 63빌딩 현장 철거공사 (재노경)" xfId="17555"/>
    <cellStyle name="_입찰표지 _대안투찰내역(0221)_견적1" xfId="17556"/>
    <cellStyle name="_입찰표지 _대안투찰내역(0221)_견적1_28-3-2 삼환-대한생명 63빌딩 현장 철거공사 (재노경)" xfId="17557"/>
    <cellStyle name="_입찰표지 _대안투찰내역(0221)_견적서" xfId="17558"/>
    <cellStyle name="_입찰표지 _대안투찰내역(0221)_견적서_24-1(동부)-두능-연곡 도로건설공사 중 기존교량철거" xfId="17559"/>
    <cellStyle name="_입찰표지 _대안투찰내역(0221)_견적서_견적1" xfId="17560"/>
    <cellStyle name="_입찰표지 _대안투찰내역(0221)_견적서_견적1_28-3-2 삼환-대한생명 63빌딩 현장 철거공사 (재노경)" xfId="17561"/>
    <cellStyle name="_입찰표지 _대안투찰내역(0223)" xfId="17562"/>
    <cellStyle name="_입찰표지 _대안투찰내역(0223)_3-1(금강)-여의도 세우회관 철거공사" xfId="17563"/>
    <cellStyle name="_입찰표지 _대안투찰내역(0223)_3-1(금강)-여의도 세우회관 철거공사_24-1(동부)-두능-연곡 도로건설공사 중 기존교량철거" xfId="17564"/>
    <cellStyle name="_입찰표지 _대안투찰내역(0223)_3-1(금강)-여의도 세우회관 철거공사_견적1" xfId="17565"/>
    <cellStyle name="_입찰표지 _대안투찰내역(0223)_3-1(금강)-여의도 세우회관 철거공사_견적1_28-3-2 삼환-대한생명 63빌딩 현장 철거공사 (재노경)" xfId="17566"/>
    <cellStyle name="_입찰표지 _대안투찰내역(0223)_8-2(삼성)-김해공항 국제청 화물청사 세관창고철거" xfId="17567"/>
    <cellStyle name="_입찰표지 _대안투찰내역(0223)_8-2(삼성)-김해공항 국제청 화물청사 세관창고철거_24-1(동부)-두능-연곡 도로건설공사 중 기존교량철거" xfId="17568"/>
    <cellStyle name="_입찰표지 _대안투찰내역(0223)_8-2(삼성)-김해공항 국제청 화물청사 세관창고철거_견적1" xfId="17569"/>
    <cellStyle name="_입찰표지 _대안투찰내역(0223)_8-2(삼성)-김해공항 국제청 화물청사 세관창고철거_견적1_28-3-2 삼환-대한생명 63빌딩 현장 철거공사 (재노경)" xfId="17570"/>
    <cellStyle name="_입찰표지 _대안투찰내역(0223)_견적1" xfId="17571"/>
    <cellStyle name="_입찰표지 _대안투찰내역(0223)_견적1_28-3-2 삼환-대한생명 63빌딩 현장 철거공사 (재노경)" xfId="17572"/>
    <cellStyle name="_입찰표지 _대안투찰내역(0223)_견적서" xfId="17573"/>
    <cellStyle name="_입찰표지 _대안투찰내역(0223)_견적서_24-1(동부)-두능-연곡 도로건설공사 중 기존교량철거" xfId="17574"/>
    <cellStyle name="_입찰표지 _대안투찰내역(0223)_견적서_견적1" xfId="17575"/>
    <cellStyle name="_입찰표지 _대안투찰내역(0223)_견적서_견적1_28-3-2 삼환-대한생명 63빌딩 현장 철거공사 (재노경)" xfId="17576"/>
    <cellStyle name="_입찰표지 _대안투찰내역(확정본0226)" xfId="17577"/>
    <cellStyle name="_입찰표지 _대안투찰내역(확정본0226)_3-1(금강)-여의도 세우회관 철거공사" xfId="17578"/>
    <cellStyle name="_입찰표지 _대안투찰내역(확정본0226)_3-1(금강)-여의도 세우회관 철거공사_24-1(동부)-두능-연곡 도로건설공사 중 기존교량철거" xfId="17579"/>
    <cellStyle name="_입찰표지 _대안투찰내역(확정본0226)_3-1(금강)-여의도 세우회관 철거공사_견적1" xfId="17580"/>
    <cellStyle name="_입찰표지 _대안투찰내역(확정본0226)_3-1(금강)-여의도 세우회관 철거공사_견적1_28-3-2 삼환-대한생명 63빌딩 현장 철거공사 (재노경)" xfId="17581"/>
    <cellStyle name="_입찰표지 _대안투찰내역(확정본0226)_8-2(삼성)-김해공항 국제청 화물청사 세관창고철거" xfId="17582"/>
    <cellStyle name="_입찰표지 _대안투찰내역(확정본0226)_8-2(삼성)-김해공항 국제청 화물청사 세관창고철거_24-1(동부)-두능-연곡 도로건설공사 중 기존교량철거" xfId="17583"/>
    <cellStyle name="_입찰표지 _대안투찰내역(확정본0226)_8-2(삼성)-김해공항 국제청 화물청사 세관창고철거_견적1" xfId="17584"/>
    <cellStyle name="_입찰표지 _대안투찰내역(확정본0226)_8-2(삼성)-김해공항 국제청 화물청사 세관창고철거_견적1_28-3-2 삼환-대한생명 63빌딩 현장 철거공사 (재노경)" xfId="17585"/>
    <cellStyle name="_입찰표지 _대안투찰내역(확정본0226)_견적1" xfId="17586"/>
    <cellStyle name="_입찰표지 _대안투찰내역(확정본0226)_견적1_28-3-2 삼환-대한생명 63빌딩 현장 철거공사 (재노경)" xfId="17587"/>
    <cellStyle name="_입찰표지 _대안투찰내역(확정본0226)_견적서" xfId="17588"/>
    <cellStyle name="_입찰표지 _대안투찰내역(확정본0226)_견적서_24-1(동부)-두능-연곡 도로건설공사 중 기존교량철거" xfId="17589"/>
    <cellStyle name="_입찰표지 _대안투찰내역(확정본0226)_견적서_견적1" xfId="17590"/>
    <cellStyle name="_입찰표지 _대안투찰내역(확정본0226)_견적서_견적1_28-3-2 삼환-대한생명 63빌딩 현장 철거공사 (재노경)" xfId="17591"/>
    <cellStyle name="_입찰표지 _도급내역서(01년1월)" xfId="17592"/>
    <cellStyle name="_입찰표지 _도급내역서(01년1월) 2" xfId="17593"/>
    <cellStyle name="_입찰표지 _도급내역서(최종)" xfId="17594"/>
    <cellStyle name="_입찰표지 _도급내역서(최종) 2" xfId="17595"/>
    <cellStyle name="_입찰표지 _도급실행0211" xfId="17596"/>
    <cellStyle name="_입찰표지 _도급실행0211_3-1(금강)-여의도 세우회관 철거공사" xfId="17597"/>
    <cellStyle name="_입찰표지 _도급실행0211_3-1(금강)-여의도 세우회관 철거공사_24-1(동부)-두능-연곡 도로건설공사 중 기존교량철거" xfId="17598"/>
    <cellStyle name="_입찰표지 _도급실행0211_3-1(금강)-여의도 세우회관 철거공사_견적1" xfId="17599"/>
    <cellStyle name="_입찰표지 _도급실행0211_3-1(금강)-여의도 세우회관 철거공사_견적1_28-3-2 삼환-대한생명 63빌딩 현장 철거공사 (재노경)" xfId="17600"/>
    <cellStyle name="_입찰표지 _도급실행0211_8-2(삼성)-김해공항 국제청 화물청사 세관창고철거" xfId="17601"/>
    <cellStyle name="_입찰표지 _도급실행0211_8-2(삼성)-김해공항 국제청 화물청사 세관창고철거_24-1(동부)-두능-연곡 도로건설공사 중 기존교량철거" xfId="17602"/>
    <cellStyle name="_입찰표지 _도급실행0211_8-2(삼성)-김해공항 국제청 화물청사 세관창고철거_견적1" xfId="17603"/>
    <cellStyle name="_입찰표지 _도급실행0211_8-2(삼성)-김해공항 국제청 화물청사 세관창고철거_견적1_28-3-2 삼환-대한생명 63빌딩 현장 철거공사 (재노경)" xfId="17604"/>
    <cellStyle name="_입찰표지 _도급실행0211_견적1" xfId="17605"/>
    <cellStyle name="_입찰표지 _도급실행0211_견적1_28-3-2 삼환-대한생명 63빌딩 현장 철거공사 (재노경)" xfId="17606"/>
    <cellStyle name="_입찰표지 _도급실행0211_견적서" xfId="17607"/>
    <cellStyle name="_입찰표지 _도급실행0211_견적서_24-1(동부)-두능-연곡 도로건설공사 중 기존교량철거" xfId="17608"/>
    <cellStyle name="_입찰표지 _도급실행0211_견적서_견적1" xfId="17609"/>
    <cellStyle name="_입찰표지 _도급실행0211_견적서_견적1_28-3-2 삼환-대한생명 63빌딩 현장 철거공사 (재노경)" xfId="17610"/>
    <cellStyle name="_입찰표지 _두산산업개발 입찰견적" xfId="17611"/>
    <cellStyle name="_입찰표지 _두산산업개발 입찰견적 2" xfId="17612"/>
    <cellStyle name="_입찰표지 _두산중공업 입찰견적" xfId="17613"/>
    <cellStyle name="_입찰표지 _두산중공업 입찰견적 2" xfId="17614"/>
    <cellStyle name="_입찰표지 _롯데마그넷(오산점)" xfId="17615"/>
    <cellStyle name="_입찰표지 _롯데마그넷(오산점) 2" xfId="17616"/>
    <cellStyle name="_입찰표지 _롯데마그넷(오산점)_내역서(건설사)" xfId="17617"/>
    <cellStyle name="_입찰표지 _롯데마그넷(오산점)_내역서(건설사) 2" xfId="17618"/>
    <cellStyle name="_입찰표지 _롯데마그넷(오산점)_내역서(작업)" xfId="17619"/>
    <cellStyle name="_입찰표지 _롯데마그넷(오산점)_내역서(작업) 2" xfId="17620"/>
    <cellStyle name="_입찰표지 _롯데마그넷(오산점)_통영점공조및위생" xfId="17621"/>
    <cellStyle name="_입찰표지 _롯데마그넷(오산점)_통영점공조및위생 2" xfId="17622"/>
    <cellStyle name="_입찰표지 _롯데마그넷(오산점)_통영점공조및위생_내역서(건설사)" xfId="17623"/>
    <cellStyle name="_입찰표지 _롯데마그넷(오산점)_통영점공조및위생_내역서(건설사) 2" xfId="17624"/>
    <cellStyle name="_입찰표지 _롯데마그넷(오산점)_통영점공조및위생_내역서(작업)" xfId="17625"/>
    <cellStyle name="_입찰표지 _롯데마그넷(오산점)_통영점공조및위생_내역서(작업) 2" xfId="17626"/>
    <cellStyle name="_입찰표지 _마그넷오산점내역(020320)" xfId="17627"/>
    <cellStyle name="_입찰표지 _마그넷오산점내역(020320) 2" xfId="17628"/>
    <cellStyle name="_입찰표지 _마그넷오산점내역(020320)_내역서(건설사)" xfId="17629"/>
    <cellStyle name="_입찰표지 _마그넷오산점내역(020320)_내역서(건설사) 2" xfId="17630"/>
    <cellStyle name="_입찰표지 _마그넷오산점내역(020320)_내역서(작업)" xfId="17631"/>
    <cellStyle name="_입찰표지 _마그넷오산점내역(020320)_내역서(작업) 2" xfId="17632"/>
    <cellStyle name="_입찰표지 _마그넷오산점내역(020320)_통영점공조및위생" xfId="17633"/>
    <cellStyle name="_입찰표지 _마그넷오산점내역(020320)_통영점공조및위생 2" xfId="17634"/>
    <cellStyle name="_입찰표지 _마그넷오산점내역(020320)_통영점공조및위생_내역서(건설사)" xfId="17635"/>
    <cellStyle name="_입찰표지 _마그넷오산점내역(020320)_통영점공조및위생_내역서(건설사) 2" xfId="17636"/>
    <cellStyle name="_입찰표지 _마그넷오산점내역(020320)_통영점공조및위생_내역서(작업)" xfId="17637"/>
    <cellStyle name="_입찰표지 _마그넷오산점내역(020320)_통영점공조및위생_내역서(작업) 2" xfId="17638"/>
    <cellStyle name="_입찰표지 _부대결과" xfId="17639"/>
    <cellStyle name="_입찰표지 _부대결과 2" xfId="17640"/>
    <cellStyle name="_입찰표지 _부대결과_Book1" xfId="17641"/>
    <cellStyle name="_입찰표지 _부대결과_Book1 2" xfId="17642"/>
    <cellStyle name="_입찰표지 _부대결과_Book1_내역서(최초)" xfId="17643"/>
    <cellStyle name="_입찰표지 _부대결과_Book1_내역서(최초) 2" xfId="17644"/>
    <cellStyle name="_입찰표지 _부대결과_Book1_설계내역서" xfId="17645"/>
    <cellStyle name="_입찰표지 _부대결과_Book1_설계내역서 2" xfId="17646"/>
    <cellStyle name="_입찰표지 _부대결과_Book1_설계내역서(2차)" xfId="17647"/>
    <cellStyle name="_입찰표지 _부대결과_Book1_설계내역서(2차) 2" xfId="17648"/>
    <cellStyle name="_입찰표지 _부대결과_P-(현리-신팔)" xfId="17649"/>
    <cellStyle name="_입찰표지 _부대결과_P-(현리-신팔) 2" xfId="17650"/>
    <cellStyle name="_입찰표지 _부대결과_P-(현리-신팔)_내역서(최초)" xfId="17651"/>
    <cellStyle name="_입찰표지 _부대결과_P-(현리-신팔)_내역서(최초) 2" xfId="17652"/>
    <cellStyle name="_입찰표지 _부대결과_P-(현리-신팔)_설계내역서" xfId="17653"/>
    <cellStyle name="_입찰표지 _부대결과_P-(현리-신팔)_설계내역서 2" xfId="17654"/>
    <cellStyle name="_입찰표지 _부대결과_P-(현리-신팔)_설계내역서(2차)" xfId="17655"/>
    <cellStyle name="_입찰표지 _부대결과_P-(현리-신팔)_설계내역서(2차) 2" xfId="17656"/>
    <cellStyle name="_입찰표지 _부대결과_내역서(최초)" xfId="17657"/>
    <cellStyle name="_입찰표지 _부대결과_내역서(최초) 2" xfId="17658"/>
    <cellStyle name="_입찰표지 _부대결과_설계내역서" xfId="17659"/>
    <cellStyle name="_입찰표지 _부대결과_설계내역서 2" xfId="17660"/>
    <cellStyle name="_입찰표지 _부대결과_설계내역서(2차)" xfId="17661"/>
    <cellStyle name="_입찰표지 _부대결과_설계내역서(2차) 2" xfId="17662"/>
    <cellStyle name="_입찰표지 _부대결과_현리-신팔도로설계" xfId="17663"/>
    <cellStyle name="_입찰표지 _부대결과_현리-신팔도로설계 2" xfId="17664"/>
    <cellStyle name="_입찰표지 _부대결과_현리-신팔도로설계_내역서(최초)" xfId="17665"/>
    <cellStyle name="_입찰표지 _부대결과_현리-신팔도로설계_내역서(최초) 2" xfId="17666"/>
    <cellStyle name="_입찰표지 _부대결과_현리-신팔도로설계_설계내역서" xfId="17667"/>
    <cellStyle name="_입찰표지 _부대결과_현리-신팔도로설계_설계내역서 2" xfId="17668"/>
    <cellStyle name="_입찰표지 _부대결과_현리-신팔도로설계_설계내역서(2차)" xfId="17669"/>
    <cellStyle name="_입찰표지 _부대결과_현리-신팔도로설계_설계내역서(2차) 2" xfId="17670"/>
    <cellStyle name="_입찰표지 _부대입찰특별조건및내역송부(최저가)" xfId="17671"/>
    <cellStyle name="_입찰표지 _부대입찰특별조건및내역송부(최저가) 2" xfId="17672"/>
    <cellStyle name="_입찰표지 _부대입찰특별조건및내역송부(최저가)_Book1" xfId="17673"/>
    <cellStyle name="_입찰표지 _부대입찰특별조건및내역송부(최저가)_Book1 2" xfId="17674"/>
    <cellStyle name="_입찰표지 _부대입찰특별조건및내역송부(최저가)_Book1_내역서(최초)" xfId="17675"/>
    <cellStyle name="_입찰표지 _부대입찰특별조건및내역송부(최저가)_Book1_내역서(최초) 2" xfId="17676"/>
    <cellStyle name="_입찰표지 _부대입찰특별조건및내역송부(최저가)_Book1_설계내역서" xfId="17677"/>
    <cellStyle name="_입찰표지 _부대입찰특별조건및내역송부(최저가)_Book1_설계내역서 2" xfId="17678"/>
    <cellStyle name="_입찰표지 _부대입찰특별조건및내역송부(최저가)_Book1_설계내역서(2차)" xfId="17679"/>
    <cellStyle name="_입찰표지 _부대입찰특별조건및내역송부(최저가)_Book1_설계내역서(2차) 2" xfId="17680"/>
    <cellStyle name="_입찰표지 _부대입찰특별조건및내역송부(최저가)_P-(현리-신팔)" xfId="17681"/>
    <cellStyle name="_입찰표지 _부대입찰특별조건및내역송부(최저가)_P-(현리-신팔) 2" xfId="17682"/>
    <cellStyle name="_입찰표지 _부대입찰특별조건및내역송부(최저가)_P-(현리-신팔)_내역서(최초)" xfId="17683"/>
    <cellStyle name="_입찰표지 _부대입찰특별조건및내역송부(최저가)_P-(현리-신팔)_내역서(최초) 2" xfId="17684"/>
    <cellStyle name="_입찰표지 _부대입찰특별조건및내역송부(최저가)_P-(현리-신팔)_설계내역서" xfId="17685"/>
    <cellStyle name="_입찰표지 _부대입찰특별조건및내역송부(최저가)_P-(현리-신팔)_설계내역서 2" xfId="17686"/>
    <cellStyle name="_입찰표지 _부대입찰특별조건및내역송부(최저가)_P-(현리-신팔)_설계내역서(2차)" xfId="17687"/>
    <cellStyle name="_입찰표지 _부대입찰특별조건및내역송부(최저가)_P-(현리-신팔)_설계내역서(2차) 2" xfId="17688"/>
    <cellStyle name="_입찰표지 _부대입찰특별조건및내역송부(최저가)_내역서(최초)" xfId="17689"/>
    <cellStyle name="_입찰표지 _부대입찰특별조건및내역송부(최저가)_내역서(최초) 2" xfId="17690"/>
    <cellStyle name="_입찰표지 _부대입찰특별조건및내역송부(최저가)_부대결과" xfId="17691"/>
    <cellStyle name="_입찰표지 _부대입찰특별조건및내역송부(최저가)_부대결과 2" xfId="17692"/>
    <cellStyle name="_입찰표지 _부대입찰특별조건및내역송부(최저가)_부대결과_Book1" xfId="17693"/>
    <cellStyle name="_입찰표지 _부대입찰특별조건및내역송부(최저가)_부대결과_Book1 2" xfId="17694"/>
    <cellStyle name="_입찰표지 _부대입찰특별조건및내역송부(최저가)_부대결과_Book1_내역서(최초)" xfId="17695"/>
    <cellStyle name="_입찰표지 _부대입찰특별조건및내역송부(최저가)_부대결과_Book1_내역서(최초) 2" xfId="17696"/>
    <cellStyle name="_입찰표지 _부대입찰특별조건및내역송부(최저가)_부대결과_Book1_설계내역서" xfId="17697"/>
    <cellStyle name="_입찰표지 _부대입찰특별조건및내역송부(최저가)_부대결과_Book1_설계내역서 2" xfId="17698"/>
    <cellStyle name="_입찰표지 _부대입찰특별조건및내역송부(최저가)_부대결과_Book1_설계내역서(2차)" xfId="17699"/>
    <cellStyle name="_입찰표지 _부대입찰특별조건및내역송부(최저가)_부대결과_Book1_설계내역서(2차) 2" xfId="17700"/>
    <cellStyle name="_입찰표지 _부대입찰특별조건및내역송부(최저가)_부대결과_P-(현리-신팔)" xfId="17701"/>
    <cellStyle name="_입찰표지 _부대입찰특별조건및내역송부(최저가)_부대결과_P-(현리-신팔) 2" xfId="17702"/>
    <cellStyle name="_입찰표지 _부대입찰특별조건및내역송부(최저가)_부대결과_P-(현리-신팔)_내역서(최초)" xfId="17703"/>
    <cellStyle name="_입찰표지 _부대입찰특별조건및내역송부(최저가)_부대결과_P-(현리-신팔)_내역서(최초) 2" xfId="17704"/>
    <cellStyle name="_입찰표지 _부대입찰특별조건및내역송부(최저가)_부대결과_P-(현리-신팔)_설계내역서" xfId="17705"/>
    <cellStyle name="_입찰표지 _부대입찰특별조건및내역송부(최저가)_부대결과_P-(현리-신팔)_설계내역서 2" xfId="17706"/>
    <cellStyle name="_입찰표지 _부대입찰특별조건및내역송부(최저가)_부대결과_P-(현리-신팔)_설계내역서(2차)" xfId="17707"/>
    <cellStyle name="_입찰표지 _부대입찰특별조건및내역송부(최저가)_부대결과_P-(현리-신팔)_설계내역서(2차) 2" xfId="17708"/>
    <cellStyle name="_입찰표지 _부대입찰특별조건및내역송부(최저가)_부대결과_내역서(최초)" xfId="17709"/>
    <cellStyle name="_입찰표지 _부대입찰특별조건및내역송부(최저가)_부대결과_내역서(최초) 2" xfId="17710"/>
    <cellStyle name="_입찰표지 _부대입찰특별조건및내역송부(최저가)_부대결과_설계내역서" xfId="17711"/>
    <cellStyle name="_입찰표지 _부대입찰특별조건및내역송부(최저가)_부대결과_설계내역서 2" xfId="17712"/>
    <cellStyle name="_입찰표지 _부대입찰특별조건및내역송부(최저가)_부대결과_설계내역서(2차)" xfId="17713"/>
    <cellStyle name="_입찰표지 _부대입찰특별조건및내역송부(최저가)_부대결과_설계내역서(2차) 2" xfId="17714"/>
    <cellStyle name="_입찰표지 _부대입찰특별조건및내역송부(최저가)_부대결과_현리-신팔도로설계" xfId="17715"/>
    <cellStyle name="_입찰표지 _부대입찰특별조건및내역송부(최저가)_부대결과_현리-신팔도로설계 2" xfId="17716"/>
    <cellStyle name="_입찰표지 _부대입찰특별조건및내역송부(최저가)_부대결과_현리-신팔도로설계_내역서(최초)" xfId="17717"/>
    <cellStyle name="_입찰표지 _부대입찰특별조건및내역송부(최저가)_부대결과_현리-신팔도로설계_내역서(최초) 2" xfId="17718"/>
    <cellStyle name="_입찰표지 _부대입찰특별조건및내역송부(최저가)_부대결과_현리-신팔도로설계_설계내역서" xfId="17719"/>
    <cellStyle name="_입찰표지 _부대입찰특별조건및내역송부(최저가)_부대결과_현리-신팔도로설계_설계내역서 2" xfId="17720"/>
    <cellStyle name="_입찰표지 _부대입찰특별조건및내역송부(최저가)_부대결과_현리-신팔도로설계_설계내역서(2차)" xfId="17721"/>
    <cellStyle name="_입찰표지 _부대입찰특별조건및내역송부(최저가)_부대결과_현리-신팔도로설계_설계내역서(2차) 2" xfId="17722"/>
    <cellStyle name="_입찰표지 _부대입찰특별조건및내역송부(최저가)_설계내역서" xfId="17723"/>
    <cellStyle name="_입찰표지 _부대입찰특별조건및내역송부(최저가)_설계내역서 2" xfId="17724"/>
    <cellStyle name="_입찰표지 _부대입찰특별조건및내역송부(최저가)_설계내역서(2차)" xfId="17725"/>
    <cellStyle name="_입찰표지 _부대입찰특별조건및내역송부(최저가)_설계내역서(2차) 2" xfId="17726"/>
    <cellStyle name="_입찰표지 _부대입찰특별조건및내역송부(최저가)_현리-신팔도로설계" xfId="17727"/>
    <cellStyle name="_입찰표지 _부대입찰특별조건및내역송부(최저가)_현리-신팔도로설계 2" xfId="17728"/>
    <cellStyle name="_입찰표지 _부대입찰특별조건및내역송부(최저가)_현리-신팔도로설계_내역서(최초)" xfId="17729"/>
    <cellStyle name="_입찰표지 _부대입찰특별조건및내역송부(최저가)_현리-신팔도로설계_내역서(최초) 2" xfId="17730"/>
    <cellStyle name="_입찰표지 _부대입찰특별조건및내역송부(최저가)_현리-신팔도로설계_설계내역서" xfId="17731"/>
    <cellStyle name="_입찰표지 _부대입찰특별조건및내역송부(최저가)_현리-신팔도로설계_설계내역서 2" xfId="17732"/>
    <cellStyle name="_입찰표지 _부대입찰특별조건및내역송부(최저가)_현리-신팔도로설계_설계내역서(2차)" xfId="17733"/>
    <cellStyle name="_입찰표지 _부대입찰특별조건및내역송부(최저가)_현리-신팔도로설계_설계내역서(2차) 2" xfId="17734"/>
    <cellStyle name="_입찰표지 _사병기숙사(Announcers booth)" xfId="17735"/>
    <cellStyle name="_입찰표지 _사병기숙사(Announcers booth) 2" xfId="17736"/>
    <cellStyle name="_입찰표지 _사병기숙사(Announcers booth)_53호견적최종" xfId="17737"/>
    <cellStyle name="_입찰표지 _사병기숙사(Announcers booth)_53호견적최종 2" xfId="17738"/>
    <cellStyle name="_입찰표지 _사병기숙사(Announcers booth)_R-0053" xfId="17739"/>
    <cellStyle name="_입찰표지 _사병기숙사(Announcers booth)_R-0053 2" xfId="17740"/>
    <cellStyle name="_입찰표지 _사병기숙사(Announcers booth)_R-0053ELEC대" xfId="17741"/>
    <cellStyle name="_입찰표지 _사병기숙사(Announcers booth)_R-0053ELEC대 2" xfId="17742"/>
    <cellStyle name="_입찰표지 _사병기숙사(Announcers booth)_R-0053SITE" xfId="17743"/>
    <cellStyle name="_입찰표지 _사병기숙사(Announcers booth)_R-0053SITE 2" xfId="17744"/>
    <cellStyle name="_입찰표지 _사본 - ☆태평동  도급내역" xfId="17745"/>
    <cellStyle name="_입찰표지 _사본 - ☆태평동  도급내역 2" xfId="17746"/>
    <cellStyle name="_입찰표지 _사전공사(토목본사검토) " xfId="17747"/>
    <cellStyle name="_입찰표지 _사전공사(토목본사검토)  2" xfId="17748"/>
    <cellStyle name="_입찰표지 _사전공사(토목본사검토)  2 2" xfId="17749"/>
    <cellStyle name="_입찰표지 _사전공사(토목본사검토)  3" xfId="17750"/>
    <cellStyle name="_입찰표지 _사전공사(토목본사검토)  3 2" xfId="17751"/>
    <cellStyle name="_입찰표지 _사전공사(토목본사검토)  4" xfId="17752"/>
    <cellStyle name="_입찰표지 _사전공사(토목본사검토)  4 2" xfId="17753"/>
    <cellStyle name="_입찰표지 _사전공사(토목본사검토)  5" xfId="17754"/>
    <cellStyle name="_입찰표지 _사전공사(토목본사검토)  5 2" xfId="17755"/>
    <cellStyle name="_입찰표지 _사전공사(토목본사검토)  6" xfId="17756"/>
    <cellStyle name="_입찰표지 _사전공사(토목본사검토)  6 2" xfId="17757"/>
    <cellStyle name="_입찰표지 _사전공사(토목본사검토)  7" xfId="17758"/>
    <cellStyle name="_입찰표지 _사전공사(토목본사검토)  7 2" xfId="17759"/>
    <cellStyle name="_입찰표지 _사전공사(토목본사검토)  8" xfId="17760"/>
    <cellStyle name="_입찰표지 _사전공사(토목본사검토) _2007현황보고양식" xfId="17761"/>
    <cellStyle name="_입찰표지 _사전공사(토목본사검토) _2007현황보고양식 2" xfId="17762"/>
    <cellStyle name="_입찰표지 _사전공사(토목본사검토) _Book2" xfId="17763"/>
    <cellStyle name="_입찰표지 _사전공사(토목본사검토) _Book2 2" xfId="17764"/>
    <cellStyle name="_입찰표지 _사전공사(토목본사검토) _Book4" xfId="17765"/>
    <cellStyle name="_입찰표지 _사전공사(토목본사검토) _Book4 2" xfId="17766"/>
    <cellStyle name="_입찰표지 _사전공사(토목본사검토) _가구공사" xfId="17767"/>
    <cellStyle name="_입찰표지 _사전공사(토목본사검토) _가구공사 2" xfId="17768"/>
    <cellStyle name="_입찰표지 _사전공사(토목본사검토) _가구공사_2007현황보고양식" xfId="17769"/>
    <cellStyle name="_입찰표지 _사전공사(토목본사검토) _가구공사_2007현황보고양식 2" xfId="17770"/>
    <cellStyle name="_입찰표지 _사전공사(토목본사검토) _가구공사_두산산업개발 입찰견적" xfId="17771"/>
    <cellStyle name="_입찰표지 _사전공사(토목본사검토) _가구공사_두산산업개발 입찰견적 2" xfId="17772"/>
    <cellStyle name="_입찰표지 _사전공사(토목본사검토) _가구공사_두산중공업 입찰견적" xfId="17773"/>
    <cellStyle name="_입찰표지 _사전공사(토목본사검토) _가구공사_두산중공업 입찰견적 2" xfId="17774"/>
    <cellStyle name="_입찰표지 _사전공사(토목본사검토) _가구공사_추가일위대가표 총괄" xfId="17775"/>
    <cellStyle name="_입찰표지 _사전공사(토목본사검토) _가구공사_추가일위대가표 총괄 2" xfId="17776"/>
    <cellStyle name="_입찰표지 _사전공사(토목본사검토) _가구공사_현대건설 대구대천" xfId="17777"/>
    <cellStyle name="_입찰표지 _사전공사(토목본사검토) _가구공사_현대건설 대구대천 2" xfId="17778"/>
    <cellStyle name="_입찰표지 _사전공사(토목본사검토) _두산산업개발 입찰견적" xfId="17779"/>
    <cellStyle name="_입찰표지 _사전공사(토목본사검토) _두산산업개발 입찰견적 2" xfId="17780"/>
    <cellStyle name="_입찰표지 _사전공사(토목본사검토) _두산중공업 입찰견적" xfId="17781"/>
    <cellStyle name="_입찰표지 _사전공사(토목본사검토) _두산중공업 입찰견적 2" xfId="17782"/>
    <cellStyle name="_입찰표지 _사전공사(토목본사검토) _추가일위대가표 총괄" xfId="17783"/>
    <cellStyle name="_입찰표지 _사전공사(토목본사검토) _추가일위대가표 총괄 2" xfId="17784"/>
    <cellStyle name="_입찰표지 _사전공사(토목본사검토) _현대건설 대구대천" xfId="17785"/>
    <cellStyle name="_입찰표지 _사전공사(토목본사검토) _현대건설 대구대천 2" xfId="17786"/>
    <cellStyle name="_입찰표지 _서초풍림아이원플러스(0723)(2)" xfId="17787"/>
    <cellStyle name="_입찰표지 _서초풍림아이원플러스(0723)(2) 2" xfId="17788"/>
    <cellStyle name="_입찰표지 _설계내역서" xfId="17789"/>
    <cellStyle name="_입찰표지 _설계내역서 2" xfId="17790"/>
    <cellStyle name="_입찰표지 _설계내역서(2차)" xfId="17791"/>
    <cellStyle name="_입찰표지 _설계내역서(2차) 2" xfId="17792"/>
    <cellStyle name="_입찰표지 _성남태평동설비공사" xfId="17793"/>
    <cellStyle name="_입찰표지 _성남태평동설비공사 2" xfId="17794"/>
    <cellStyle name="_입찰표지 _수목" xfId="17795"/>
    <cellStyle name="_입찰표지 _수목 2" xfId="17796"/>
    <cellStyle name="_입찰표지 _수원율전 실행내역" xfId="17797"/>
    <cellStyle name="_입찰표지 _수원율전 실행내역 2" xfId="17798"/>
    <cellStyle name="_입찰표지 _수원율전 실행내역 검토안" xfId="17799"/>
    <cellStyle name="_입찰표지 _수원율전 실행내역 검토안 2" xfId="17800"/>
    <cellStyle name="_입찰표지 _수원율전 실행내역 검토안_사본 - ☆태평동  도급내역" xfId="17801"/>
    <cellStyle name="_입찰표지 _수원율전 실행내역 검토안_사본 - ☆태평동  도급내역 2" xfId="17802"/>
    <cellStyle name="_입찰표지 _수원율전 실행내역 검토안_성남태평동설비공사" xfId="17803"/>
    <cellStyle name="_입찰표지 _수원율전 실행내역 검토안_성남태평동설비공사 2" xfId="17804"/>
    <cellStyle name="_입찰표지 _수원율전 실행내역 검토안_수원율전 실행내역" xfId="17805"/>
    <cellStyle name="_입찰표지 _수원율전 실행내역 검토안_수원율전 실행내역 2" xfId="17806"/>
    <cellStyle name="_입찰표지 _수원율전 실행내역 검토안_수원율전 실행내역 검토안" xfId="17807"/>
    <cellStyle name="_입찰표지 _수원율전 실행내역 검토안_수원율전 실행내역 검토안 2" xfId="17808"/>
    <cellStyle name="_입찰표지 _수원율전 실행내역 검토안_수원율전 실행내역 검토안_사본 - ☆태평동  도급내역" xfId="17809"/>
    <cellStyle name="_입찰표지 _수원율전 실행내역 검토안_수원율전 실행내역 검토안_사본 - ☆태평동  도급내역 2" xfId="17810"/>
    <cellStyle name="_입찰표지 _수원율전 실행내역 검토안_수원율전 실행내역 검토안_성남태평동설비공사" xfId="17811"/>
    <cellStyle name="_입찰표지 _수원율전 실행내역 검토안_수원율전 실행내역 검토안_성남태평동설비공사 2" xfId="17812"/>
    <cellStyle name="_입찰표지 _수원율전 실행내역 검토안_수원율전 실행내역 검토안_수정구 태평동 주상복합 실행내역 검토안" xfId="17813"/>
    <cellStyle name="_입찰표지 _수원율전 실행내역 검토안_수원율전 실행내역 검토안_수정구 태평동 주상복합 실행내역 검토안 2" xfId="17814"/>
    <cellStyle name="_입찰표지 _수원율전 실행내역 검토안_수원율전 실행내역 검토안_태평동 실행내역서" xfId="17815"/>
    <cellStyle name="_입찰표지 _수원율전 실행내역 검토안_수원율전 실행내역 검토안_태평동 실행내역서 2" xfId="17816"/>
    <cellStyle name="_입찰표지 _수원율전 실행내역 검토안_수원율전 실행내역 검토안_태평동도급내역(Rev.2)-12.26" xfId="17817"/>
    <cellStyle name="_입찰표지 _수원율전 실행내역 검토안_수원율전 실행내역 검토안_태평동도급내역(Rev.2)-12.26 2" xfId="17818"/>
    <cellStyle name="_입찰표지 _수원율전 실행내역 검토안_수정구 태평동 주상복합 실행내역 검토안" xfId="17819"/>
    <cellStyle name="_입찰표지 _수원율전 실행내역 검토안_수정구 태평동 주상복합 실행내역 검토안 2" xfId="17820"/>
    <cellStyle name="_입찰표지 _수원율전 실행내역 검토안_태평동 실행내역서" xfId="17821"/>
    <cellStyle name="_입찰표지 _수원율전 실행내역 검토안_태평동 실행내역서 2" xfId="17822"/>
    <cellStyle name="_입찰표지 _수원율전 실행내역 검토안_태평동도급내역(Rev.2)-12.26" xfId="17823"/>
    <cellStyle name="_입찰표지 _수원율전 실행내역 검토안_태평동도급내역(Rev.2)-12.26 2" xfId="17824"/>
    <cellStyle name="_입찰표지 _수원율전조합" xfId="17825"/>
    <cellStyle name="_입찰표지 _수원율전조합 2" xfId="17826"/>
    <cellStyle name="_입찰표지 _수원율전조합_사본 - ☆태평동  도급내역" xfId="17827"/>
    <cellStyle name="_입찰표지 _수원율전조합_사본 - ☆태평동  도급내역 2" xfId="17828"/>
    <cellStyle name="_입찰표지 _수원율전조합_성남태평동설비공사" xfId="17829"/>
    <cellStyle name="_입찰표지 _수원율전조합_성남태평동설비공사 2" xfId="17830"/>
    <cellStyle name="_입찰표지 _수원율전조합_수원율전 실행내역" xfId="17831"/>
    <cellStyle name="_입찰표지 _수원율전조합_수원율전 실행내역 2" xfId="17832"/>
    <cellStyle name="_입찰표지 _수원율전조합_수원율전 실행내역 검토안" xfId="17833"/>
    <cellStyle name="_입찰표지 _수원율전조합_수원율전 실행내역 검토안 2" xfId="17834"/>
    <cellStyle name="_입찰표지 _수원율전조합_수원율전 실행내역 검토안_사본 - ☆태평동  도급내역" xfId="17835"/>
    <cellStyle name="_입찰표지 _수원율전조합_수원율전 실행내역 검토안_사본 - ☆태평동  도급내역 2" xfId="17836"/>
    <cellStyle name="_입찰표지 _수원율전조합_수원율전 실행내역 검토안_성남태평동설비공사" xfId="17837"/>
    <cellStyle name="_입찰표지 _수원율전조합_수원율전 실행내역 검토안_성남태평동설비공사 2" xfId="17838"/>
    <cellStyle name="_입찰표지 _수원율전조합_수원율전 실행내역 검토안_수정구 태평동 주상복합 실행내역 검토안" xfId="17839"/>
    <cellStyle name="_입찰표지 _수원율전조합_수원율전 실행내역 검토안_수정구 태평동 주상복합 실행내역 검토안 2" xfId="17840"/>
    <cellStyle name="_입찰표지 _수원율전조합_수원율전 실행내역 검토안_태평동 실행내역서" xfId="17841"/>
    <cellStyle name="_입찰표지 _수원율전조합_수원율전 실행내역 검토안_태평동 실행내역서 2" xfId="17842"/>
    <cellStyle name="_입찰표지 _수원율전조합_수원율전 실행내역 검토안_태평동도급내역(Rev.2)-12.26" xfId="17843"/>
    <cellStyle name="_입찰표지 _수원율전조합_수원율전 실행내역 검토안_태평동도급내역(Rev.2)-12.26 2" xfId="17844"/>
    <cellStyle name="_입찰표지 _수원율전조합_수정구 태평동 주상복합 실행내역 검토안" xfId="17845"/>
    <cellStyle name="_입찰표지 _수원율전조합_수정구 태평동 주상복합 실행내역 검토안 2" xfId="17846"/>
    <cellStyle name="_입찰표지 _수원율전조합_태평동 실행내역서" xfId="17847"/>
    <cellStyle name="_입찰표지 _수원율전조합_태평동 실행내역서 2" xfId="17848"/>
    <cellStyle name="_입찰표지 _수원율전조합_태평동도급내역(Rev.2)-12.26" xfId="17849"/>
    <cellStyle name="_입찰표지 _수원율전조합_태평동도급내역(Rev.2)-12.26 2" xfId="17850"/>
    <cellStyle name="_입찰표지 _수정구 태평동 주상복합 실행내역 검토안" xfId="17851"/>
    <cellStyle name="_입찰표지 _수정구 태평동 주상복합 실행내역 검토안 2" xfId="17852"/>
    <cellStyle name="_입찰표지 _월계동집행(R0)" xfId="17853"/>
    <cellStyle name="_입찰표지 _월계동집행(R0) 2" xfId="17854"/>
    <cellStyle name="_입찰표지 _월계동집행(R0)_Book2" xfId="17855"/>
    <cellStyle name="_입찰표지 _월계동집행(R0)_Book2 2" xfId="17856"/>
    <cellStyle name="_입찰표지 _월계동집행(R0)_Book4" xfId="17857"/>
    <cellStyle name="_입찰표지 _월계동집행(R0)_Book4 2" xfId="17858"/>
    <cellStyle name="_입찰표지 _월곳집행(본사)" xfId="17859"/>
    <cellStyle name="_입찰표지 _월곳집행(본사) 2" xfId="17860"/>
    <cellStyle name="_입찰표지 _월곳집행(본사)_공내역서(소방)" xfId="17861"/>
    <cellStyle name="_입찰표지 _월곳집행(본사)_공내역서(소방) 2" xfId="17862"/>
    <cellStyle name="_입찰표지 _월곳집행(본사)_공내역서(소방)_내역서(건설사)" xfId="17863"/>
    <cellStyle name="_입찰표지 _월곳집행(본사)_공내역서(소방)_내역서(건설사) 2" xfId="17864"/>
    <cellStyle name="_입찰표지 _월곳집행(본사)_공내역서(소방)_내역서(작업)" xfId="17865"/>
    <cellStyle name="_입찰표지 _월곳집행(본사)_공내역서(소방)_내역서(작업) 2" xfId="17866"/>
    <cellStyle name="_입찰표지 _월곳집행(본사)_공내역서(소방)_롯데마그넷(오산점)" xfId="17867"/>
    <cellStyle name="_입찰표지 _월곳집행(본사)_공내역서(소방)_롯데마그넷(오산점) 2" xfId="17868"/>
    <cellStyle name="_입찰표지 _월곳집행(본사)_공내역서(소방)_롯데마그넷(오산점)_내역서(건설사)" xfId="17869"/>
    <cellStyle name="_입찰표지 _월곳집행(본사)_공내역서(소방)_롯데마그넷(오산점)_내역서(건설사) 2" xfId="17870"/>
    <cellStyle name="_입찰표지 _월곳집행(본사)_공내역서(소방)_롯데마그넷(오산점)_내역서(작업)" xfId="17871"/>
    <cellStyle name="_입찰표지 _월곳집행(본사)_공내역서(소방)_롯데마그넷(오산점)_내역서(작업) 2" xfId="17872"/>
    <cellStyle name="_입찰표지 _월곳집행(본사)_공내역서(소방)_롯데마그넷(오산점)_통영점공조및위생" xfId="17873"/>
    <cellStyle name="_입찰표지 _월곳집행(본사)_공내역서(소방)_롯데마그넷(오산점)_통영점공조및위생 2" xfId="17874"/>
    <cellStyle name="_입찰표지 _월곳집행(본사)_공내역서(소방)_롯데마그넷(오산점)_통영점공조및위생_내역서(건설사)" xfId="17875"/>
    <cellStyle name="_입찰표지 _월곳집행(본사)_공내역서(소방)_롯데마그넷(오산점)_통영점공조및위생_내역서(건설사) 2" xfId="17876"/>
    <cellStyle name="_입찰표지 _월곳집행(본사)_공내역서(소방)_롯데마그넷(오산점)_통영점공조및위생_내역서(작업)" xfId="17877"/>
    <cellStyle name="_입찰표지 _월곳집행(본사)_공내역서(소방)_롯데마그넷(오산점)_통영점공조및위생_내역서(작업) 2" xfId="17878"/>
    <cellStyle name="_입찰표지 _월곳집행(본사)_공내역서(소방)_마그넷오산점내역(020320)" xfId="17879"/>
    <cellStyle name="_입찰표지 _월곳집행(본사)_공내역서(소방)_마그넷오산점내역(020320) 2" xfId="17880"/>
    <cellStyle name="_입찰표지 _월곳집행(본사)_공내역서(소방)_마그넷오산점내역(020320)_내역서(건설사)" xfId="17881"/>
    <cellStyle name="_입찰표지 _월곳집행(본사)_공내역서(소방)_마그넷오산점내역(020320)_내역서(건설사) 2" xfId="17882"/>
    <cellStyle name="_입찰표지 _월곳집행(본사)_공내역서(소방)_마그넷오산점내역(020320)_내역서(작업)" xfId="17883"/>
    <cellStyle name="_입찰표지 _월곳집행(본사)_공내역서(소방)_마그넷오산점내역(020320)_내역서(작업) 2" xfId="17884"/>
    <cellStyle name="_입찰표지 _월곳집행(본사)_공내역서(소방)_마그넷오산점내역(020320)_통영점공조및위생" xfId="17885"/>
    <cellStyle name="_입찰표지 _월곳집행(본사)_공내역서(소방)_마그넷오산점내역(020320)_통영점공조및위생 2" xfId="17886"/>
    <cellStyle name="_입찰표지 _월곳집행(본사)_공내역서(소방)_마그넷오산점내역(020320)_통영점공조및위생_내역서(건설사)" xfId="17887"/>
    <cellStyle name="_입찰표지 _월곳집행(본사)_공내역서(소방)_마그넷오산점내역(020320)_통영점공조및위생_내역서(건설사) 2" xfId="17888"/>
    <cellStyle name="_입찰표지 _월곳집행(본사)_공내역서(소방)_마그넷오산점내역(020320)_통영점공조및위생_내역서(작업)" xfId="17889"/>
    <cellStyle name="_입찰표지 _월곳집행(본사)_공내역서(소방)_마그넷오산점내역(020320)_통영점공조및위생_내역서(작업) 2" xfId="17890"/>
    <cellStyle name="_입찰표지 _월곳집행(본사)_공내역서(소방)_정-의왕가스경보설비공사(기안)" xfId="17891"/>
    <cellStyle name="_입찰표지 _월곳집행(본사)_공내역서(소방)_정-의왕가스경보설비공사(기안) 2" xfId="17892"/>
    <cellStyle name="_입찰표지 _월곳집행(본사)_공내역서(소방)_정-의왕가스경보설비공사(기안)_내역서(건설사)" xfId="17893"/>
    <cellStyle name="_입찰표지 _월곳집행(본사)_공내역서(소방)_정-의왕가스경보설비공사(기안)_내역서(건설사) 2" xfId="17894"/>
    <cellStyle name="_입찰표지 _월곳집행(본사)_공내역서(소방)_정-의왕가스경보설비공사(기안)_내역서(작업)" xfId="17895"/>
    <cellStyle name="_입찰표지 _월곳집행(본사)_공내역서(소방)_정-의왕가스경보설비공사(기안)_내역서(작업) 2" xfId="17896"/>
    <cellStyle name="_입찰표지 _월곳집행(본사)_공내역서(소방)_정-의왕가스경보설비공사(기안)_통영점공조및위생" xfId="17897"/>
    <cellStyle name="_입찰표지 _월곳집행(본사)_공내역서(소방)_정-의왕가스경보설비공사(기안)_통영점공조및위생 2" xfId="17898"/>
    <cellStyle name="_입찰표지 _월곳집행(본사)_공내역서(소방)_정-의왕가스경보설비공사(기안)_통영점공조및위생_내역서(건설사)" xfId="17899"/>
    <cellStyle name="_입찰표지 _월곳집행(본사)_공내역서(소방)_정-의왕가스경보설비공사(기안)_통영점공조및위생_내역서(건설사) 2" xfId="17900"/>
    <cellStyle name="_입찰표지 _월곳집행(본사)_공내역서(소방)_정-의왕가스경보설비공사(기안)_통영점공조및위생_내역서(작업)" xfId="17901"/>
    <cellStyle name="_입찰표지 _월곳집행(본사)_공내역서(소방)_정-의왕가스경보설비공사(기안)_통영점공조및위생_내역서(작업) 2" xfId="17902"/>
    <cellStyle name="_입찰표지 _월곳집행(본사)_공내역서(소방)_통영점공조및위생" xfId="17903"/>
    <cellStyle name="_입찰표지 _월곳집행(본사)_공내역서(소방)_통영점공조및위생 2" xfId="17904"/>
    <cellStyle name="_입찰표지 _월곳집행(본사)_공내역서(소방)_통영점공조및위생_내역서(건설사)" xfId="17905"/>
    <cellStyle name="_입찰표지 _월곳집행(본사)_공내역서(소방)_통영점공조및위생_내역서(건설사) 2" xfId="17906"/>
    <cellStyle name="_입찰표지 _월곳집행(본사)_공내역서(소방)_통영점공조및위생_내역서(작업)" xfId="17907"/>
    <cellStyle name="_입찰표지 _월곳집행(본사)_공내역서(소방)_통영점공조및위생_내역서(작업) 2" xfId="17908"/>
    <cellStyle name="_입찰표지 _월곳집행(본사)_공내역서(소방final)" xfId="17909"/>
    <cellStyle name="_입찰표지 _월곳집행(본사)_공내역서(소방final) 2" xfId="17910"/>
    <cellStyle name="_입찰표지 _월곳집행(본사)_공내역서(소방final)_내역서(건설사)" xfId="17911"/>
    <cellStyle name="_입찰표지 _월곳집행(본사)_공내역서(소방final)_내역서(건설사) 2" xfId="17912"/>
    <cellStyle name="_입찰표지 _월곳집행(본사)_공내역서(소방final)_내역서(작업)" xfId="17913"/>
    <cellStyle name="_입찰표지 _월곳집행(본사)_공내역서(소방final)_내역서(작업) 2" xfId="17914"/>
    <cellStyle name="_입찰표지 _월곳집행(본사)_공내역서(소방final)_롯데마그넷(오산점)" xfId="17915"/>
    <cellStyle name="_입찰표지 _월곳집행(본사)_공내역서(소방final)_롯데마그넷(오산점) 2" xfId="17916"/>
    <cellStyle name="_입찰표지 _월곳집행(본사)_공내역서(소방final)_롯데마그넷(오산점)_내역서(건설사)" xfId="17917"/>
    <cellStyle name="_입찰표지 _월곳집행(본사)_공내역서(소방final)_롯데마그넷(오산점)_내역서(건설사) 2" xfId="17918"/>
    <cellStyle name="_입찰표지 _월곳집행(본사)_공내역서(소방final)_롯데마그넷(오산점)_내역서(작업)" xfId="17919"/>
    <cellStyle name="_입찰표지 _월곳집행(본사)_공내역서(소방final)_롯데마그넷(오산점)_내역서(작업) 2" xfId="17920"/>
    <cellStyle name="_입찰표지 _월곳집행(본사)_공내역서(소방final)_롯데마그넷(오산점)_통영점공조및위생" xfId="17921"/>
    <cellStyle name="_입찰표지 _월곳집행(본사)_공내역서(소방final)_롯데마그넷(오산점)_통영점공조및위생 2" xfId="17922"/>
    <cellStyle name="_입찰표지 _월곳집행(본사)_공내역서(소방final)_롯데마그넷(오산점)_통영점공조및위생_내역서(건설사)" xfId="17923"/>
    <cellStyle name="_입찰표지 _월곳집행(본사)_공내역서(소방final)_롯데마그넷(오산점)_통영점공조및위생_내역서(건설사) 2" xfId="17924"/>
    <cellStyle name="_입찰표지 _월곳집행(본사)_공내역서(소방final)_롯데마그넷(오산점)_통영점공조및위생_내역서(작업)" xfId="17925"/>
    <cellStyle name="_입찰표지 _월곳집행(본사)_공내역서(소방final)_롯데마그넷(오산점)_통영점공조및위생_내역서(작업) 2" xfId="17926"/>
    <cellStyle name="_입찰표지 _월곳집행(본사)_공내역서(소방final)_마그넷오산점내역(020320)" xfId="17927"/>
    <cellStyle name="_입찰표지 _월곳집행(본사)_공내역서(소방final)_마그넷오산점내역(020320) 2" xfId="17928"/>
    <cellStyle name="_입찰표지 _월곳집행(본사)_공내역서(소방final)_마그넷오산점내역(020320)_내역서(건설사)" xfId="17929"/>
    <cellStyle name="_입찰표지 _월곳집행(본사)_공내역서(소방final)_마그넷오산점내역(020320)_내역서(건설사) 2" xfId="17930"/>
    <cellStyle name="_입찰표지 _월곳집행(본사)_공내역서(소방final)_마그넷오산점내역(020320)_내역서(작업)" xfId="17931"/>
    <cellStyle name="_입찰표지 _월곳집행(본사)_공내역서(소방final)_마그넷오산점내역(020320)_내역서(작업) 2" xfId="17932"/>
    <cellStyle name="_입찰표지 _월곳집행(본사)_공내역서(소방final)_마그넷오산점내역(020320)_통영점공조및위생" xfId="17933"/>
    <cellStyle name="_입찰표지 _월곳집행(본사)_공내역서(소방final)_마그넷오산점내역(020320)_통영점공조및위생 2" xfId="17934"/>
    <cellStyle name="_입찰표지 _월곳집행(본사)_공내역서(소방final)_마그넷오산점내역(020320)_통영점공조및위생_내역서(건설사)" xfId="17935"/>
    <cellStyle name="_입찰표지 _월곳집행(본사)_공내역서(소방final)_마그넷오산점내역(020320)_통영점공조및위생_내역서(건설사) 2" xfId="17936"/>
    <cellStyle name="_입찰표지 _월곳집행(본사)_공내역서(소방final)_마그넷오산점내역(020320)_통영점공조및위생_내역서(작업)" xfId="17937"/>
    <cellStyle name="_입찰표지 _월곳집행(본사)_공내역서(소방final)_마그넷오산점내역(020320)_통영점공조및위생_내역서(작업) 2" xfId="17938"/>
    <cellStyle name="_입찰표지 _월곳집행(본사)_공내역서(소방final)_정-의왕가스경보설비공사(기안)" xfId="17939"/>
    <cellStyle name="_입찰표지 _월곳집행(본사)_공내역서(소방final)_정-의왕가스경보설비공사(기안) 2" xfId="17940"/>
    <cellStyle name="_입찰표지 _월곳집행(본사)_공내역서(소방final)_정-의왕가스경보설비공사(기안)_내역서(건설사)" xfId="17941"/>
    <cellStyle name="_입찰표지 _월곳집행(본사)_공내역서(소방final)_정-의왕가스경보설비공사(기안)_내역서(건설사) 2" xfId="17942"/>
    <cellStyle name="_입찰표지 _월곳집행(본사)_공내역서(소방final)_정-의왕가스경보설비공사(기안)_내역서(작업)" xfId="17943"/>
    <cellStyle name="_입찰표지 _월곳집행(본사)_공내역서(소방final)_정-의왕가스경보설비공사(기안)_내역서(작업) 2" xfId="17944"/>
    <cellStyle name="_입찰표지 _월곳집행(본사)_공내역서(소방final)_정-의왕가스경보설비공사(기안)_통영점공조및위생" xfId="17945"/>
    <cellStyle name="_입찰표지 _월곳집행(본사)_공내역서(소방final)_정-의왕가스경보설비공사(기안)_통영점공조및위생 2" xfId="17946"/>
    <cellStyle name="_입찰표지 _월곳집행(본사)_공내역서(소방final)_정-의왕가스경보설비공사(기안)_통영점공조및위생_내역서(건설사)" xfId="17947"/>
    <cellStyle name="_입찰표지 _월곳집행(본사)_공내역서(소방final)_정-의왕가스경보설비공사(기안)_통영점공조및위생_내역서(건설사) 2" xfId="17948"/>
    <cellStyle name="_입찰표지 _월곳집행(본사)_공내역서(소방final)_정-의왕가스경보설비공사(기안)_통영점공조및위생_내역서(작업)" xfId="17949"/>
    <cellStyle name="_입찰표지 _월곳집행(본사)_공내역서(소방final)_정-의왕가스경보설비공사(기안)_통영점공조및위생_내역서(작업) 2" xfId="17950"/>
    <cellStyle name="_입찰표지 _월곳집행(본사)_공내역서(소방final)_통영점공조및위생" xfId="17951"/>
    <cellStyle name="_입찰표지 _월곳집행(본사)_공내역서(소방final)_통영점공조및위생 2" xfId="17952"/>
    <cellStyle name="_입찰표지 _월곳집행(본사)_공내역서(소방final)_통영점공조및위생_내역서(건설사)" xfId="17953"/>
    <cellStyle name="_입찰표지 _월곳집행(본사)_공내역서(소방final)_통영점공조및위생_내역서(건설사) 2" xfId="17954"/>
    <cellStyle name="_입찰표지 _월곳집행(본사)_공내역서(소방final)_통영점공조및위생_내역서(작업)" xfId="17955"/>
    <cellStyle name="_입찰표지 _월곳집행(본사)_공내역서(소방final)_통영점공조및위생_내역서(작업) 2" xfId="17956"/>
    <cellStyle name="_입찰표지 _월곳집행(본사)_내역서(건설사)" xfId="17957"/>
    <cellStyle name="_입찰표지 _월곳집행(본사)_내역서(건설사) 2" xfId="17958"/>
    <cellStyle name="_입찰표지 _월곳집행(본사)_내역서(작업)" xfId="17959"/>
    <cellStyle name="_입찰표지 _월곳집행(본사)_내역서(작업) 2" xfId="17960"/>
    <cellStyle name="_입찰표지 _월곳집행(본사)_롯데마그넷(오산점)" xfId="17961"/>
    <cellStyle name="_입찰표지 _월곳집행(본사)_롯데마그넷(오산점) 2" xfId="17962"/>
    <cellStyle name="_입찰표지 _월곳집행(본사)_롯데마그넷(오산점)_내역서(건설사)" xfId="17963"/>
    <cellStyle name="_입찰표지 _월곳집행(본사)_롯데마그넷(오산점)_내역서(건설사) 2" xfId="17964"/>
    <cellStyle name="_입찰표지 _월곳집행(본사)_롯데마그넷(오산점)_내역서(작업)" xfId="17965"/>
    <cellStyle name="_입찰표지 _월곳집행(본사)_롯데마그넷(오산점)_내역서(작업) 2" xfId="17966"/>
    <cellStyle name="_입찰표지 _월곳집행(본사)_롯데마그넷(오산점)_통영점공조및위생" xfId="17967"/>
    <cellStyle name="_입찰표지 _월곳집행(본사)_롯데마그넷(오산점)_통영점공조및위생 2" xfId="17968"/>
    <cellStyle name="_입찰표지 _월곳집행(본사)_롯데마그넷(오산점)_통영점공조및위생_내역서(건설사)" xfId="17969"/>
    <cellStyle name="_입찰표지 _월곳집행(본사)_롯데마그넷(오산점)_통영점공조및위생_내역서(건설사) 2" xfId="17970"/>
    <cellStyle name="_입찰표지 _월곳집행(본사)_롯데마그넷(오산점)_통영점공조및위생_내역서(작업)" xfId="17971"/>
    <cellStyle name="_입찰표지 _월곳집행(본사)_롯데마그넷(오산점)_통영점공조및위생_내역서(작업) 2" xfId="17972"/>
    <cellStyle name="_입찰표지 _월곳집행(본사)_마그넷오산점내역(020320)" xfId="17973"/>
    <cellStyle name="_입찰표지 _월곳집행(본사)_마그넷오산점내역(020320) 2" xfId="17974"/>
    <cellStyle name="_입찰표지 _월곳집행(본사)_마그넷오산점내역(020320)_내역서(건설사)" xfId="17975"/>
    <cellStyle name="_입찰표지 _월곳집행(본사)_마그넷오산점내역(020320)_내역서(건설사) 2" xfId="17976"/>
    <cellStyle name="_입찰표지 _월곳집행(본사)_마그넷오산점내역(020320)_내역서(작업)" xfId="17977"/>
    <cellStyle name="_입찰표지 _월곳집행(본사)_마그넷오산점내역(020320)_내역서(작업) 2" xfId="17978"/>
    <cellStyle name="_입찰표지 _월곳집행(본사)_마그넷오산점내역(020320)_통영점공조및위생" xfId="17979"/>
    <cellStyle name="_입찰표지 _월곳집행(본사)_마그넷오산점내역(020320)_통영점공조및위생 2" xfId="17980"/>
    <cellStyle name="_입찰표지 _월곳집행(본사)_마그넷오산점내역(020320)_통영점공조및위생_내역서(건설사)" xfId="17981"/>
    <cellStyle name="_입찰표지 _월곳집행(본사)_마그넷오산점내역(020320)_통영점공조및위생_내역서(건설사) 2" xfId="17982"/>
    <cellStyle name="_입찰표지 _월곳집행(본사)_마그넷오산점내역(020320)_통영점공조및위생_내역서(작업)" xfId="17983"/>
    <cellStyle name="_입찰표지 _월곳집행(본사)_마그넷오산점내역(020320)_통영점공조및위생_내역서(작업) 2" xfId="17984"/>
    <cellStyle name="_입찰표지 _월곳집행(본사)_정-의왕가스경보설비공사(기안)" xfId="17985"/>
    <cellStyle name="_입찰표지 _월곳집행(본사)_정-의왕가스경보설비공사(기안) 2" xfId="17986"/>
    <cellStyle name="_입찰표지 _월곳집행(본사)_정-의왕가스경보설비공사(기안)_내역서(건설사)" xfId="17987"/>
    <cellStyle name="_입찰표지 _월곳집행(본사)_정-의왕가스경보설비공사(기안)_내역서(건설사) 2" xfId="17988"/>
    <cellStyle name="_입찰표지 _월곳집행(본사)_정-의왕가스경보설비공사(기안)_내역서(작업)" xfId="17989"/>
    <cellStyle name="_입찰표지 _월곳집행(본사)_정-의왕가스경보설비공사(기안)_내역서(작업) 2" xfId="17990"/>
    <cellStyle name="_입찰표지 _월곳집행(본사)_정-의왕가스경보설비공사(기안)_통영점공조및위생" xfId="17991"/>
    <cellStyle name="_입찰표지 _월곳집행(본사)_정-의왕가스경보설비공사(기안)_통영점공조및위생 2" xfId="17992"/>
    <cellStyle name="_입찰표지 _월곳집행(본사)_정-의왕가스경보설비공사(기안)_통영점공조및위생_내역서(건설사)" xfId="17993"/>
    <cellStyle name="_입찰표지 _월곳집행(본사)_정-의왕가스경보설비공사(기안)_통영점공조및위생_내역서(건설사) 2" xfId="17994"/>
    <cellStyle name="_입찰표지 _월곳집행(본사)_정-의왕가스경보설비공사(기안)_통영점공조및위생_내역서(작업)" xfId="17995"/>
    <cellStyle name="_입찰표지 _월곳집행(본사)_정-의왕가스경보설비공사(기안)_통영점공조및위생_내역서(작업) 2" xfId="17996"/>
    <cellStyle name="_입찰표지 _월곳집행(본사)_통영점공조및위생" xfId="17997"/>
    <cellStyle name="_입찰표지 _월곳집행(본사)_통영점공조및위생 2" xfId="17998"/>
    <cellStyle name="_입찰표지 _월곳집행(본사)_통영점공조및위생_내역서(건설사)" xfId="17999"/>
    <cellStyle name="_입찰표지 _월곳집행(본사)_통영점공조및위생_내역서(건설사) 2" xfId="18000"/>
    <cellStyle name="_입찰표지 _월곳집행(본사)_통영점공조및위생_내역서(작업)" xfId="18001"/>
    <cellStyle name="_입찰표지 _월곳집행(본사)_통영점공조및위생_내역서(작업) 2" xfId="18002"/>
    <cellStyle name="_입찰표지 _월곶3차집행(R0)" xfId="18003"/>
    <cellStyle name="_입찰표지 _월곶3차집행(R0) 2" xfId="18004"/>
    <cellStyle name="_입찰표지 _월곶3차집행(R0)_Book2" xfId="18005"/>
    <cellStyle name="_입찰표지 _월곶3차집행(R0)_Book2 2" xfId="18006"/>
    <cellStyle name="_입찰표지 _월곶3차집행(R0)_Book4" xfId="18007"/>
    <cellStyle name="_입찰표지 _월곶3차집행(R0)_Book4 2" xfId="18008"/>
    <cellStyle name="_입찰표지 _정-의왕가스경보설비공사(기안)" xfId="18009"/>
    <cellStyle name="_입찰표지 _정-의왕가스경보설비공사(기안) 2" xfId="18010"/>
    <cellStyle name="_입찰표지 _정-의왕가스경보설비공사(기안)_내역서(건설사)" xfId="18011"/>
    <cellStyle name="_입찰표지 _정-의왕가스경보설비공사(기안)_내역서(건설사) 2" xfId="18012"/>
    <cellStyle name="_입찰표지 _정-의왕가스경보설비공사(기안)_내역서(작업)" xfId="18013"/>
    <cellStyle name="_입찰표지 _정-의왕가스경보설비공사(기안)_내역서(작업) 2" xfId="18014"/>
    <cellStyle name="_입찰표지 _정-의왕가스경보설비공사(기안)_통영점공조및위생" xfId="18015"/>
    <cellStyle name="_입찰표지 _정-의왕가스경보설비공사(기안)_통영점공조및위생 2" xfId="18016"/>
    <cellStyle name="_입찰표지 _정-의왕가스경보설비공사(기안)_통영점공조및위생_내역서(건설사)" xfId="18017"/>
    <cellStyle name="_입찰표지 _정-의왕가스경보설비공사(기안)_통영점공조및위생_내역서(건설사) 2" xfId="18018"/>
    <cellStyle name="_입찰표지 _정-의왕가스경보설비공사(기안)_통영점공조및위생_내역서(작업)" xfId="18019"/>
    <cellStyle name="_입찰표지 _정-의왕가스경보설비공사(기안)_통영점공조및위생_내역서(작업) 2" xfId="18020"/>
    <cellStyle name="_입찰표지 _지붕공사" xfId="18021"/>
    <cellStyle name="_입찰표지 _지붕공사 2" xfId="18022"/>
    <cellStyle name="_입찰표지 _지붕공사_1.흙막이공사 - 견적대비조서(입찰)" xfId="18023"/>
    <cellStyle name="_입찰표지 _지붕공사_1.흙막이공사 - 견적대비조서(입찰) 2" xfId="18024"/>
    <cellStyle name="_입찰표지 _지붕공사_사본 - ☆태평동  도급내역" xfId="18025"/>
    <cellStyle name="_입찰표지 _지붕공사_사본 - ☆태평동  도급내역 2" xfId="18026"/>
    <cellStyle name="_입찰표지 _지붕공사_성남태평동설비공사" xfId="18027"/>
    <cellStyle name="_입찰표지 _지붕공사_성남태평동설비공사 2" xfId="18028"/>
    <cellStyle name="_입찰표지 _지붕공사_수원율전 실행내역" xfId="18029"/>
    <cellStyle name="_입찰표지 _지붕공사_수원율전 실행내역 2" xfId="18030"/>
    <cellStyle name="_입찰표지 _지붕공사_수원율전 실행내역 검토안" xfId="18031"/>
    <cellStyle name="_입찰표지 _지붕공사_수원율전 실행내역 검토안 2" xfId="18032"/>
    <cellStyle name="_입찰표지 _지붕공사_수원율전 실행내역 검토안_사본 - ☆태평동  도급내역" xfId="18033"/>
    <cellStyle name="_입찰표지 _지붕공사_수원율전 실행내역 검토안_사본 - ☆태평동  도급내역 2" xfId="18034"/>
    <cellStyle name="_입찰표지 _지붕공사_수원율전 실행내역 검토안_성남태평동설비공사" xfId="18035"/>
    <cellStyle name="_입찰표지 _지붕공사_수원율전 실행내역 검토안_성남태평동설비공사 2" xfId="18036"/>
    <cellStyle name="_입찰표지 _지붕공사_수원율전 실행내역 검토안_수원율전 실행내역" xfId="18037"/>
    <cellStyle name="_입찰표지 _지붕공사_수원율전 실행내역 검토안_수원율전 실행내역 2" xfId="18038"/>
    <cellStyle name="_입찰표지 _지붕공사_수원율전 실행내역 검토안_수원율전 실행내역 검토안" xfId="18039"/>
    <cellStyle name="_입찰표지 _지붕공사_수원율전 실행내역 검토안_수원율전 실행내역 검토안 2" xfId="18040"/>
    <cellStyle name="_입찰표지 _지붕공사_수원율전 실행내역 검토안_수원율전 실행내역 검토안_사본 - ☆태평동  도급내역" xfId="18041"/>
    <cellStyle name="_입찰표지 _지붕공사_수원율전 실행내역 검토안_수원율전 실행내역 검토안_사본 - ☆태평동  도급내역 2" xfId="18042"/>
    <cellStyle name="_입찰표지 _지붕공사_수원율전 실행내역 검토안_수원율전 실행내역 검토안_성남태평동설비공사" xfId="18043"/>
    <cellStyle name="_입찰표지 _지붕공사_수원율전 실행내역 검토안_수원율전 실행내역 검토안_성남태평동설비공사 2" xfId="18044"/>
    <cellStyle name="_입찰표지 _지붕공사_수원율전 실행내역 검토안_수원율전 실행내역 검토안_수정구 태평동 주상복합 실행내역 검토안" xfId="18045"/>
    <cellStyle name="_입찰표지 _지붕공사_수원율전 실행내역 검토안_수원율전 실행내역 검토안_수정구 태평동 주상복합 실행내역 검토안 2" xfId="18046"/>
    <cellStyle name="_입찰표지 _지붕공사_수원율전 실행내역 검토안_수원율전 실행내역 검토안_태평동 실행내역서" xfId="18047"/>
    <cellStyle name="_입찰표지 _지붕공사_수원율전 실행내역 검토안_수원율전 실행내역 검토안_태평동 실행내역서 2" xfId="18048"/>
    <cellStyle name="_입찰표지 _지붕공사_수원율전 실행내역 검토안_수원율전 실행내역 검토안_태평동도급내역(Rev.2)-12.26" xfId="18049"/>
    <cellStyle name="_입찰표지 _지붕공사_수원율전 실행내역 검토안_수원율전 실행내역 검토안_태평동도급내역(Rev.2)-12.26 2" xfId="18050"/>
    <cellStyle name="_입찰표지 _지붕공사_수원율전 실행내역 검토안_수정구 태평동 주상복합 실행내역 검토안" xfId="18051"/>
    <cellStyle name="_입찰표지 _지붕공사_수원율전 실행내역 검토안_수정구 태평동 주상복합 실행내역 검토안 2" xfId="18052"/>
    <cellStyle name="_입찰표지 _지붕공사_수원율전 실행내역 검토안_태평동 실행내역서" xfId="18053"/>
    <cellStyle name="_입찰표지 _지붕공사_수원율전 실행내역 검토안_태평동 실행내역서 2" xfId="18054"/>
    <cellStyle name="_입찰표지 _지붕공사_수원율전 실행내역 검토안_태평동도급내역(Rev.2)-12.26" xfId="18055"/>
    <cellStyle name="_입찰표지 _지붕공사_수원율전 실행내역 검토안_태평동도급내역(Rev.2)-12.26 2" xfId="18056"/>
    <cellStyle name="_입찰표지 _지붕공사_수원율전조합" xfId="18057"/>
    <cellStyle name="_입찰표지 _지붕공사_수원율전조합 2" xfId="18058"/>
    <cellStyle name="_입찰표지 _지붕공사_수원율전조합_사본 - ☆태평동  도급내역" xfId="18059"/>
    <cellStyle name="_입찰표지 _지붕공사_수원율전조합_사본 - ☆태평동  도급내역 2" xfId="18060"/>
    <cellStyle name="_입찰표지 _지붕공사_수원율전조합_성남태평동설비공사" xfId="18061"/>
    <cellStyle name="_입찰표지 _지붕공사_수원율전조합_성남태평동설비공사 2" xfId="18062"/>
    <cellStyle name="_입찰표지 _지붕공사_수원율전조합_수원율전 실행내역" xfId="18063"/>
    <cellStyle name="_입찰표지 _지붕공사_수원율전조합_수원율전 실행내역 2" xfId="18064"/>
    <cellStyle name="_입찰표지 _지붕공사_수원율전조합_수원율전 실행내역 검토안" xfId="18065"/>
    <cellStyle name="_입찰표지 _지붕공사_수원율전조합_수원율전 실행내역 검토안 2" xfId="18066"/>
    <cellStyle name="_입찰표지 _지붕공사_수원율전조합_수원율전 실행내역 검토안_사본 - ☆태평동  도급내역" xfId="18067"/>
    <cellStyle name="_입찰표지 _지붕공사_수원율전조합_수원율전 실행내역 검토안_사본 - ☆태평동  도급내역 2" xfId="18068"/>
    <cellStyle name="_입찰표지 _지붕공사_수원율전조합_수원율전 실행내역 검토안_성남태평동설비공사" xfId="18069"/>
    <cellStyle name="_입찰표지 _지붕공사_수원율전조합_수원율전 실행내역 검토안_성남태평동설비공사 2" xfId="18070"/>
    <cellStyle name="_입찰표지 _지붕공사_수원율전조합_수원율전 실행내역 검토안_수정구 태평동 주상복합 실행내역 검토안" xfId="18071"/>
    <cellStyle name="_입찰표지 _지붕공사_수원율전조합_수원율전 실행내역 검토안_수정구 태평동 주상복합 실행내역 검토안 2" xfId="18072"/>
    <cellStyle name="_입찰표지 _지붕공사_수원율전조합_수원율전 실행내역 검토안_태평동 실행내역서" xfId="18073"/>
    <cellStyle name="_입찰표지 _지붕공사_수원율전조합_수원율전 실행내역 검토안_태평동 실행내역서 2" xfId="18074"/>
    <cellStyle name="_입찰표지 _지붕공사_수원율전조합_수원율전 실행내역 검토안_태평동도급내역(Rev.2)-12.26" xfId="18075"/>
    <cellStyle name="_입찰표지 _지붕공사_수원율전조합_수원율전 실행내역 검토안_태평동도급내역(Rev.2)-12.26 2" xfId="18076"/>
    <cellStyle name="_입찰표지 _지붕공사_수원율전조합_수정구 태평동 주상복합 실행내역 검토안" xfId="18077"/>
    <cellStyle name="_입찰표지 _지붕공사_수원율전조합_수정구 태평동 주상복합 실행내역 검토안 2" xfId="18078"/>
    <cellStyle name="_입찰표지 _지붕공사_수원율전조합_태평동 실행내역서" xfId="18079"/>
    <cellStyle name="_입찰표지 _지붕공사_수원율전조합_태평동 실행내역서 2" xfId="18080"/>
    <cellStyle name="_입찰표지 _지붕공사_수원율전조합_태평동도급내역(Rev.2)-12.26" xfId="18081"/>
    <cellStyle name="_입찰표지 _지붕공사_수원율전조합_태평동도급내역(Rev.2)-12.26 2" xfId="18082"/>
    <cellStyle name="_입찰표지 _지붕공사_수정구 태평동 주상복합 실행내역 검토안" xfId="18083"/>
    <cellStyle name="_입찰표지 _지붕공사_수정구 태평동 주상복합 실행내역 검토안 2" xfId="18084"/>
    <cellStyle name="_입찰표지 _지붕공사_태평동 실행내역서" xfId="18085"/>
    <cellStyle name="_입찰표지 _지붕공사_태평동 실행내역서 2" xfId="18086"/>
    <cellStyle name="_입찰표지 _지붕공사_태평동도급내역(Rev.2)-12.26" xfId="18087"/>
    <cellStyle name="_입찰표지 _지붕공사_태평동도급내역(Rev.2)-12.26 2" xfId="18088"/>
    <cellStyle name="_입찰표지 _집행내역서(Rev.0)" xfId="18089"/>
    <cellStyle name="_입찰표지 _집행내역서(Rev.0) 2" xfId="18090"/>
    <cellStyle name="_입찰표지 _집행내역서(Rev.0)_Book2" xfId="18091"/>
    <cellStyle name="_입찰표지 _집행내역서(Rev.0)_Book2 2" xfId="18092"/>
    <cellStyle name="_입찰표지 _집행내역서(Rev.0)_Book4" xfId="18093"/>
    <cellStyle name="_입찰표지 _집행내역서(Rev.0)_Book4 2" xfId="18094"/>
    <cellStyle name="_입찰표지 _추가일위대가표 총괄" xfId="18095"/>
    <cellStyle name="_입찰표지 _추가일위대가표 총괄 2" xfId="18096"/>
    <cellStyle name="_입찰표지 _태평동 실행내역서" xfId="18097"/>
    <cellStyle name="_입찰표지 _태평동 실행내역서 2" xfId="18098"/>
    <cellStyle name="_입찰표지 _태평동도급내역(Rev.2)-12.26" xfId="18099"/>
    <cellStyle name="_입찰표지 _태평동도급내역(Rev.2)-12.26 2" xfId="18100"/>
    <cellStyle name="_입찰표지 _통영점공조및위생" xfId="18101"/>
    <cellStyle name="_입찰표지 _통영점공조및위생 2" xfId="18102"/>
    <cellStyle name="_입찰표지 _통영점공조및위생_내역서(건설사)" xfId="18103"/>
    <cellStyle name="_입찰표지 _통영점공조및위생_내역서(건설사) 2" xfId="18104"/>
    <cellStyle name="_입찰표지 _통영점공조및위생_내역서(작업)" xfId="18105"/>
    <cellStyle name="_입찰표지 _통영점공조및위생_내역서(작업) 2" xfId="18106"/>
    <cellStyle name="_입찰표지 _투찰" xfId="18107"/>
    <cellStyle name="_입찰표지 _투찰 2" xfId="18108"/>
    <cellStyle name="_입찰표지 _투찰_Book1" xfId="18109"/>
    <cellStyle name="_입찰표지 _투찰_Book1 2" xfId="18110"/>
    <cellStyle name="_입찰표지 _투찰_Book1_내역서(최초)" xfId="18111"/>
    <cellStyle name="_입찰표지 _투찰_Book1_내역서(최초) 2" xfId="18112"/>
    <cellStyle name="_입찰표지 _투찰_Book1_설계내역서" xfId="18113"/>
    <cellStyle name="_입찰표지 _투찰_Book1_설계내역서 2" xfId="18114"/>
    <cellStyle name="_입찰표지 _투찰_Book1_설계내역서(2차)" xfId="18115"/>
    <cellStyle name="_입찰표지 _투찰_Book1_설계내역서(2차) 2" xfId="18116"/>
    <cellStyle name="_입찰표지 _투찰_P-(현리-신팔)" xfId="18117"/>
    <cellStyle name="_입찰표지 _투찰_P-(현리-신팔) 2" xfId="18118"/>
    <cellStyle name="_입찰표지 _투찰_P-(현리-신팔)_내역서(최초)" xfId="18119"/>
    <cellStyle name="_입찰표지 _투찰_P-(현리-신팔)_내역서(최초) 2" xfId="18120"/>
    <cellStyle name="_입찰표지 _투찰_P-(현리-신팔)_설계내역서" xfId="18121"/>
    <cellStyle name="_입찰표지 _투찰_P-(현리-신팔)_설계내역서 2" xfId="18122"/>
    <cellStyle name="_입찰표지 _투찰_P-(현리-신팔)_설계내역서(2차)" xfId="18123"/>
    <cellStyle name="_입찰표지 _투찰_P-(현리-신팔)_설계내역서(2차) 2" xfId="18124"/>
    <cellStyle name="_입찰표지 _투찰_내역서(최초)" xfId="18125"/>
    <cellStyle name="_입찰표지 _투찰_내역서(최초) 2" xfId="18126"/>
    <cellStyle name="_입찰표지 _투찰_부대결과" xfId="18127"/>
    <cellStyle name="_입찰표지 _투찰_부대결과 2" xfId="18128"/>
    <cellStyle name="_입찰표지 _투찰_부대결과_Book1" xfId="18129"/>
    <cellStyle name="_입찰표지 _투찰_부대결과_Book1 2" xfId="18130"/>
    <cellStyle name="_입찰표지 _투찰_부대결과_Book1_내역서(최초)" xfId="18131"/>
    <cellStyle name="_입찰표지 _투찰_부대결과_Book1_내역서(최초) 2" xfId="18132"/>
    <cellStyle name="_입찰표지 _투찰_부대결과_Book1_설계내역서" xfId="18133"/>
    <cellStyle name="_입찰표지 _투찰_부대결과_Book1_설계내역서 2" xfId="18134"/>
    <cellStyle name="_입찰표지 _투찰_부대결과_Book1_설계내역서(2차)" xfId="18135"/>
    <cellStyle name="_입찰표지 _투찰_부대결과_Book1_설계내역서(2차) 2" xfId="18136"/>
    <cellStyle name="_입찰표지 _투찰_부대결과_P-(현리-신팔)" xfId="18137"/>
    <cellStyle name="_입찰표지 _투찰_부대결과_P-(현리-신팔) 2" xfId="18138"/>
    <cellStyle name="_입찰표지 _투찰_부대결과_P-(현리-신팔)_내역서(최초)" xfId="18139"/>
    <cellStyle name="_입찰표지 _투찰_부대결과_P-(현리-신팔)_내역서(최초) 2" xfId="18140"/>
    <cellStyle name="_입찰표지 _투찰_부대결과_P-(현리-신팔)_설계내역서" xfId="18141"/>
    <cellStyle name="_입찰표지 _투찰_부대결과_P-(현리-신팔)_설계내역서 2" xfId="18142"/>
    <cellStyle name="_입찰표지 _투찰_부대결과_P-(현리-신팔)_설계내역서(2차)" xfId="18143"/>
    <cellStyle name="_입찰표지 _투찰_부대결과_P-(현리-신팔)_설계내역서(2차) 2" xfId="18144"/>
    <cellStyle name="_입찰표지 _투찰_부대결과_내역서(최초)" xfId="18145"/>
    <cellStyle name="_입찰표지 _투찰_부대결과_내역서(최초) 2" xfId="18146"/>
    <cellStyle name="_입찰표지 _투찰_부대결과_설계내역서" xfId="18147"/>
    <cellStyle name="_입찰표지 _투찰_부대결과_설계내역서 2" xfId="18148"/>
    <cellStyle name="_입찰표지 _투찰_부대결과_설계내역서(2차)" xfId="18149"/>
    <cellStyle name="_입찰표지 _투찰_부대결과_설계내역서(2차) 2" xfId="18150"/>
    <cellStyle name="_입찰표지 _투찰_부대결과_현리-신팔도로설계" xfId="18151"/>
    <cellStyle name="_입찰표지 _투찰_부대결과_현리-신팔도로설계 2" xfId="18152"/>
    <cellStyle name="_입찰표지 _투찰_부대결과_현리-신팔도로설계_내역서(최초)" xfId="18153"/>
    <cellStyle name="_입찰표지 _투찰_부대결과_현리-신팔도로설계_내역서(최초) 2" xfId="18154"/>
    <cellStyle name="_입찰표지 _투찰_부대결과_현리-신팔도로설계_설계내역서" xfId="18155"/>
    <cellStyle name="_입찰표지 _투찰_부대결과_현리-신팔도로설계_설계내역서 2" xfId="18156"/>
    <cellStyle name="_입찰표지 _투찰_부대결과_현리-신팔도로설계_설계내역서(2차)" xfId="18157"/>
    <cellStyle name="_입찰표지 _투찰_부대결과_현리-신팔도로설계_설계내역서(2차) 2" xfId="18158"/>
    <cellStyle name="_입찰표지 _투찰_설계내역서" xfId="18159"/>
    <cellStyle name="_입찰표지 _투찰_설계내역서 2" xfId="18160"/>
    <cellStyle name="_입찰표지 _투찰_설계내역서(2차)" xfId="18161"/>
    <cellStyle name="_입찰표지 _투찰_설계내역서(2차) 2" xfId="18162"/>
    <cellStyle name="_입찰표지 _투찰_현리-신팔도로설계" xfId="18163"/>
    <cellStyle name="_입찰표지 _투찰_현리-신팔도로설계 2" xfId="18164"/>
    <cellStyle name="_입찰표지 _투찰_현리-신팔도로설계_내역서(최초)" xfId="18165"/>
    <cellStyle name="_입찰표지 _투찰_현리-신팔도로설계_내역서(최초) 2" xfId="18166"/>
    <cellStyle name="_입찰표지 _투찰_현리-신팔도로설계_설계내역서" xfId="18167"/>
    <cellStyle name="_입찰표지 _투찰_현리-신팔도로설계_설계내역서 2" xfId="18168"/>
    <cellStyle name="_입찰표지 _투찰_현리-신팔도로설계_설계내역서(2차)" xfId="18169"/>
    <cellStyle name="_입찰표지 _투찰_현리-신팔도로설계_설계내역서(2차) 2" xfId="18170"/>
    <cellStyle name="_입찰표지 _파주시금촌(2)지구C2BL풍림APT(1001)-공" xfId="18171"/>
    <cellStyle name="_입찰표지 _파주시금촌(2)지구C2BL풍림APT(1001)-공 2" xfId="18172"/>
    <cellStyle name="_입찰표지 _파주시금촌집행(R2)-상가제외" xfId="18173"/>
    <cellStyle name="_입찰표지 _파주시금촌집행(R2)-상가제외 2" xfId="18174"/>
    <cellStyle name="_입찰표지 _현대건설 대구대천" xfId="18175"/>
    <cellStyle name="_입찰표지 _현대건설 대구대천 2" xfId="18176"/>
    <cellStyle name="_입찰표지 _현리-신팔도로설계" xfId="18177"/>
    <cellStyle name="_입찰표지 _현리-신팔도로설계 2" xfId="18178"/>
    <cellStyle name="_입찰표지 _현리-신팔도로설계_내역서(최초)" xfId="18179"/>
    <cellStyle name="_입찰표지 _현리-신팔도로설계_내역서(최초) 2" xfId="18180"/>
    <cellStyle name="_입찰표지 _현리-신팔도로설계_설계내역서" xfId="18181"/>
    <cellStyle name="_입찰표지 _현리-신팔도로설계_설계내역서 2" xfId="18182"/>
    <cellStyle name="_입찰표지 _현리-신팔도로설계_설계내역서(2차)" xfId="18183"/>
    <cellStyle name="_입찰표지 _현리-신팔도로설계_설계내역서(2차) 2" xfId="18184"/>
    <cellStyle name="_자금수지" xfId="18185"/>
    <cellStyle name="_자금수지 2" xfId="18186"/>
    <cellStyle name="_자금수지09" xfId="18187"/>
    <cellStyle name="_자금수지09 2" xfId="18188"/>
    <cellStyle name="_자금수지11" xfId="18189"/>
    <cellStyle name="_자금수지11 2" xfId="18190"/>
    <cellStyle name="_자금수지12" xfId="18191"/>
    <cellStyle name="_자금수지12 2" xfId="18192"/>
    <cellStyle name="_자금운용 (2)" xfId="18193"/>
    <cellStyle name="_자금운용 (2) 2" xfId="18194"/>
    <cellStyle name="_자동산출-합성수지창호산출(070901)" xfId="18195"/>
    <cellStyle name="_자동산출-합성수지창호산출(070901) 2" xfId="18196"/>
    <cellStyle name="_자료작성" xfId="18197"/>
    <cellStyle name="_자료작성 2" xfId="18198"/>
    <cellStyle name="_자재비교표" xfId="18199"/>
    <cellStyle name="_자재비교표 2" xfId="18200"/>
    <cellStyle name="_작업내역(전기,통신)" xfId="18201"/>
    <cellStyle name="_작업내역(전기,통신) 2" xfId="18202"/>
    <cellStyle name="_잠실점" xfId="18203"/>
    <cellStyle name="_잠실점약전내역" xfId="18204"/>
    <cellStyle name="_장산중학교내역(혁성)" xfId="18205"/>
    <cellStyle name="_장산중학교내역(혁성) 2" xfId="18206"/>
    <cellStyle name="_장산중학교내역(혁성업체)" xfId="18207"/>
    <cellStyle name="_장산중학교내역(혁성업체) 2" xfId="18208"/>
    <cellStyle name="_장산중학교내역하도급(혁성)" xfId="18209"/>
    <cellStyle name="_장산중학교내역하도급(혁성) 2" xfId="18210"/>
    <cellStyle name="_장성IC투찰" xfId="18211"/>
    <cellStyle name="_장성IC투찰 2" xfId="18212"/>
    <cellStyle name="_장성IC투찰_경찰서-터미널간도로(투찰)②" xfId="18213"/>
    <cellStyle name="_장성IC투찰_경찰서-터미널간도로(투찰)② 2" xfId="18214"/>
    <cellStyle name="_장성IC투찰_경찰서-터미널간도로(투찰)②_마현생창(동양고속)" xfId="18215"/>
    <cellStyle name="_장성IC투찰_경찰서-터미널간도로(투찰)②_마현생창(동양고속) 2" xfId="18216"/>
    <cellStyle name="_장성IC투찰_경찰서-터미널간도로(투찰)②_마현생창(동양고속)_왜관-태평건설" xfId="18217"/>
    <cellStyle name="_장성IC투찰_경찰서-터미널간도로(투찰)②_마현생창(동양고속)_왜관-태평건설 2" xfId="18218"/>
    <cellStyle name="_장성IC투찰_경찰서-터미널간도로(투찰)②_왜관-태평건설" xfId="18219"/>
    <cellStyle name="_장성IC투찰_경찰서-터미널간도로(투찰)②_왜관-태평건설 2" xfId="18220"/>
    <cellStyle name="_장성IC투찰_마현생창(동양고속)" xfId="18221"/>
    <cellStyle name="_장성IC투찰_마현생창(동양고속) 2" xfId="18222"/>
    <cellStyle name="_장성IC투찰_마현생창(동양고속)_왜관-태평건설" xfId="18223"/>
    <cellStyle name="_장성IC투찰_마현생창(동양고속)_왜관-태평건설 2" xfId="18224"/>
    <cellStyle name="_장성IC투찰_봉무지방산업단지도로(투찰)②" xfId="18225"/>
    <cellStyle name="_장성IC투찰_봉무지방산업단지도로(투찰)② 2" xfId="18226"/>
    <cellStyle name="_장성IC투찰_봉무지방산업단지도로(투찰)②_마현생창(동양고속)" xfId="18235"/>
    <cellStyle name="_장성IC투찰_봉무지방산업단지도로(투찰)②_마현생창(동양고속) 2" xfId="18236"/>
    <cellStyle name="_장성IC투찰_봉무지방산업단지도로(투찰)②_마현생창(동양고속)_왜관-태평건설" xfId="18237"/>
    <cellStyle name="_장성IC투찰_봉무지방산업단지도로(투찰)②_마현생창(동양고속)_왜관-태평건설 2" xfId="18238"/>
    <cellStyle name="_장성IC투찰_봉무지방산업단지도로(투찰)②_왜관-태평건설" xfId="18239"/>
    <cellStyle name="_장성IC투찰_봉무지방산업단지도로(투찰)②_왜관-태평건설 2" xfId="18240"/>
    <cellStyle name="_장성IC투찰_봉무지방산업단지도로(투찰)②+0.250%" xfId="18227"/>
    <cellStyle name="_장성IC투찰_봉무지방산업단지도로(투찰)②+0.250% 2" xfId="18228"/>
    <cellStyle name="_장성IC투찰_봉무지방산업단지도로(투찰)②+0.250%_마현생창(동양고속)" xfId="18229"/>
    <cellStyle name="_장성IC투찰_봉무지방산업단지도로(투찰)②+0.250%_마현생창(동양고속) 2" xfId="18230"/>
    <cellStyle name="_장성IC투찰_봉무지방산업단지도로(투찰)②+0.250%_마현생창(동양고속)_왜관-태평건설" xfId="18231"/>
    <cellStyle name="_장성IC투찰_봉무지방산업단지도로(투찰)②+0.250%_마현생창(동양고속)_왜관-태평건설 2" xfId="18232"/>
    <cellStyle name="_장성IC투찰_봉무지방산업단지도로(투찰)②+0.250%_왜관-태평건설" xfId="18233"/>
    <cellStyle name="_장성IC투찰_봉무지방산업단지도로(투찰)②+0.250%_왜관-태평건설 2" xfId="18234"/>
    <cellStyle name="_장성IC투찰_왜관-태평건설" xfId="18241"/>
    <cellStyle name="_장성IC투찰_왜관-태평건설 2" xfId="18242"/>
    <cellStyle name="_장성IC투찰_합덕-신례원(2공구)투찰" xfId="18243"/>
    <cellStyle name="_장성IC투찰_합덕-신례원(2공구)투찰 2" xfId="18244"/>
    <cellStyle name="_장성IC투찰_합덕-신례원(2공구)투찰_경찰서-터미널간도로(투찰)②" xfId="18245"/>
    <cellStyle name="_장성IC투찰_합덕-신례원(2공구)투찰_경찰서-터미널간도로(투찰)② 2" xfId="18246"/>
    <cellStyle name="_장성IC투찰_합덕-신례원(2공구)투찰_경찰서-터미널간도로(투찰)②_마현생창(동양고속)" xfId="18247"/>
    <cellStyle name="_장성IC투찰_합덕-신례원(2공구)투찰_경찰서-터미널간도로(투찰)②_마현생창(동양고속) 2" xfId="18248"/>
    <cellStyle name="_장성IC투찰_합덕-신례원(2공구)투찰_경찰서-터미널간도로(투찰)②_마현생창(동양고속)_왜관-태평건설" xfId="18249"/>
    <cellStyle name="_장성IC투찰_합덕-신례원(2공구)투찰_경찰서-터미널간도로(투찰)②_마현생창(동양고속)_왜관-태평건설 2" xfId="18250"/>
    <cellStyle name="_장성IC투찰_합덕-신례원(2공구)투찰_경찰서-터미널간도로(투찰)②_왜관-태평건설" xfId="18251"/>
    <cellStyle name="_장성IC투찰_합덕-신례원(2공구)투찰_경찰서-터미널간도로(투찰)②_왜관-태평건설 2" xfId="18252"/>
    <cellStyle name="_장성IC투찰_합덕-신례원(2공구)투찰_마현생창(동양고속)" xfId="18253"/>
    <cellStyle name="_장성IC투찰_합덕-신례원(2공구)투찰_마현생창(동양고속) 2" xfId="18254"/>
    <cellStyle name="_장성IC투찰_합덕-신례원(2공구)투찰_마현생창(동양고속)_왜관-태평건설" xfId="18255"/>
    <cellStyle name="_장성IC투찰_합덕-신례원(2공구)투찰_마현생창(동양고속)_왜관-태평건설 2" xfId="18256"/>
    <cellStyle name="_장성IC투찰_합덕-신례원(2공구)투찰_봉무지방산업단지도로(투찰)②" xfId="18257"/>
    <cellStyle name="_장성IC투찰_합덕-신례원(2공구)투찰_봉무지방산업단지도로(투찰)② 2" xfId="18258"/>
    <cellStyle name="_장성IC투찰_합덕-신례원(2공구)투찰_봉무지방산업단지도로(투찰)②_마현생창(동양고속)" xfId="18267"/>
    <cellStyle name="_장성IC투찰_합덕-신례원(2공구)투찰_봉무지방산업단지도로(투찰)②_마현생창(동양고속) 2" xfId="18268"/>
    <cellStyle name="_장성IC투찰_합덕-신례원(2공구)투찰_봉무지방산업단지도로(투찰)②_마현생창(동양고속)_왜관-태평건설" xfId="18269"/>
    <cellStyle name="_장성IC투찰_합덕-신례원(2공구)투찰_봉무지방산업단지도로(투찰)②_마현생창(동양고속)_왜관-태평건설 2" xfId="18270"/>
    <cellStyle name="_장성IC투찰_합덕-신례원(2공구)투찰_봉무지방산업단지도로(투찰)②_왜관-태평건설" xfId="18271"/>
    <cellStyle name="_장성IC투찰_합덕-신례원(2공구)투찰_봉무지방산업단지도로(투찰)②_왜관-태평건설 2" xfId="18272"/>
    <cellStyle name="_장성IC투찰_합덕-신례원(2공구)투찰_봉무지방산업단지도로(투찰)②+0.250%" xfId="18259"/>
    <cellStyle name="_장성IC투찰_합덕-신례원(2공구)투찰_봉무지방산업단지도로(투찰)②+0.250% 2" xfId="18260"/>
    <cellStyle name="_장성IC투찰_합덕-신례원(2공구)투찰_봉무지방산업단지도로(투찰)②+0.250%_마현생창(동양고속)" xfId="18261"/>
    <cellStyle name="_장성IC투찰_합덕-신례원(2공구)투찰_봉무지방산업단지도로(투찰)②+0.250%_마현생창(동양고속) 2" xfId="18262"/>
    <cellStyle name="_장성IC투찰_합덕-신례원(2공구)투찰_봉무지방산업단지도로(투찰)②+0.250%_마현생창(동양고속)_왜관-태평건설" xfId="18263"/>
    <cellStyle name="_장성IC투찰_합덕-신례원(2공구)투찰_봉무지방산업단지도로(투찰)②+0.250%_마현생창(동양고속)_왜관-태평건설 2" xfId="18264"/>
    <cellStyle name="_장성IC투찰_합덕-신례원(2공구)투찰_봉무지방산업단지도로(투찰)②+0.250%_왜관-태평건설" xfId="18265"/>
    <cellStyle name="_장성IC투찰_합덕-신례원(2공구)투찰_봉무지방산업단지도로(투찰)②+0.250%_왜관-태평건설 2" xfId="18266"/>
    <cellStyle name="_장성IC투찰_합덕-신례원(2공구)투찰_왜관-태평건설" xfId="18273"/>
    <cellStyle name="_장성IC투찰_합덕-신례원(2공구)투찰_왜관-태평건설 2" xfId="18274"/>
    <cellStyle name="_장성IC투찰_합덕-신례원(2공구)투찰_합덕-신례원(2공구)투찰" xfId="18275"/>
    <cellStyle name="_장성IC투찰_합덕-신례원(2공구)투찰_합덕-신례원(2공구)투찰 2" xfId="18276"/>
    <cellStyle name="_장성IC투찰_합덕-신례원(2공구)투찰_합덕-신례원(2공구)투찰_경찰서-터미널간도로(투찰)②" xfId="18277"/>
    <cellStyle name="_장성IC투찰_합덕-신례원(2공구)투찰_합덕-신례원(2공구)투찰_경찰서-터미널간도로(투찰)② 2" xfId="18278"/>
    <cellStyle name="_장성IC투찰_합덕-신례원(2공구)투찰_합덕-신례원(2공구)투찰_경찰서-터미널간도로(투찰)②_마현생창(동양고속)" xfId="18279"/>
    <cellStyle name="_장성IC투찰_합덕-신례원(2공구)투찰_합덕-신례원(2공구)투찰_경찰서-터미널간도로(투찰)②_마현생창(동양고속) 2" xfId="18280"/>
    <cellStyle name="_장성IC투찰_합덕-신례원(2공구)투찰_합덕-신례원(2공구)투찰_경찰서-터미널간도로(투찰)②_마현생창(동양고속)_왜관-태평건설" xfId="18281"/>
    <cellStyle name="_장성IC투찰_합덕-신례원(2공구)투찰_합덕-신례원(2공구)투찰_경찰서-터미널간도로(투찰)②_마현생창(동양고속)_왜관-태평건설 2" xfId="18282"/>
    <cellStyle name="_장성IC투찰_합덕-신례원(2공구)투찰_합덕-신례원(2공구)투찰_경찰서-터미널간도로(투찰)②_왜관-태평건설" xfId="18283"/>
    <cellStyle name="_장성IC투찰_합덕-신례원(2공구)투찰_합덕-신례원(2공구)투찰_경찰서-터미널간도로(투찰)②_왜관-태평건설 2" xfId="18284"/>
    <cellStyle name="_장성IC투찰_합덕-신례원(2공구)투찰_합덕-신례원(2공구)투찰_마현생창(동양고속)" xfId="18285"/>
    <cellStyle name="_장성IC투찰_합덕-신례원(2공구)투찰_합덕-신례원(2공구)투찰_마현생창(동양고속) 2" xfId="18286"/>
    <cellStyle name="_장성IC투찰_합덕-신례원(2공구)투찰_합덕-신례원(2공구)투찰_마현생창(동양고속)_왜관-태평건설" xfId="18287"/>
    <cellStyle name="_장성IC투찰_합덕-신례원(2공구)투찰_합덕-신례원(2공구)투찰_마현생창(동양고속)_왜관-태평건설 2" xfId="18288"/>
    <cellStyle name="_장성IC투찰_합덕-신례원(2공구)투찰_합덕-신례원(2공구)투찰_봉무지방산업단지도로(투찰)②" xfId="18289"/>
    <cellStyle name="_장성IC투찰_합덕-신례원(2공구)투찰_합덕-신례원(2공구)투찰_봉무지방산업단지도로(투찰)② 2" xfId="18290"/>
    <cellStyle name="_장성IC투찰_합덕-신례원(2공구)투찰_합덕-신례원(2공구)투찰_봉무지방산업단지도로(투찰)②_마현생창(동양고속)" xfId="18299"/>
    <cellStyle name="_장성IC투찰_합덕-신례원(2공구)투찰_합덕-신례원(2공구)투찰_봉무지방산업단지도로(투찰)②_마현생창(동양고속) 2" xfId="18300"/>
    <cellStyle name="_장성IC투찰_합덕-신례원(2공구)투찰_합덕-신례원(2공구)투찰_봉무지방산업단지도로(투찰)②_마현생창(동양고속)_왜관-태평건설" xfId="18301"/>
    <cellStyle name="_장성IC투찰_합덕-신례원(2공구)투찰_합덕-신례원(2공구)투찰_봉무지방산업단지도로(투찰)②_마현생창(동양고속)_왜관-태평건설 2" xfId="18302"/>
    <cellStyle name="_장성IC투찰_합덕-신례원(2공구)투찰_합덕-신례원(2공구)투찰_봉무지방산업단지도로(투찰)②_왜관-태평건설" xfId="18303"/>
    <cellStyle name="_장성IC투찰_합덕-신례원(2공구)투찰_합덕-신례원(2공구)투찰_봉무지방산업단지도로(투찰)②_왜관-태평건설 2" xfId="18304"/>
    <cellStyle name="_장성IC투찰_합덕-신례원(2공구)투찰_합덕-신례원(2공구)투찰_봉무지방산업단지도로(투찰)②+0.250%" xfId="18291"/>
    <cellStyle name="_장성IC투찰_합덕-신례원(2공구)투찰_합덕-신례원(2공구)투찰_봉무지방산업단지도로(투찰)②+0.250% 2" xfId="18292"/>
    <cellStyle name="_장성IC투찰_합덕-신례원(2공구)투찰_합덕-신례원(2공구)투찰_봉무지방산업단지도로(투찰)②+0.250%_마현생창(동양고속)" xfId="18293"/>
    <cellStyle name="_장성IC투찰_합덕-신례원(2공구)투찰_합덕-신례원(2공구)투찰_봉무지방산업단지도로(투찰)②+0.250%_마현생창(동양고속) 2" xfId="18294"/>
    <cellStyle name="_장성IC투찰_합덕-신례원(2공구)투찰_합덕-신례원(2공구)투찰_봉무지방산업단지도로(투찰)②+0.250%_마현생창(동양고속)_왜관-태평건설" xfId="18295"/>
    <cellStyle name="_장성IC투찰_합덕-신례원(2공구)투찰_합덕-신례원(2공구)투찰_봉무지방산업단지도로(투찰)②+0.250%_마현생창(동양고속)_왜관-태평건설 2" xfId="18296"/>
    <cellStyle name="_장성IC투찰_합덕-신례원(2공구)투찰_합덕-신례원(2공구)투찰_봉무지방산업단지도로(투찰)②+0.250%_왜관-태평건설" xfId="18297"/>
    <cellStyle name="_장성IC투찰_합덕-신례원(2공구)투찰_합덕-신례원(2공구)투찰_봉무지방산업단지도로(투찰)②+0.250%_왜관-태평건설 2" xfId="18298"/>
    <cellStyle name="_장성IC투찰_합덕-신례원(2공구)투찰_합덕-신례원(2공구)투찰_왜관-태평건설" xfId="18305"/>
    <cellStyle name="_장성IC투찰_합덕-신례원(2공구)투찰_합덕-신례원(2공구)투찰_왜관-태평건설 2" xfId="18306"/>
    <cellStyle name="_장현중(내역서+개요)" xfId="18307"/>
    <cellStyle name="_장현중(내역서+개요) 2" xfId="18308"/>
    <cellStyle name="_재고계획2" xfId="18309"/>
    <cellStyle name="_재고계획2 2" xfId="18310"/>
    <cellStyle name="_재고채권" xfId="18311"/>
    <cellStyle name="_재고채권 2" xfId="18312"/>
    <cellStyle name="_적격 " xfId="18313"/>
    <cellStyle name="_적격  2" xfId="18314"/>
    <cellStyle name="_적격  2 2" xfId="18315"/>
    <cellStyle name="_적격  3" xfId="18316"/>
    <cellStyle name="_적격  3 2" xfId="18317"/>
    <cellStyle name="_적격  4" xfId="18318"/>
    <cellStyle name="_적격  4 2" xfId="18319"/>
    <cellStyle name="_적격  5" xfId="18320"/>
    <cellStyle name="_적격  5 2" xfId="18321"/>
    <cellStyle name="_적격  6" xfId="18322"/>
    <cellStyle name="_적격  6 2" xfId="18323"/>
    <cellStyle name="_적격  7" xfId="18324"/>
    <cellStyle name="_적격  7 2" xfId="18325"/>
    <cellStyle name="_적격  8" xfId="18326"/>
    <cellStyle name="_적격 _1.방수공사" xfId="18327"/>
    <cellStyle name="_적격 _1.방수공사 2" xfId="18328"/>
    <cellStyle name="_적격 _1.방수공사_1.흙막이공사 - 견적대비조서(입찰)" xfId="18329"/>
    <cellStyle name="_적격 _1.방수공사_1.흙막이공사 - 견적대비조서(입찰) 2" xfId="18330"/>
    <cellStyle name="_적격 _1.흙막이공사 - 견적대비조서(입찰)" xfId="18331"/>
    <cellStyle name="_적격 _1.흙막이공사 - 견적대비조서(입찰) 2" xfId="18332"/>
    <cellStyle name="_적격 _2000TMP-POW2" xfId="18333"/>
    <cellStyle name="_적격 _2000TMP-POW2 2" xfId="18334"/>
    <cellStyle name="_적격 _2000TMP-POW2_서초풍림아이원플러스(0723)(2)" xfId="18335"/>
    <cellStyle name="_적격 _2000TMP-POW2_서초풍림아이원플러스(0723)(2) 2" xfId="18336"/>
    <cellStyle name="_적격 _2000TMP-POW2_파주시금촌(2)지구C2BL풍림APT(1001)-공" xfId="18337"/>
    <cellStyle name="_적격 _2000TMP-POW2_파주시금촌(2)지구C2BL풍림APT(1001)-공 2" xfId="18338"/>
    <cellStyle name="_적격 _2001TMP-POW2" xfId="18339"/>
    <cellStyle name="_적격 _2001TMP-POW2 2" xfId="18340"/>
    <cellStyle name="_적격 _2001TMP-POW2_서초풍림아이원플러스(0723)(2)" xfId="18341"/>
    <cellStyle name="_적격 _2001TMP-POW2_서초풍림아이원플러스(0723)(2) 2" xfId="18342"/>
    <cellStyle name="_적격 _2001TMP-POW2_파주시금촌(2)지구C2BL풍림APT(1001)-공" xfId="18343"/>
    <cellStyle name="_적격 _2001TMP-POW2_파주시금촌(2)지구C2BL풍림APT(1001)-공 2" xfId="18344"/>
    <cellStyle name="_적격 _2003TMP-POW0" xfId="18345"/>
    <cellStyle name="_적격 _2003TMP-POW0 2" xfId="18346"/>
    <cellStyle name="_적격 _2003TMP-POW0_2003TMP-POW1" xfId="18347"/>
    <cellStyle name="_적격 _2003TMP-POW0_2003TMP-POW1 2" xfId="18348"/>
    <cellStyle name="_적격 _2003TMP-POW0_2003TMP-POW1_2003TMP-POW1" xfId="18349"/>
    <cellStyle name="_적격 _2003TMP-POW0_2003TMP-POW1_2003TMP-POW1 2" xfId="18350"/>
    <cellStyle name="_적격 _2003TMP-POW0_2003TMP-POW1_2003TMP-POW1_2003TMP-POW1" xfId="18351"/>
    <cellStyle name="_적격 _2003TMP-POW0_2003TMP-POW1_2003TMP-POW1_2003TMP-POW1 2" xfId="18352"/>
    <cellStyle name="_적격 _2003TMP-POW0_2003TMP-POW1_2003TMP-POW1_2003TMP-POW1_2003TMP-POW1" xfId="18353"/>
    <cellStyle name="_적격 _2003TMP-POW0_2003TMP-POW1_2003TMP-POW1_2003TMP-POW1_2003TMP-POW1 2" xfId="18354"/>
    <cellStyle name="_적격 _2003TMP-POW0_2003TMP-POW1_2003TMP-POW1_2003TMP-POW1_2003TMP-POW1_2004TMP-POW0" xfId="18355"/>
    <cellStyle name="_적격 _2003TMP-POW0_2003TMP-POW1_2003TMP-POW1_2003TMP-POW1_2003TMP-POW1_2004TMP-POW0 2" xfId="18356"/>
    <cellStyle name="_적격 _2003TMP-POW0_2003TMP-POW1_2003TMP-POW1_2003TMP-POW1_2003TMP-POW1_2004TMP-POW0_2004TMP-POW0" xfId="18357"/>
    <cellStyle name="_적격 _2003TMP-POW0_2003TMP-POW1_2003TMP-POW1_2003TMP-POW1_2003TMP-POW1_2004TMP-POW0_2004TMP-POW0 2" xfId="18358"/>
    <cellStyle name="_적격 _2003TMP-POW0_2003TMP-POW1_2003TMP-POW1_2003TMP-POW1_2003TMP-POW1_2004TMP-POW0_2004TMP-POW0_2004TMP-POW0" xfId="18359"/>
    <cellStyle name="_적격 _2003TMP-POW0_2003TMP-POW1_2003TMP-POW1_2003TMP-POW1_2003TMP-POW1_2004TMP-POW0_2004TMP-POW0_2004TMP-POW0 2" xfId="18360"/>
    <cellStyle name="_적격 _2003TMP-POW0_2003TMP-POW1_2003TMP-POW1_2003TMP-POW1_2003TMP-POW1_2004TMP-POW0_2004TMP-POW0_2004TMP-POW0_2004TMP-POW0" xfId="18361"/>
    <cellStyle name="_적격 _2003TMP-POW0_2003TMP-POW1_2003TMP-POW1_2003TMP-POW1_2003TMP-POW1_2004TMP-POW0_2004TMP-POW0_2004TMP-POW0_2004TMP-POW0 2" xfId="18362"/>
    <cellStyle name="_적격 _2003TMP-POW0_2003TMP-POW1_2003TMP-POW1_2003TMP-POW1_2004TMP-POW0" xfId="18363"/>
    <cellStyle name="_적격 _2003TMP-POW0_2003TMP-POW1_2003TMP-POW1_2003TMP-POW1_2004TMP-POW0 2" xfId="18364"/>
    <cellStyle name="_적격 _2003TMP-POW0_2003TMP-POW1_2003TMP-POW1_2003TMP-POW1_2004TMP-POW0_2004TMP-POW0" xfId="18365"/>
    <cellStyle name="_적격 _2003TMP-POW0_2003TMP-POW1_2003TMP-POW1_2003TMP-POW1_2004TMP-POW0_2004TMP-POW0 2" xfId="18366"/>
    <cellStyle name="_적격 _2003TMP-POW0_2003TMP-POW1_2003TMP-POW1_2003TMP-POW1_2004TMP-POW0_2004TMP-POW0_2004TMP-POW0" xfId="18367"/>
    <cellStyle name="_적격 _2003TMP-POW0_2003TMP-POW1_2003TMP-POW1_2003TMP-POW1_2004TMP-POW0_2004TMP-POW0_2004TMP-POW0 2" xfId="18368"/>
    <cellStyle name="_적격 _2003TMP-POW0_2003TMP-POW1_2003TMP-POW1_2004TMP-POW0" xfId="18369"/>
    <cellStyle name="_적격 _2003TMP-POW0_2003TMP-POW1_2003TMP-POW1_2004TMP-POW0 2" xfId="18370"/>
    <cellStyle name="_적격 _2003TMP-POW0_2003TMP-POW1_2003TMP-POW1_2004TMP-POW0_2004TMP-POW0" xfId="18371"/>
    <cellStyle name="_적격 _2003TMP-POW0_2003TMP-POW1_2003TMP-POW1_2004TMP-POW0_2004TMP-POW0 2" xfId="18372"/>
    <cellStyle name="_적격 _2003TMP-POW0_2003TMP-POW1_2003TMP-POW1_2004TMP-POW0_2004TMP-POW0_2004TMP-POW0" xfId="18373"/>
    <cellStyle name="_적격 _2003TMP-POW0_2003TMP-POW1_2003TMP-POW1_2004TMP-POW0_2004TMP-POW0_2004TMP-POW0 2" xfId="18374"/>
    <cellStyle name="_적격 _2003TMP-POW0_2003TMP-POW1_2003TMP-POW1_2004TMP-POW0_2004TMP-POW0_2004TMP-POW0_2004TMP-POW0" xfId="18375"/>
    <cellStyle name="_적격 _2003TMP-POW0_2003TMP-POW1_2003TMP-POW1_2004TMP-POW0_2004TMP-POW0_2004TMP-POW0_2004TMP-POW0 2" xfId="18376"/>
    <cellStyle name="_적격 _2003TMP-POW0_2003TMP-POW1_2003TMP-POW1_Book2" xfId="18377"/>
    <cellStyle name="_적격 _2003TMP-POW0_2003TMP-POW1_2003TMP-POW1_Book2 2" xfId="18378"/>
    <cellStyle name="_적격 _2003TMP-POW0_2003TMP-POW1_2003TMP-POW1_Book4" xfId="18379"/>
    <cellStyle name="_적격 _2003TMP-POW0_2003TMP-POW1_2003TMP-POW1_Book4 2" xfId="18380"/>
    <cellStyle name="_적격 _2003TMP-POW0_2003TMP-POW1_2004TMP-POW0" xfId="18381"/>
    <cellStyle name="_적격 _2003TMP-POW0_2003TMP-POW1_2004TMP-POW0 2" xfId="18382"/>
    <cellStyle name="_적격 _2003TMP-POW0_2003TMP-POW1_2004TMP-POW0_2004TMP-POW0" xfId="18383"/>
    <cellStyle name="_적격 _2003TMP-POW0_2003TMP-POW1_2004TMP-POW0_2004TMP-POW0 2" xfId="18384"/>
    <cellStyle name="_적격 _2003TMP-POW0_2003TMP-POW1_2004TMP-POW0_2004TMP-POW0_2004TMP-POW0" xfId="18385"/>
    <cellStyle name="_적격 _2003TMP-POW0_2003TMP-POW1_2004TMP-POW0_2004TMP-POW0_2004TMP-POW0 2" xfId="18386"/>
    <cellStyle name="_적격 _2003TMP-POW0_2003TMP-POW1_Book2" xfId="18387"/>
    <cellStyle name="_적격 _2003TMP-POW0_2003TMP-POW1_Book2 2" xfId="18388"/>
    <cellStyle name="_적격 _2003TMP-POW0_2003TMP-POW1_Book4" xfId="18389"/>
    <cellStyle name="_적격 _2003TMP-POW0_2003TMP-POW1_Book4 2" xfId="18390"/>
    <cellStyle name="_적격 _2003TMP-POW0_2004TMP-POW0" xfId="18391"/>
    <cellStyle name="_적격 _2003TMP-POW0_2004TMP-POW0 2" xfId="18392"/>
    <cellStyle name="_적격 _2003TMP-POW0_2004TMP-POW0_2004TMP-POW0" xfId="18393"/>
    <cellStyle name="_적격 _2003TMP-POW0_2004TMP-POW0_2004TMP-POW0 2" xfId="18394"/>
    <cellStyle name="_적격 _2003TMP-POW0_2004TMP-POW0_2004TMP-POW0_2004TMP-POW0" xfId="18395"/>
    <cellStyle name="_적격 _2003TMP-POW0_2004TMP-POW0_2004TMP-POW0_2004TMP-POW0 2" xfId="18396"/>
    <cellStyle name="_적격 _2003TMP-POW0_2004TMP-POW0_2004TMP-POW0_2004TMP-POW0_2004TMP-POW0" xfId="18397"/>
    <cellStyle name="_적격 _2003TMP-POW0_2004TMP-POW0_2004TMP-POW0_2004TMP-POW0_2004TMP-POW0 2" xfId="18398"/>
    <cellStyle name="_적격 _2003TMP-POW0_Book2" xfId="18399"/>
    <cellStyle name="_적격 _2003TMP-POW0_Book2 2" xfId="18400"/>
    <cellStyle name="_적격 _2003TMP-POW0_Book4" xfId="18401"/>
    <cellStyle name="_적격 _2003TMP-POW0_Book4 2" xfId="18402"/>
    <cellStyle name="_적격 _2003TMP-POW1" xfId="18403"/>
    <cellStyle name="_적격 _2003TMP-POW1 2" xfId="18404"/>
    <cellStyle name="_적격 _2003TMP-POW1_2003TMP-POW1" xfId="18463"/>
    <cellStyle name="_적격 _2003TMP-POW1_2003TMP-POW1 2" xfId="18464"/>
    <cellStyle name="_적격 _2003TMP-POW1_2003TMP-POW1_2003TMP-POW1" xfId="18465"/>
    <cellStyle name="_적격 _2003TMP-POW1_2003TMP-POW1_2003TMP-POW1 2" xfId="18466"/>
    <cellStyle name="_적격 _2003TMP-POW1_2003TMP-POW1_2003TMP-POW1_2003TMP-POW1" xfId="18467"/>
    <cellStyle name="_적격 _2003TMP-POW1_2003TMP-POW1_2003TMP-POW1_2003TMP-POW1 2" xfId="18468"/>
    <cellStyle name="_적격 _2003TMP-POW1_2003TMP-POW1_2003TMP-POW1_2003TMP-POW1_2003TMP-POW1" xfId="18469"/>
    <cellStyle name="_적격 _2003TMP-POW1_2003TMP-POW1_2003TMP-POW1_2003TMP-POW1_2003TMP-POW1 2" xfId="18470"/>
    <cellStyle name="_적격 _2003TMP-POW1_2003TMP-POW1_2003TMP-POW1_2003TMP-POW1_2003TMP-POW1_2004TMP-POW0" xfId="18471"/>
    <cellStyle name="_적격 _2003TMP-POW1_2003TMP-POW1_2003TMP-POW1_2003TMP-POW1_2003TMP-POW1_2004TMP-POW0 2" xfId="18472"/>
    <cellStyle name="_적격 _2003TMP-POW1_2003TMP-POW1_2003TMP-POW1_2003TMP-POW1_2003TMP-POW1_2004TMP-POW0_2004TMP-POW0" xfId="18473"/>
    <cellStyle name="_적격 _2003TMP-POW1_2003TMP-POW1_2003TMP-POW1_2003TMP-POW1_2003TMP-POW1_2004TMP-POW0_2004TMP-POW0 2" xfId="18474"/>
    <cellStyle name="_적격 _2003TMP-POW1_2003TMP-POW1_2003TMP-POW1_2003TMP-POW1_2003TMP-POW1_2004TMP-POW0_2004TMP-POW0_2004TMP-POW0" xfId="18475"/>
    <cellStyle name="_적격 _2003TMP-POW1_2003TMP-POW1_2003TMP-POW1_2003TMP-POW1_2003TMP-POW1_2004TMP-POW0_2004TMP-POW0_2004TMP-POW0 2" xfId="18476"/>
    <cellStyle name="_적격 _2003TMP-POW1_2003TMP-POW1_2003TMP-POW1_2003TMP-POW1_2003TMP-POW1_2004TMP-POW0_2004TMP-POW0_2004TMP-POW0_2004TMP-POW0" xfId="18477"/>
    <cellStyle name="_적격 _2003TMP-POW1_2003TMP-POW1_2003TMP-POW1_2003TMP-POW1_2003TMP-POW1_2004TMP-POW0_2004TMP-POW0_2004TMP-POW0_2004TMP-POW0 2" xfId="18478"/>
    <cellStyle name="_적격 _2003TMP-POW1_2003TMP-POW1_2003TMP-POW1_2003TMP-POW1_2004TMP-POW0" xfId="18479"/>
    <cellStyle name="_적격 _2003TMP-POW1_2003TMP-POW1_2003TMP-POW1_2003TMP-POW1_2004TMP-POW0 2" xfId="18480"/>
    <cellStyle name="_적격 _2003TMP-POW1_2003TMP-POW1_2003TMP-POW1_2003TMP-POW1_2004TMP-POW0_2004TMP-POW0" xfId="18481"/>
    <cellStyle name="_적격 _2003TMP-POW1_2003TMP-POW1_2003TMP-POW1_2003TMP-POW1_2004TMP-POW0_2004TMP-POW0 2" xfId="18482"/>
    <cellStyle name="_적격 _2003TMP-POW1_2003TMP-POW1_2003TMP-POW1_2003TMP-POW1_2004TMP-POW0_2004TMP-POW0_2004TMP-POW0" xfId="18483"/>
    <cellStyle name="_적격 _2003TMP-POW1_2003TMP-POW1_2003TMP-POW1_2003TMP-POW1_2004TMP-POW0_2004TMP-POW0_2004TMP-POW0 2" xfId="18484"/>
    <cellStyle name="_적격 _2003TMP-POW1_2003TMP-POW1_2003TMP-POW1_2004TMP-POW0" xfId="18485"/>
    <cellStyle name="_적격 _2003TMP-POW1_2003TMP-POW1_2003TMP-POW1_2004TMP-POW0 2" xfId="18486"/>
    <cellStyle name="_적격 _2003TMP-POW1_2003TMP-POW1_2003TMP-POW1_2004TMP-POW0_2004TMP-POW0" xfId="18487"/>
    <cellStyle name="_적격 _2003TMP-POW1_2003TMP-POW1_2003TMP-POW1_2004TMP-POW0_2004TMP-POW0 2" xfId="18488"/>
    <cellStyle name="_적격 _2003TMP-POW1_2003TMP-POW1_2003TMP-POW1_2004TMP-POW0_2004TMP-POW0_2004TMP-POW0" xfId="18489"/>
    <cellStyle name="_적격 _2003TMP-POW1_2003TMP-POW1_2003TMP-POW1_2004TMP-POW0_2004TMP-POW0_2004TMP-POW0 2" xfId="18490"/>
    <cellStyle name="_적격 _2003TMP-POW1_2003TMP-POW1_2003TMP-POW1_2004TMP-POW0_2004TMP-POW0_2004TMP-POW0_2004TMP-POW0" xfId="18491"/>
    <cellStyle name="_적격 _2003TMP-POW1_2003TMP-POW1_2003TMP-POW1_2004TMP-POW0_2004TMP-POW0_2004TMP-POW0_2004TMP-POW0 2" xfId="18492"/>
    <cellStyle name="_적격 _2003TMP-POW1_2003TMP-POW1_2003TMP-POW1_Book2" xfId="18493"/>
    <cellStyle name="_적격 _2003TMP-POW1_2003TMP-POW1_2003TMP-POW1_Book2 2" xfId="18494"/>
    <cellStyle name="_적격 _2003TMP-POW1_2003TMP-POW1_2003TMP-POW1_Book4" xfId="18495"/>
    <cellStyle name="_적격 _2003TMP-POW1_2003TMP-POW1_2003TMP-POW1_Book4 2" xfId="18496"/>
    <cellStyle name="_적격 _2003TMP-POW1_2003TMP-POW1_2004TMP-POW0" xfId="18497"/>
    <cellStyle name="_적격 _2003TMP-POW1_2003TMP-POW1_2004TMP-POW0 2" xfId="18498"/>
    <cellStyle name="_적격 _2003TMP-POW1_2003TMP-POW1_2004TMP-POW0_2004TMP-POW0" xfId="18499"/>
    <cellStyle name="_적격 _2003TMP-POW1_2003TMP-POW1_2004TMP-POW0_2004TMP-POW0 2" xfId="18500"/>
    <cellStyle name="_적격 _2003TMP-POW1_2003TMP-POW1_2004TMP-POW0_2004TMP-POW0_2004TMP-POW0" xfId="18501"/>
    <cellStyle name="_적격 _2003TMP-POW1_2003TMP-POW1_2004TMP-POW0_2004TMP-POW0_2004TMP-POW0 2" xfId="18502"/>
    <cellStyle name="_적격 _2003TMP-POW1_2003TMP-POW1_Book2" xfId="18503"/>
    <cellStyle name="_적격 _2003TMP-POW1_2003TMP-POW1_Book2 2" xfId="18504"/>
    <cellStyle name="_적격 _2003TMP-POW1_2003TMP-POW1_Book4" xfId="18505"/>
    <cellStyle name="_적격 _2003TMP-POW1_2003TMP-POW1_Book4 2" xfId="18506"/>
    <cellStyle name="_적격 _2003TMP-POW1_2004TMP-POW0" xfId="18507"/>
    <cellStyle name="_적격 _2003TMP-POW1_2004TMP-POW0 2" xfId="18508"/>
    <cellStyle name="_적격 _2003TMP-POW1_2004TMP-POW0_2004TMP-POW0" xfId="18509"/>
    <cellStyle name="_적격 _2003TMP-POW1_2004TMP-POW0_2004TMP-POW0 2" xfId="18510"/>
    <cellStyle name="_적격 _2003TMP-POW1_2004TMP-POW0_2004TMP-POW0_2004TMP-POW0" xfId="18511"/>
    <cellStyle name="_적격 _2003TMP-POW1_2004TMP-POW0_2004TMP-POW0_2004TMP-POW0 2" xfId="18512"/>
    <cellStyle name="_적격 _2003TMP-POW1_2004TMP-POW0_2004TMP-POW0_2004TMP-POW0_2004TMP-POW0" xfId="18513"/>
    <cellStyle name="_적격 _2003TMP-POW1_2004TMP-POW0_2004TMP-POW0_2004TMP-POW0_2004TMP-POW0 2" xfId="18514"/>
    <cellStyle name="_적격 _2003TMP-POW1_Book2" xfId="18515"/>
    <cellStyle name="_적격 _2003TMP-POW1_Book2 2" xfId="18516"/>
    <cellStyle name="_적격 _2003TMP-POW1_Book4" xfId="18517"/>
    <cellStyle name="_적격 _2003TMP-POW1_Book4 2" xfId="18518"/>
    <cellStyle name="_적격 _2003TMP-POW1-1" xfId="18405"/>
    <cellStyle name="_적격 _2003TMP-POW1-1 2" xfId="18406"/>
    <cellStyle name="_적격 _2003TMP-POW1-1_2003TMP-POW1" xfId="18407"/>
    <cellStyle name="_적격 _2003TMP-POW1-1_2003TMP-POW1 2" xfId="18408"/>
    <cellStyle name="_적격 _2003TMP-POW1-1_2003TMP-POW1_2003TMP-POW1" xfId="18409"/>
    <cellStyle name="_적격 _2003TMP-POW1-1_2003TMP-POW1_2003TMP-POW1 2" xfId="18410"/>
    <cellStyle name="_적격 _2003TMP-POW1-1_2003TMP-POW1_2003TMP-POW1_2003TMP-POW1" xfId="18411"/>
    <cellStyle name="_적격 _2003TMP-POW1-1_2003TMP-POW1_2003TMP-POW1_2003TMP-POW1 2" xfId="18412"/>
    <cellStyle name="_적격 _2003TMP-POW1-1_2003TMP-POW1_2003TMP-POW1_2003TMP-POW1_2003TMP-POW1" xfId="18413"/>
    <cellStyle name="_적격 _2003TMP-POW1-1_2003TMP-POW1_2003TMP-POW1_2003TMP-POW1_2003TMP-POW1 2" xfId="18414"/>
    <cellStyle name="_적격 _2003TMP-POW1-1_2003TMP-POW1_2003TMP-POW1_2003TMP-POW1_2003TMP-POW1_2004TMP-POW0" xfId="18415"/>
    <cellStyle name="_적격 _2003TMP-POW1-1_2003TMP-POW1_2003TMP-POW1_2003TMP-POW1_2003TMP-POW1_2004TMP-POW0 2" xfId="18416"/>
    <cellStyle name="_적격 _2003TMP-POW1-1_2003TMP-POW1_2003TMP-POW1_2003TMP-POW1_2003TMP-POW1_2004TMP-POW0_2004TMP-POW0" xfId="18417"/>
    <cellStyle name="_적격 _2003TMP-POW1-1_2003TMP-POW1_2003TMP-POW1_2003TMP-POW1_2003TMP-POW1_2004TMP-POW0_2004TMP-POW0 2" xfId="18418"/>
    <cellStyle name="_적격 _2003TMP-POW1-1_2003TMP-POW1_2003TMP-POW1_2003TMP-POW1_2003TMP-POW1_2004TMP-POW0_2004TMP-POW0_2004TMP-POW0" xfId="18419"/>
    <cellStyle name="_적격 _2003TMP-POW1-1_2003TMP-POW1_2003TMP-POW1_2003TMP-POW1_2003TMP-POW1_2004TMP-POW0_2004TMP-POW0_2004TMP-POW0 2" xfId="18420"/>
    <cellStyle name="_적격 _2003TMP-POW1-1_2003TMP-POW1_2003TMP-POW1_2003TMP-POW1_2003TMP-POW1_2004TMP-POW0_2004TMP-POW0_2004TMP-POW0_2004TMP-POW0" xfId="18421"/>
    <cellStyle name="_적격 _2003TMP-POW1-1_2003TMP-POW1_2003TMP-POW1_2003TMP-POW1_2003TMP-POW1_2004TMP-POW0_2004TMP-POW0_2004TMP-POW0_2004TMP-POW0 2" xfId="18422"/>
    <cellStyle name="_적격 _2003TMP-POW1-1_2003TMP-POW1_2003TMP-POW1_2003TMP-POW1_2004TMP-POW0" xfId="18423"/>
    <cellStyle name="_적격 _2003TMP-POW1-1_2003TMP-POW1_2003TMP-POW1_2003TMP-POW1_2004TMP-POW0 2" xfId="18424"/>
    <cellStyle name="_적격 _2003TMP-POW1-1_2003TMP-POW1_2003TMP-POW1_2003TMP-POW1_2004TMP-POW0_2004TMP-POW0" xfId="18425"/>
    <cellStyle name="_적격 _2003TMP-POW1-1_2003TMP-POW1_2003TMP-POW1_2003TMP-POW1_2004TMP-POW0_2004TMP-POW0 2" xfId="18426"/>
    <cellStyle name="_적격 _2003TMP-POW1-1_2003TMP-POW1_2003TMP-POW1_2003TMP-POW1_2004TMP-POW0_2004TMP-POW0_2004TMP-POW0" xfId="18427"/>
    <cellStyle name="_적격 _2003TMP-POW1-1_2003TMP-POW1_2003TMP-POW1_2003TMP-POW1_2004TMP-POW0_2004TMP-POW0_2004TMP-POW0 2" xfId="18428"/>
    <cellStyle name="_적격 _2003TMP-POW1-1_2003TMP-POW1_2003TMP-POW1_2004TMP-POW0" xfId="18429"/>
    <cellStyle name="_적격 _2003TMP-POW1-1_2003TMP-POW1_2003TMP-POW1_2004TMP-POW0 2" xfId="18430"/>
    <cellStyle name="_적격 _2003TMP-POW1-1_2003TMP-POW1_2003TMP-POW1_2004TMP-POW0_2004TMP-POW0" xfId="18431"/>
    <cellStyle name="_적격 _2003TMP-POW1-1_2003TMP-POW1_2003TMP-POW1_2004TMP-POW0_2004TMP-POW0 2" xfId="18432"/>
    <cellStyle name="_적격 _2003TMP-POW1-1_2003TMP-POW1_2003TMP-POW1_2004TMP-POW0_2004TMP-POW0_2004TMP-POW0" xfId="18433"/>
    <cellStyle name="_적격 _2003TMP-POW1-1_2003TMP-POW1_2003TMP-POW1_2004TMP-POW0_2004TMP-POW0_2004TMP-POW0 2" xfId="18434"/>
    <cellStyle name="_적격 _2003TMP-POW1-1_2003TMP-POW1_2003TMP-POW1_2004TMP-POW0_2004TMP-POW0_2004TMP-POW0_2004TMP-POW0" xfId="18435"/>
    <cellStyle name="_적격 _2003TMP-POW1-1_2003TMP-POW1_2003TMP-POW1_2004TMP-POW0_2004TMP-POW0_2004TMP-POW0_2004TMP-POW0 2" xfId="18436"/>
    <cellStyle name="_적격 _2003TMP-POW1-1_2003TMP-POW1_2003TMP-POW1_Book2" xfId="18437"/>
    <cellStyle name="_적격 _2003TMP-POW1-1_2003TMP-POW1_2003TMP-POW1_Book2 2" xfId="18438"/>
    <cellStyle name="_적격 _2003TMP-POW1-1_2003TMP-POW1_2003TMP-POW1_Book4" xfId="18439"/>
    <cellStyle name="_적격 _2003TMP-POW1-1_2003TMP-POW1_2003TMP-POW1_Book4 2" xfId="18440"/>
    <cellStyle name="_적격 _2003TMP-POW1-1_2003TMP-POW1_2004TMP-POW0" xfId="18441"/>
    <cellStyle name="_적격 _2003TMP-POW1-1_2003TMP-POW1_2004TMP-POW0 2" xfId="18442"/>
    <cellStyle name="_적격 _2003TMP-POW1-1_2003TMP-POW1_2004TMP-POW0_2004TMP-POW0" xfId="18443"/>
    <cellStyle name="_적격 _2003TMP-POW1-1_2003TMP-POW1_2004TMP-POW0_2004TMP-POW0 2" xfId="18444"/>
    <cellStyle name="_적격 _2003TMP-POW1-1_2003TMP-POW1_2004TMP-POW0_2004TMP-POW0_2004TMP-POW0" xfId="18445"/>
    <cellStyle name="_적격 _2003TMP-POW1-1_2003TMP-POW1_2004TMP-POW0_2004TMP-POW0_2004TMP-POW0 2" xfId="18446"/>
    <cellStyle name="_적격 _2003TMP-POW1-1_2003TMP-POW1_Book2" xfId="18447"/>
    <cellStyle name="_적격 _2003TMP-POW1-1_2003TMP-POW1_Book2 2" xfId="18448"/>
    <cellStyle name="_적격 _2003TMP-POW1-1_2003TMP-POW1_Book4" xfId="18449"/>
    <cellStyle name="_적격 _2003TMP-POW1-1_2003TMP-POW1_Book4 2" xfId="18450"/>
    <cellStyle name="_적격 _2003TMP-POW1-1_2004TMP-POW0" xfId="18451"/>
    <cellStyle name="_적격 _2003TMP-POW1-1_2004TMP-POW0 2" xfId="18452"/>
    <cellStyle name="_적격 _2003TMP-POW1-1_2004TMP-POW0_2004TMP-POW0" xfId="18453"/>
    <cellStyle name="_적격 _2003TMP-POW1-1_2004TMP-POW0_2004TMP-POW0 2" xfId="18454"/>
    <cellStyle name="_적격 _2003TMP-POW1-1_2004TMP-POW0_2004TMP-POW0_2004TMP-POW0" xfId="18455"/>
    <cellStyle name="_적격 _2003TMP-POW1-1_2004TMP-POW0_2004TMP-POW0_2004TMP-POW0 2" xfId="18456"/>
    <cellStyle name="_적격 _2003TMP-POW1-1_2004TMP-POW0_2004TMP-POW0_2004TMP-POW0_2004TMP-POW0" xfId="18457"/>
    <cellStyle name="_적격 _2003TMP-POW1-1_2004TMP-POW0_2004TMP-POW0_2004TMP-POW0_2004TMP-POW0 2" xfId="18458"/>
    <cellStyle name="_적격 _2003TMP-POW1-1_Book2" xfId="18459"/>
    <cellStyle name="_적격 _2003TMP-POW1-1_Book2 2" xfId="18460"/>
    <cellStyle name="_적격 _2003TMP-POW1-1_Book4" xfId="18461"/>
    <cellStyle name="_적격 _2003TMP-POW1-1_Book4 2" xfId="18462"/>
    <cellStyle name="_적격 _2003TMP-POWER" xfId="18519"/>
    <cellStyle name="_적격 _2003TMP-POWER 2" xfId="18520"/>
    <cellStyle name="_적격 _2003TMP-POWER_2003TMP-POW1" xfId="18521"/>
    <cellStyle name="_적격 _2003TMP-POWER_2003TMP-POW1 2" xfId="18522"/>
    <cellStyle name="_적격 _2003TMP-POWER_2003TMP-POW1_2003TMP-POW1" xfId="18523"/>
    <cellStyle name="_적격 _2003TMP-POWER_2003TMP-POW1_2003TMP-POW1 2" xfId="18524"/>
    <cellStyle name="_적격 _2003TMP-POWER_2003TMP-POW1_2003TMP-POW1_2003TMP-POW1" xfId="18525"/>
    <cellStyle name="_적격 _2003TMP-POWER_2003TMP-POW1_2003TMP-POW1_2003TMP-POW1 2" xfId="18526"/>
    <cellStyle name="_적격 _2003TMP-POWER_2003TMP-POW1_2003TMP-POW1_2003TMP-POW1_2003TMP-POW1" xfId="18527"/>
    <cellStyle name="_적격 _2003TMP-POWER_2003TMP-POW1_2003TMP-POW1_2003TMP-POW1_2003TMP-POW1 2" xfId="18528"/>
    <cellStyle name="_적격 _2003TMP-POWER_2003TMP-POW1_2003TMP-POW1_2003TMP-POW1_2003TMP-POW1_2004TMP-POW0" xfId="18529"/>
    <cellStyle name="_적격 _2003TMP-POWER_2003TMP-POW1_2003TMP-POW1_2003TMP-POW1_2003TMP-POW1_2004TMP-POW0 2" xfId="18530"/>
    <cellStyle name="_적격 _2003TMP-POWER_2003TMP-POW1_2003TMP-POW1_2003TMP-POW1_2003TMP-POW1_2004TMP-POW0_2004TMP-POW0" xfId="18531"/>
    <cellStyle name="_적격 _2003TMP-POWER_2003TMP-POW1_2003TMP-POW1_2003TMP-POW1_2003TMP-POW1_2004TMP-POW0_2004TMP-POW0 2" xfId="18532"/>
    <cellStyle name="_적격 _2003TMP-POWER_2003TMP-POW1_2003TMP-POW1_2003TMP-POW1_2003TMP-POW1_2004TMP-POW0_2004TMP-POW0_2004TMP-POW0" xfId="18533"/>
    <cellStyle name="_적격 _2003TMP-POWER_2003TMP-POW1_2003TMP-POW1_2003TMP-POW1_2003TMP-POW1_2004TMP-POW0_2004TMP-POW0_2004TMP-POW0 2" xfId="18534"/>
    <cellStyle name="_적격 _2003TMP-POWER_2003TMP-POW1_2003TMP-POW1_2003TMP-POW1_2003TMP-POW1_2004TMP-POW0_2004TMP-POW0_2004TMP-POW0_2004TMP-POW0" xfId="18535"/>
    <cellStyle name="_적격 _2003TMP-POWER_2003TMP-POW1_2003TMP-POW1_2003TMP-POW1_2003TMP-POW1_2004TMP-POW0_2004TMP-POW0_2004TMP-POW0_2004TMP-POW0 2" xfId="18536"/>
    <cellStyle name="_적격 _2003TMP-POWER_2003TMP-POW1_2003TMP-POW1_2003TMP-POW1_2004TMP-POW0" xfId="18537"/>
    <cellStyle name="_적격 _2003TMP-POWER_2003TMP-POW1_2003TMP-POW1_2003TMP-POW1_2004TMP-POW0 2" xfId="18538"/>
    <cellStyle name="_적격 _2003TMP-POWER_2003TMP-POW1_2003TMP-POW1_2003TMP-POW1_2004TMP-POW0_2004TMP-POW0" xfId="18539"/>
    <cellStyle name="_적격 _2003TMP-POWER_2003TMP-POW1_2003TMP-POW1_2003TMP-POW1_2004TMP-POW0_2004TMP-POW0 2" xfId="18540"/>
    <cellStyle name="_적격 _2003TMP-POWER_2003TMP-POW1_2003TMP-POW1_2003TMP-POW1_2004TMP-POW0_2004TMP-POW0_2004TMP-POW0" xfId="18541"/>
    <cellStyle name="_적격 _2003TMP-POWER_2003TMP-POW1_2003TMP-POW1_2003TMP-POW1_2004TMP-POW0_2004TMP-POW0_2004TMP-POW0 2" xfId="18542"/>
    <cellStyle name="_적격 _2003TMP-POWER_2003TMP-POW1_2003TMP-POW1_2004TMP-POW0" xfId="18543"/>
    <cellStyle name="_적격 _2003TMP-POWER_2003TMP-POW1_2003TMP-POW1_2004TMP-POW0 2" xfId="18544"/>
    <cellStyle name="_적격 _2003TMP-POWER_2003TMP-POW1_2003TMP-POW1_2004TMP-POW0_2004TMP-POW0" xfId="18545"/>
    <cellStyle name="_적격 _2003TMP-POWER_2003TMP-POW1_2003TMP-POW1_2004TMP-POW0_2004TMP-POW0 2" xfId="18546"/>
    <cellStyle name="_적격 _2003TMP-POWER_2003TMP-POW1_2003TMP-POW1_2004TMP-POW0_2004TMP-POW0_2004TMP-POW0" xfId="18547"/>
    <cellStyle name="_적격 _2003TMP-POWER_2003TMP-POW1_2003TMP-POW1_2004TMP-POW0_2004TMP-POW0_2004TMP-POW0 2" xfId="18548"/>
    <cellStyle name="_적격 _2003TMP-POWER_2003TMP-POW1_2003TMP-POW1_2004TMP-POW0_2004TMP-POW0_2004TMP-POW0_2004TMP-POW0" xfId="18549"/>
    <cellStyle name="_적격 _2003TMP-POWER_2003TMP-POW1_2003TMP-POW1_2004TMP-POW0_2004TMP-POW0_2004TMP-POW0_2004TMP-POW0 2" xfId="18550"/>
    <cellStyle name="_적격 _2003TMP-POWER_2003TMP-POW1_2003TMP-POW1_Book2" xfId="18551"/>
    <cellStyle name="_적격 _2003TMP-POWER_2003TMP-POW1_2003TMP-POW1_Book2 2" xfId="18552"/>
    <cellStyle name="_적격 _2003TMP-POWER_2003TMP-POW1_2003TMP-POW1_Book4" xfId="18553"/>
    <cellStyle name="_적격 _2003TMP-POWER_2003TMP-POW1_2003TMP-POW1_Book4 2" xfId="18554"/>
    <cellStyle name="_적격 _2003TMP-POWER_2003TMP-POW1_2004TMP-POW0" xfId="18555"/>
    <cellStyle name="_적격 _2003TMP-POWER_2003TMP-POW1_2004TMP-POW0 2" xfId="18556"/>
    <cellStyle name="_적격 _2003TMP-POWER_2003TMP-POW1_2004TMP-POW0_2004TMP-POW0" xfId="18557"/>
    <cellStyle name="_적격 _2003TMP-POWER_2003TMP-POW1_2004TMP-POW0_2004TMP-POW0 2" xfId="18558"/>
    <cellStyle name="_적격 _2003TMP-POWER_2003TMP-POW1_2004TMP-POW0_2004TMP-POW0_2004TMP-POW0" xfId="18559"/>
    <cellStyle name="_적격 _2003TMP-POWER_2003TMP-POW1_2004TMP-POW0_2004TMP-POW0_2004TMP-POW0 2" xfId="18560"/>
    <cellStyle name="_적격 _2003TMP-POWER_2003TMP-POW1_Book2" xfId="18561"/>
    <cellStyle name="_적격 _2003TMP-POWER_2003TMP-POW1_Book2 2" xfId="18562"/>
    <cellStyle name="_적격 _2003TMP-POWER_2003TMP-POW1_Book4" xfId="18563"/>
    <cellStyle name="_적격 _2003TMP-POWER_2003TMP-POW1_Book4 2" xfId="18564"/>
    <cellStyle name="_적격 _2003TMP-POWER_2004TMP-POW0" xfId="18565"/>
    <cellStyle name="_적격 _2003TMP-POWER_2004TMP-POW0 2" xfId="18566"/>
    <cellStyle name="_적격 _2003TMP-POWER_2004TMP-POW0_2004TMP-POW0" xfId="18567"/>
    <cellStyle name="_적격 _2003TMP-POWER_2004TMP-POW0_2004TMP-POW0 2" xfId="18568"/>
    <cellStyle name="_적격 _2003TMP-POWER_2004TMP-POW0_2004TMP-POW0_2004TMP-POW0" xfId="18569"/>
    <cellStyle name="_적격 _2003TMP-POWER_2004TMP-POW0_2004TMP-POW0_2004TMP-POW0 2" xfId="18570"/>
    <cellStyle name="_적격 _2003TMP-POWER_2004TMP-POW0_2004TMP-POW0_2004TMP-POW0_2004TMP-POW0" xfId="18571"/>
    <cellStyle name="_적격 _2003TMP-POWER_2004TMP-POW0_2004TMP-POW0_2004TMP-POW0_2004TMP-POW0 2" xfId="18572"/>
    <cellStyle name="_적격 _2003TMP-POWER_Book2" xfId="18573"/>
    <cellStyle name="_적격 _2003TMP-POWER_Book2 2" xfId="18574"/>
    <cellStyle name="_적격 _2003TMP-POWER_Book4" xfId="18575"/>
    <cellStyle name="_적격 _2003TMP-POWER_Book4 2" xfId="18576"/>
    <cellStyle name="_적격 _2004TMP-POW0" xfId="18577"/>
    <cellStyle name="_적격 _2004TMP-POW0 2" xfId="18578"/>
    <cellStyle name="_적격 _2004TMP-POW0_2004TMP-POW0" xfId="18579"/>
    <cellStyle name="_적격 _2004TMP-POW0_2004TMP-POW0 2" xfId="18580"/>
    <cellStyle name="_적격 _2004TMP-POW0_2004TMP-POW0_2004TMP-POW0" xfId="18581"/>
    <cellStyle name="_적격 _2004TMP-POW0_2004TMP-POW0_2004TMP-POW0 2" xfId="18582"/>
    <cellStyle name="_적격 _3-1(금강)-여의도 세우회관 철거공사" xfId="18583"/>
    <cellStyle name="_적격 _3-1(금강)-여의도 세우회관 철거공사_24-1(동부)-두능-연곡 도로건설공사 중 기존교량철거" xfId="18584"/>
    <cellStyle name="_적격 _3-1(금강)-여의도 세우회관 철거공사_견적1" xfId="18585"/>
    <cellStyle name="_적격 _3-1(금강)-여의도 세우회관 철거공사_견적1_28-3-2 삼환-대한생명 63빌딩 현장 철거공사 (재노경)" xfId="18586"/>
    <cellStyle name="_적격 _35호(기숙사)" xfId="18587"/>
    <cellStyle name="_적격 _35호(기숙사) 2" xfId="18588"/>
    <cellStyle name="_적격 _35호(기숙사)_53호견적최종" xfId="18589"/>
    <cellStyle name="_적격 _35호(기숙사)_53호견적최종 2" xfId="18590"/>
    <cellStyle name="_적격 _35호(기숙사)_R-0053" xfId="18591"/>
    <cellStyle name="_적격 _35호(기숙사)_R-0053 2" xfId="18592"/>
    <cellStyle name="_적격 _35호(기숙사)_R-0053ELEC대" xfId="18593"/>
    <cellStyle name="_적격 _35호(기숙사)_R-0053ELEC대 2" xfId="18594"/>
    <cellStyle name="_적격 _35호(기숙사)_R-0053SITE" xfId="18595"/>
    <cellStyle name="_적격 _35호(기숙사)_R-0053SITE 2" xfId="18596"/>
    <cellStyle name="_적격 _35호(기숙사)POO" xfId="18597"/>
    <cellStyle name="_적격 _35호(기숙사)POO 2" xfId="18598"/>
    <cellStyle name="_적격 _35호(기숙사)POO_53호견적최종" xfId="18599"/>
    <cellStyle name="_적격 _35호(기숙사)POO_53호견적최종 2" xfId="18600"/>
    <cellStyle name="_적격 _35호(기숙사)POO_R-0053" xfId="18601"/>
    <cellStyle name="_적격 _35호(기숙사)POO_R-0053 2" xfId="18602"/>
    <cellStyle name="_적격 _35호(기숙사)POO_R-0053ELEC대" xfId="18603"/>
    <cellStyle name="_적격 _35호(기숙사)POO_R-0053ELEC대 2" xfId="18604"/>
    <cellStyle name="_적격 _35호(기숙사)POO_R-0053SITE" xfId="18605"/>
    <cellStyle name="_적격 _35호(기숙사)POO_R-0053SITE 2" xfId="18606"/>
    <cellStyle name="_적격 _38고대리" xfId="18607"/>
    <cellStyle name="_적격 _38고대리 2" xfId="18608"/>
    <cellStyle name="_적격 _38고대리_53호견적최종" xfId="18609"/>
    <cellStyle name="_적격 _38고대리_53호견적최종 2" xfId="18610"/>
    <cellStyle name="_적격 _38고대리_R-0053" xfId="18611"/>
    <cellStyle name="_적격 _38고대리_R-0053 2" xfId="18612"/>
    <cellStyle name="_적격 _38고대리_R-0053ELEC대" xfId="18613"/>
    <cellStyle name="_적격 _38고대리_R-0053ELEC대 2" xfId="18614"/>
    <cellStyle name="_적격 _38고대리_R-0053SITE" xfId="18615"/>
    <cellStyle name="_적격 _38고대리_R-0053SITE 2" xfId="18616"/>
    <cellStyle name="_적격 _38호" xfId="18617"/>
    <cellStyle name="_적격 _38호 2" xfId="18618"/>
    <cellStyle name="_적격 _38호_53호견적최종" xfId="18619"/>
    <cellStyle name="_적격 _38호_53호견적최종 2" xfId="18620"/>
    <cellStyle name="_적격 _38호_R-0053" xfId="18621"/>
    <cellStyle name="_적격 _38호_R-0053 2" xfId="18622"/>
    <cellStyle name="_적격 _38호_R-0053ELEC대" xfId="18623"/>
    <cellStyle name="_적격 _38호_R-0053ELEC대 2" xfId="18624"/>
    <cellStyle name="_적격 _38호_R-0053SITE" xfId="18625"/>
    <cellStyle name="_적격 _38호_R-0053SITE 2" xfId="18626"/>
    <cellStyle name="_적격 _53호견적최종" xfId="18627"/>
    <cellStyle name="_적격 _53호견적최종 2" xfId="18628"/>
    <cellStyle name="_적격 _8-2(삼성)-김해공항 국제청 화물청사 세관창고철거" xfId="18629"/>
    <cellStyle name="_적격 _8-2(삼성)-김해공항 국제청 화물청사 세관창고철거_24-1(동부)-두능-연곡 도로건설공사 중 기존교량철거" xfId="18630"/>
    <cellStyle name="_적격 _8-2(삼성)-김해공항 국제청 화물청사 세관창고철거_견적1" xfId="18631"/>
    <cellStyle name="_적격 _8-2(삼성)-김해공항 국제청 화물청사 세관창고철거_견적1_28-3-2 삼환-대한생명 63빌딩 현장 철거공사 (재노경)" xfId="18632"/>
    <cellStyle name="_적격 _B-2-b(1).부대입찰 공내역" xfId="18633"/>
    <cellStyle name="_적격 _B-2-b(1).부대입찰 공내역 2" xfId="18634"/>
    <cellStyle name="_적격 _Book1" xfId="18635"/>
    <cellStyle name="_적격 _Book1 2" xfId="18636"/>
    <cellStyle name="_적격 _Book1_내역서(최초)" xfId="18637"/>
    <cellStyle name="_적격 _Book1_내역서(최초) 2" xfId="18638"/>
    <cellStyle name="_적격 _Book1_설계내역서" xfId="18639"/>
    <cellStyle name="_적격 _Book1_설계내역서 2" xfId="18640"/>
    <cellStyle name="_적격 _Book1_설계내역서(2차)" xfId="18641"/>
    <cellStyle name="_적격 _Book1_설계내역서(2차) 2" xfId="18642"/>
    <cellStyle name="_적격 _Book2" xfId="18643"/>
    <cellStyle name="_적격 _Book2 2" xfId="18644"/>
    <cellStyle name="_적격 _Book2_Book2" xfId="18645"/>
    <cellStyle name="_적격 _Book2_Book2 2" xfId="18646"/>
    <cellStyle name="_적격 _Book2_Book4" xfId="18647"/>
    <cellStyle name="_적격 _Book2_Book4 2" xfId="18648"/>
    <cellStyle name="_적격 _IMSI-POW1" xfId="18649"/>
    <cellStyle name="_적격 _IMSI-POW1 2" xfId="18650"/>
    <cellStyle name="_적격 _IMSI-POW1_서초풍림아이원플러스(0723)(2)" xfId="18651"/>
    <cellStyle name="_적격 _IMSI-POW1_서초풍림아이원플러스(0723)(2) 2" xfId="18652"/>
    <cellStyle name="_적격 _IMSI-POW1_파주시금촌(2)지구C2BL풍림APT(1001)-공" xfId="18653"/>
    <cellStyle name="_적격 _IMSI-POW1_파주시금촌(2)지구C2BL풍림APT(1001)-공 2" xfId="18654"/>
    <cellStyle name="_적격 _nafkp5-02-r-0014" xfId="18655"/>
    <cellStyle name="_적격 _nafkp5-02-r-0014 2" xfId="18656"/>
    <cellStyle name="_적격 _nafkp5-02-r-0014_53호견적최종" xfId="18657"/>
    <cellStyle name="_적격 _nafkp5-02-r-0014_53호견적최종 2" xfId="18658"/>
    <cellStyle name="_적격 _nafkp5-02-r-0014_R-0053" xfId="18659"/>
    <cellStyle name="_적격 _nafkp5-02-r-0014_R-0053 2" xfId="18660"/>
    <cellStyle name="_적격 _nafkp5-02-r-0014_R-0053ELEC대" xfId="18661"/>
    <cellStyle name="_적격 _nafkp5-02-r-0014_R-0053ELEC대 2" xfId="18662"/>
    <cellStyle name="_적격 _nafkp5-02-r-0014_R-0053SITE" xfId="18663"/>
    <cellStyle name="_적격 _nafkp5-02-r-0014_R-0053SITE 2" xfId="18664"/>
    <cellStyle name="_적격 _P-(현리-신팔)" xfId="18665"/>
    <cellStyle name="_적격 _P-(현리-신팔) 2" xfId="18666"/>
    <cellStyle name="_적격 _P-(현리-신팔)_내역서(최초)" xfId="18667"/>
    <cellStyle name="_적격 _P-(현리-신팔)_내역서(최초) 2" xfId="18668"/>
    <cellStyle name="_적격 _P-(현리-신팔)_설계내역서" xfId="18669"/>
    <cellStyle name="_적격 _P-(현리-신팔)_설계내역서 2" xfId="18670"/>
    <cellStyle name="_적격 _P-(현리-신팔)_설계내역서(2차)" xfId="18671"/>
    <cellStyle name="_적격 _P-(현리-신팔)_설계내역서(2차) 2" xfId="18672"/>
    <cellStyle name="_적격 _p-하남강일1" xfId="18673"/>
    <cellStyle name="_적격 _p-하남강일1 2" xfId="18674"/>
    <cellStyle name="_적격 _p-하남강일1_내역서(최초)" xfId="18675"/>
    <cellStyle name="_적격 _p-하남강일1_내역서(최초) 2" xfId="18676"/>
    <cellStyle name="_적격 _p-하남강일1_설계내역서" xfId="18677"/>
    <cellStyle name="_적격 _p-하남강일1_설계내역서 2" xfId="18678"/>
    <cellStyle name="_적격 _p-하남강일1_설계내역서(2차)" xfId="18679"/>
    <cellStyle name="_적격 _p-하남강일1_설계내역서(2차) 2" xfId="18680"/>
    <cellStyle name="_적격 _R0003CostBD원본261" xfId="18717"/>
    <cellStyle name="_적격 _R0003CostBD원본261 2" xfId="18718"/>
    <cellStyle name="_적격 _R0003CostBD원본261_53호견적최종" xfId="18719"/>
    <cellStyle name="_적격 _R0003CostBD원본261_53호견적최종 2" xfId="18720"/>
    <cellStyle name="_적격 _R0003CostBD원본261_R-0053" xfId="18721"/>
    <cellStyle name="_적격 _R0003CostBD원본261_R-0053 2" xfId="18722"/>
    <cellStyle name="_적격 _R0003CostBD원본261_R-0053ELEC대" xfId="18723"/>
    <cellStyle name="_적격 _R0003CostBD원본261_R-0053ELEC대 2" xfId="18724"/>
    <cellStyle name="_적격 _R0003CostBD원본261_R-0053SITE" xfId="18725"/>
    <cellStyle name="_적격 _R0003CostBD원본261_R-0053SITE 2" xfId="18726"/>
    <cellStyle name="_적격 _R-0003입찰내역" xfId="18681"/>
    <cellStyle name="_적격 _R-0003입찰내역 2" xfId="18682"/>
    <cellStyle name="_적격 _R-0003입찰내역_53호견적최종" xfId="18683"/>
    <cellStyle name="_적격 _R-0003입찰내역_53호견적최종 2" xfId="18684"/>
    <cellStyle name="_적격 _R-0003입찰내역_R-0053" xfId="18685"/>
    <cellStyle name="_적격 _R-0003입찰내역_R-0053 2" xfId="18686"/>
    <cellStyle name="_적격 _R-0003입찰내역_R-0053ELEC대" xfId="18687"/>
    <cellStyle name="_적격 _R-0003입찰내역_R-0053ELEC대 2" xfId="18688"/>
    <cellStyle name="_적격 _R-0003입찰내역_R-0053SITE" xfId="18689"/>
    <cellStyle name="_적격 _R-0003입찰내역_R-0053SITE 2" xfId="18690"/>
    <cellStyle name="_적격 _R0038CostBD(version2)" xfId="18727"/>
    <cellStyle name="_적격 _R0038CostBD(version2) 2" xfId="18728"/>
    <cellStyle name="_적격 _R0038CostBD(version2)_53호견적최종" xfId="18729"/>
    <cellStyle name="_적격 _R0038CostBD(version2)_53호견적최종 2" xfId="18730"/>
    <cellStyle name="_적격 _R0038CostBD(version2)_R-0053" xfId="18731"/>
    <cellStyle name="_적격 _R0038CostBD(version2)_R-0053 2" xfId="18732"/>
    <cellStyle name="_적격 _R0038CostBD(version2)_R-0053ELEC대" xfId="18733"/>
    <cellStyle name="_적격 _R0038CostBD(version2)_R-0053ELEC대 2" xfId="18734"/>
    <cellStyle name="_적격 _R0038CostBD(version2)_R-0053SITE" xfId="18735"/>
    <cellStyle name="_적격 _R0038CostBD(version2)_R-0053SITE 2" xfId="18736"/>
    <cellStyle name="_적격 _R0038CostBD(화인)" xfId="18737"/>
    <cellStyle name="_적격 _R0038CostBD(화인) 2" xfId="18738"/>
    <cellStyle name="_적격 _R0038CostBD(화인)_53호견적최종" xfId="18739"/>
    <cellStyle name="_적격 _R0038CostBD(화인)_53호견적최종 2" xfId="18740"/>
    <cellStyle name="_적격 _R0038CostBD(화인)_R-0053" xfId="18741"/>
    <cellStyle name="_적격 _R0038CostBD(화인)_R-0053 2" xfId="18742"/>
    <cellStyle name="_적격 _R0038CostBD(화인)_R-0053ELEC대" xfId="18743"/>
    <cellStyle name="_적격 _R0038CostBD(화인)_R-0053ELEC대 2" xfId="18744"/>
    <cellStyle name="_적격 _R0038CostBD(화인)_R-0053SITE" xfId="18745"/>
    <cellStyle name="_적격 _R0038CostBD(화인)_R-0053SITE 2" xfId="18746"/>
    <cellStyle name="_적격 _R-0053" xfId="18691"/>
    <cellStyle name="_적격 _R-0053 2" xfId="18692"/>
    <cellStyle name="_적격 _R0053CostBD-건축-김이사님" xfId="18747"/>
    <cellStyle name="_적격 _R0053CostBD-건축-김이사님 2" xfId="18748"/>
    <cellStyle name="_적격 _R0053CostBD-건축-김이사님_53호견적최종" xfId="18749"/>
    <cellStyle name="_적격 _R0053CostBD-건축-김이사님_53호견적최종 2" xfId="18750"/>
    <cellStyle name="_적격 _R0053CostBD-건축-김이사님_R-0053" xfId="18751"/>
    <cellStyle name="_적격 _R0053CostBD-건축-김이사님_R-0053 2" xfId="18752"/>
    <cellStyle name="_적격 _R0053CostBD-건축-김이사님_R-0053ELEC대" xfId="18753"/>
    <cellStyle name="_적격 _R0053CostBD-건축-김이사님_R-0053ELEC대 2" xfId="18754"/>
    <cellStyle name="_적격 _R0053CostBD-건축-김이사님_R-0053SITE" xfId="18755"/>
    <cellStyle name="_적격 _R0053CostBD-건축-김이사님_R-0053SITE 2" xfId="18756"/>
    <cellStyle name="_적격 _R-0053ELEC대" xfId="18693"/>
    <cellStyle name="_적격 _R-0053ELEC대 2" xfId="18694"/>
    <cellStyle name="_적격 _R-0053SITE" xfId="18695"/>
    <cellStyle name="_적격 _R-0053SITE 2" xfId="18696"/>
    <cellStyle name="_적격 _R-0053건축" xfId="18697"/>
    <cellStyle name="_적격 _R-0053건축 2" xfId="18698"/>
    <cellStyle name="_적격 _R-0053건축_53호견적최종" xfId="18699"/>
    <cellStyle name="_적격 _R-0053건축_53호견적최종 2" xfId="18700"/>
    <cellStyle name="_적격 _R-0053건축_R-0053" xfId="18701"/>
    <cellStyle name="_적격 _R-0053건축_R-0053 2" xfId="18702"/>
    <cellStyle name="_적격 _R-0053건축_R-0053ELEC대" xfId="18703"/>
    <cellStyle name="_적격 _R-0053건축_R-0053ELEC대 2" xfId="18704"/>
    <cellStyle name="_적격 _R-0053건축_R-0053SITE" xfId="18705"/>
    <cellStyle name="_적격 _R-0053건축_R-0053SITE 2" xfId="18706"/>
    <cellStyle name="_적격 _R-0053입찰내역" xfId="18707"/>
    <cellStyle name="_적격 _R-0053입찰내역 2" xfId="18708"/>
    <cellStyle name="_적격 _R-0053입찰내역_53호견적최종" xfId="18709"/>
    <cellStyle name="_적격 _R-0053입찰내역_53호견적최종 2" xfId="18710"/>
    <cellStyle name="_적격 _R-0053입찰내역_R-0053" xfId="18711"/>
    <cellStyle name="_적격 _R-0053입찰내역_R-0053 2" xfId="18712"/>
    <cellStyle name="_적격 _R-0053입찰내역_R-0053ELEC대" xfId="18713"/>
    <cellStyle name="_적격 _R-0053입찰내역_R-0053ELEC대 2" xfId="18714"/>
    <cellStyle name="_적격 _R-0053입찰내역_R-0053SITE" xfId="18715"/>
    <cellStyle name="_적격 _R-0053입찰내역_R-0053SITE 2" xfId="18716"/>
    <cellStyle name="_적격 _TMP-POW1" xfId="18757"/>
    <cellStyle name="_적격 _TMP-POW1 2" xfId="18758"/>
    <cellStyle name="_적격 _TMP-POW1_서초풍림아이원플러스(0723)(2)" xfId="18759"/>
    <cellStyle name="_적격 _TMP-POW1_서초풍림아이원플러스(0723)(2) 2" xfId="18760"/>
    <cellStyle name="_적격 _TMP-POW1_파주시금촌(2)지구C2BL풍림APT(1001)-공" xfId="18761"/>
    <cellStyle name="_적격 _TMP-POW1_파주시금촌(2)지구C2BL풍림APT(1001)-공 2" xfId="18762"/>
    <cellStyle name="_적격 _TMP-POW2" xfId="18763"/>
    <cellStyle name="_적격 _TMP-POW2 2" xfId="18764"/>
    <cellStyle name="_적격 _TMP-POW2_서초풍림아이원플러스(0723)(2)" xfId="18765"/>
    <cellStyle name="_적격 _TMP-POW2_서초풍림아이원플러스(0723)(2) 2" xfId="18766"/>
    <cellStyle name="_적격 _TMP-POW2_파주시금촌(2)지구C2BL풍림APT(1001)-공" xfId="18767"/>
    <cellStyle name="_적격 _TMP-POW2_파주시금촌(2)지구C2BL풍림APT(1001)-공 2" xfId="18768"/>
    <cellStyle name="_적격 _V-M-0001AB1216" xfId="18769"/>
    <cellStyle name="_적격 _V-M-0001AB1216 2" xfId="18770"/>
    <cellStyle name="_적격 _V-M-0001AB1216_53호견적최종" xfId="18771"/>
    <cellStyle name="_적격 _V-M-0001AB1216_53호견적최종 2" xfId="18772"/>
    <cellStyle name="_적격 _V-M-0001AB1216_R-0053" xfId="18773"/>
    <cellStyle name="_적격 _V-M-0001AB1216_R-0053 2" xfId="18774"/>
    <cellStyle name="_적격 _V-M-0001AB1216_R-0053ELEC대" xfId="18775"/>
    <cellStyle name="_적격 _V-M-0001AB1216_R-0053ELEC대 2" xfId="18776"/>
    <cellStyle name="_적격 _V-M-0001AB1216_R-0053SITE" xfId="18777"/>
    <cellStyle name="_적격 _V-M-0001AB1216_R-0053SITE 2" xfId="18778"/>
    <cellStyle name="_적격 _V-M-0001AC1217" xfId="18779"/>
    <cellStyle name="_적격 _V-M-0001AC1217 2" xfId="18780"/>
    <cellStyle name="_적격 _V-M-0001AC1217_53호견적최종" xfId="18781"/>
    <cellStyle name="_적격 _V-M-0001AC1217_53호견적최종 2" xfId="18782"/>
    <cellStyle name="_적격 _V-M-0001AC1217_R-0053" xfId="18783"/>
    <cellStyle name="_적격 _V-M-0001AC1217_R-0053 2" xfId="18784"/>
    <cellStyle name="_적격 _V-M-0001AC1217_R-0053ELEC대" xfId="18785"/>
    <cellStyle name="_적격 _V-M-0001AC1217_R-0053ELEC대 2" xfId="18786"/>
    <cellStyle name="_적격 _V-M-0001AC1217_R-0053SITE" xfId="18787"/>
    <cellStyle name="_적격 _V-M-0001AC1217_R-0053SITE 2" xfId="18788"/>
    <cellStyle name="_적격 _V-M-0001AD2460" xfId="18789"/>
    <cellStyle name="_적격 _V-M-0001AD2460 2" xfId="18790"/>
    <cellStyle name="_적격 _V-M-0001AD2460_53호견적최종" xfId="18791"/>
    <cellStyle name="_적격 _V-M-0001AD2460_53호견적최종 2" xfId="18792"/>
    <cellStyle name="_적격 _V-M-0001AD2460_R-0053" xfId="18793"/>
    <cellStyle name="_적격 _V-M-0001AD2460_R-0053 2" xfId="18794"/>
    <cellStyle name="_적격 _V-M-0001AD2460_R-0053ELEC대" xfId="18795"/>
    <cellStyle name="_적격 _V-M-0001AD2460_R-0053ELEC대 2" xfId="18796"/>
    <cellStyle name="_적격 _V-M-0001AD2460_R-0053SITE" xfId="18797"/>
    <cellStyle name="_적격 _V-M-0001AD2460_R-0053SITE 2" xfId="18798"/>
    <cellStyle name="_적격 _V-M-0001AE RENOVATE BLDG1216" xfId="18799"/>
    <cellStyle name="_적격 _V-M-0001AE RENOVATE BLDG1216 2" xfId="18800"/>
    <cellStyle name="_적격 _V-M-0001AE RENOVATE BLDG1216_53호견적최종" xfId="18801"/>
    <cellStyle name="_적격 _V-M-0001AE RENOVATE BLDG1216_53호견적최종 2" xfId="18802"/>
    <cellStyle name="_적격 _V-M-0001AE RENOVATE BLDG1216_R-0053" xfId="18803"/>
    <cellStyle name="_적격 _V-M-0001AE RENOVATE BLDG1216_R-0053 2" xfId="18804"/>
    <cellStyle name="_적격 _V-M-0001AE RENOVATE BLDG1216_R-0053ELEC대" xfId="18805"/>
    <cellStyle name="_적격 _V-M-0001AE RENOVATE BLDG1216_R-0053ELEC대 2" xfId="18806"/>
    <cellStyle name="_적격 _V-M-0001AE RENOVATE BLDG1216_R-0053SITE" xfId="18807"/>
    <cellStyle name="_적격 _V-M-0001AE RENOVATE BLDG1216_R-0053SITE 2" xfId="18808"/>
    <cellStyle name="_적격 _V-M-0002" xfId="18809"/>
    <cellStyle name="_적격 _V-M-0002 2" xfId="18810"/>
    <cellStyle name="_적격 _V-M-0002_53호견적최종" xfId="18811"/>
    <cellStyle name="_적격 _V-M-0002_53호견적최종 2" xfId="18812"/>
    <cellStyle name="_적격 _V-M-0002_R-0053" xfId="18813"/>
    <cellStyle name="_적격 _V-M-0002_R-0053 2" xfId="18814"/>
    <cellStyle name="_적격 _V-M-0002_R-0053ELEC대" xfId="18815"/>
    <cellStyle name="_적격 _V-M-0002_R-0053ELEC대 2" xfId="18816"/>
    <cellStyle name="_적격 _V-M-0002_R-0053SITE" xfId="18817"/>
    <cellStyle name="_적격 _V-M-0002_R-0053SITE 2" xfId="18818"/>
    <cellStyle name="_적격 _V-M-0004" xfId="18819"/>
    <cellStyle name="_적격 _V-M-0004 2" xfId="18820"/>
    <cellStyle name="_적격 _V-M-0004_53호견적최종" xfId="18821"/>
    <cellStyle name="_적격 _V-M-0004_53호견적최종 2" xfId="18822"/>
    <cellStyle name="_적격 _V-M-0004_R-0053" xfId="18823"/>
    <cellStyle name="_적격 _V-M-0004_R-0053 2" xfId="18824"/>
    <cellStyle name="_적격 _V-M-0004_R-0053ELEC대" xfId="18825"/>
    <cellStyle name="_적격 _V-M-0004_R-0053ELEC대 2" xfId="18826"/>
    <cellStyle name="_적격 _V-M-0004_R-0053SITE" xfId="18827"/>
    <cellStyle name="_적격 _V-M-0004_R-0053SITE 2" xfId="18828"/>
    <cellStyle name="_적격 _V-M-0005" xfId="18829"/>
    <cellStyle name="_적격 _V-M-0005 2" xfId="18830"/>
    <cellStyle name="_적격 _V-M-0005_53호견적최종" xfId="18831"/>
    <cellStyle name="_적격 _V-M-0005_53호견적최종 2" xfId="18832"/>
    <cellStyle name="_적격 _V-M-0005_R-0053" xfId="18833"/>
    <cellStyle name="_적격 _V-M-0005_R-0053 2" xfId="18834"/>
    <cellStyle name="_적격 _V-M-0005_R-0053ELEC대" xfId="18835"/>
    <cellStyle name="_적격 _V-M-0005_R-0053ELEC대 2" xfId="18836"/>
    <cellStyle name="_적격 _V-M-0005_R-0053SITE" xfId="18837"/>
    <cellStyle name="_적격 _V-M-0005_R-0053SITE 2" xfId="18838"/>
    <cellStyle name="_적격 _V-O-0007" xfId="18839"/>
    <cellStyle name="_적격 _V-O-0007 2" xfId="18840"/>
    <cellStyle name="_적격 _V-O-0007_53호견적최종" xfId="18841"/>
    <cellStyle name="_적격 _V-O-0007_53호견적최종 2" xfId="18842"/>
    <cellStyle name="_적격 _V-O-0007_R-0053" xfId="18843"/>
    <cellStyle name="_적격 _V-O-0007_R-0053 2" xfId="18844"/>
    <cellStyle name="_적격 _V-O-0007_R-0053ELEC대" xfId="18845"/>
    <cellStyle name="_적격 _V-O-0007_R-0053ELEC대 2" xfId="18846"/>
    <cellStyle name="_적격 _V-O-0007_R-0053SITE" xfId="18847"/>
    <cellStyle name="_적격 _V-O-0007_R-0053SITE 2" xfId="18848"/>
    <cellStyle name="_적격 _V-O-0009" xfId="18849"/>
    <cellStyle name="_적격 _V-O-0009 2" xfId="18850"/>
    <cellStyle name="_적격 _V-O-0009_53호견적최종" xfId="18851"/>
    <cellStyle name="_적격 _V-O-0009_53호견적최종 2" xfId="18852"/>
    <cellStyle name="_적격 _V-O-0009_R-0053" xfId="18853"/>
    <cellStyle name="_적격 _V-O-0009_R-0053 2" xfId="18854"/>
    <cellStyle name="_적격 _V-O-0009_R-0053ELEC대" xfId="18855"/>
    <cellStyle name="_적격 _V-O-0009_R-0053ELEC대 2" xfId="18856"/>
    <cellStyle name="_적격 _V-O-0009_R-0053SITE" xfId="18857"/>
    <cellStyle name="_적격 _V-O-0009_R-0053SITE 2" xfId="18858"/>
    <cellStyle name="_적격 _견적1" xfId="18859"/>
    <cellStyle name="_적격 _견적1_28-3-2 삼환-대한생명 63빌딩 현장 철거공사 (재노경)" xfId="18860"/>
    <cellStyle name="_적격 _견적서" xfId="18861"/>
    <cellStyle name="_적격 _견적서_24-1(동부)-두능-연곡 도로건설공사 중 기존교량철거" xfId="18862"/>
    <cellStyle name="_적격 _견적서_견적1" xfId="18863"/>
    <cellStyle name="_적격 _견적서_견적1_28-3-2 삼환-대한생명 63빌딩 현장 철거공사 (재노경)" xfId="18864"/>
    <cellStyle name="_적격 _공내역서" xfId="18865"/>
    <cellStyle name="_적격 _공내역서 2" xfId="18866"/>
    <cellStyle name="_적격 _공내역서_사본 - ☆태평동  도급내역" xfId="18999"/>
    <cellStyle name="_적격 _공내역서_사본 - ☆태평동  도급내역 2" xfId="19000"/>
    <cellStyle name="_적격 _공내역서_성남태평동설비공사" xfId="19001"/>
    <cellStyle name="_적격 _공내역서_성남태평동설비공사 2" xfId="19002"/>
    <cellStyle name="_적격 _공내역서_수원율전 실행내역" xfId="19003"/>
    <cellStyle name="_적격 _공내역서_수원율전 실행내역 2" xfId="19004"/>
    <cellStyle name="_적격 _공내역서_수원율전 실행내역 검토안" xfId="19005"/>
    <cellStyle name="_적격 _공내역서_수원율전 실행내역 검토안 2" xfId="19006"/>
    <cellStyle name="_적격 _공내역서_수원율전 실행내역 검토안_사본 - ☆태평동  도급내역" xfId="19007"/>
    <cellStyle name="_적격 _공내역서_수원율전 실행내역 검토안_사본 - ☆태평동  도급내역 2" xfId="19008"/>
    <cellStyle name="_적격 _공내역서_수원율전 실행내역 검토안_성남태평동설비공사" xfId="19009"/>
    <cellStyle name="_적격 _공내역서_수원율전 실행내역 검토안_성남태평동설비공사 2" xfId="19010"/>
    <cellStyle name="_적격 _공내역서_수원율전 실행내역 검토안_수원율전 실행내역" xfId="19011"/>
    <cellStyle name="_적격 _공내역서_수원율전 실행내역 검토안_수원율전 실행내역 2" xfId="19012"/>
    <cellStyle name="_적격 _공내역서_수원율전 실행내역 검토안_수원율전 실행내역 검토안" xfId="19013"/>
    <cellStyle name="_적격 _공내역서_수원율전 실행내역 검토안_수원율전 실행내역 검토안 2" xfId="19014"/>
    <cellStyle name="_적격 _공내역서_수원율전 실행내역 검토안_수원율전 실행내역 검토안_사본 - ☆태평동  도급내역" xfId="19015"/>
    <cellStyle name="_적격 _공내역서_수원율전 실행내역 검토안_수원율전 실행내역 검토안_사본 - ☆태평동  도급내역 2" xfId="19016"/>
    <cellStyle name="_적격 _공내역서_수원율전 실행내역 검토안_수원율전 실행내역 검토안_성남태평동설비공사" xfId="19017"/>
    <cellStyle name="_적격 _공내역서_수원율전 실행내역 검토안_수원율전 실행내역 검토안_성남태평동설비공사 2" xfId="19018"/>
    <cellStyle name="_적격 _공내역서_수원율전 실행내역 검토안_수원율전 실행내역 검토안_수정구 태평동 주상복합 실행내역 검토안" xfId="19019"/>
    <cellStyle name="_적격 _공내역서_수원율전 실행내역 검토안_수원율전 실행내역 검토안_수정구 태평동 주상복합 실행내역 검토안 2" xfId="19020"/>
    <cellStyle name="_적격 _공내역서_수원율전 실행내역 검토안_수원율전 실행내역 검토안_태평동 실행내역서" xfId="19021"/>
    <cellStyle name="_적격 _공내역서_수원율전 실행내역 검토안_수원율전 실행내역 검토안_태평동 실행내역서 2" xfId="19022"/>
    <cellStyle name="_적격 _공내역서_수원율전 실행내역 검토안_수원율전 실행내역 검토안_태평동도급내역(Rev.2)-12.26" xfId="19023"/>
    <cellStyle name="_적격 _공내역서_수원율전 실행내역 검토안_수원율전 실행내역 검토안_태평동도급내역(Rev.2)-12.26 2" xfId="19024"/>
    <cellStyle name="_적격 _공내역서_수원율전 실행내역 검토안_수정구 태평동 주상복합 실행내역 검토안" xfId="19025"/>
    <cellStyle name="_적격 _공내역서_수원율전 실행내역 검토안_수정구 태평동 주상복합 실행내역 검토안 2" xfId="19026"/>
    <cellStyle name="_적격 _공내역서_수원율전 실행내역 검토안_태평동 실행내역서" xfId="19027"/>
    <cellStyle name="_적격 _공내역서_수원율전 실행내역 검토안_태평동 실행내역서 2" xfId="19028"/>
    <cellStyle name="_적격 _공내역서_수원율전 실행내역 검토안_태평동도급내역(Rev.2)-12.26" xfId="19029"/>
    <cellStyle name="_적격 _공내역서_수원율전 실행내역 검토안_태평동도급내역(Rev.2)-12.26 2" xfId="19030"/>
    <cellStyle name="_적격 _공내역서_수원율전조합" xfId="19031"/>
    <cellStyle name="_적격 _공내역서_수원율전조합 2" xfId="19032"/>
    <cellStyle name="_적격 _공내역서_수원율전조합_사본 - ☆태평동  도급내역" xfId="19033"/>
    <cellStyle name="_적격 _공내역서_수원율전조합_사본 - ☆태평동  도급내역 2" xfId="19034"/>
    <cellStyle name="_적격 _공내역서_수원율전조합_성남태평동설비공사" xfId="19035"/>
    <cellStyle name="_적격 _공내역서_수원율전조합_성남태평동설비공사 2" xfId="19036"/>
    <cellStyle name="_적격 _공내역서_수원율전조합_수원율전 실행내역" xfId="19037"/>
    <cellStyle name="_적격 _공내역서_수원율전조합_수원율전 실행내역 2" xfId="19038"/>
    <cellStyle name="_적격 _공내역서_수원율전조합_수원율전 실행내역 검토안" xfId="19039"/>
    <cellStyle name="_적격 _공내역서_수원율전조합_수원율전 실행내역 검토안 2" xfId="19040"/>
    <cellStyle name="_적격 _공내역서_수원율전조합_수원율전 실행내역 검토안_사본 - ☆태평동  도급내역" xfId="19041"/>
    <cellStyle name="_적격 _공내역서_수원율전조합_수원율전 실행내역 검토안_사본 - ☆태평동  도급내역 2" xfId="19042"/>
    <cellStyle name="_적격 _공내역서_수원율전조합_수원율전 실행내역 검토안_성남태평동설비공사" xfId="19043"/>
    <cellStyle name="_적격 _공내역서_수원율전조합_수원율전 실행내역 검토안_성남태평동설비공사 2" xfId="19044"/>
    <cellStyle name="_적격 _공내역서_수원율전조합_수원율전 실행내역 검토안_수정구 태평동 주상복합 실행내역 검토안" xfId="19045"/>
    <cellStyle name="_적격 _공내역서_수원율전조합_수원율전 실행내역 검토안_수정구 태평동 주상복합 실행내역 검토안 2" xfId="19046"/>
    <cellStyle name="_적격 _공내역서_수원율전조합_수원율전 실행내역 검토안_태평동 실행내역서" xfId="19047"/>
    <cellStyle name="_적격 _공내역서_수원율전조합_수원율전 실행내역 검토안_태평동 실행내역서 2" xfId="19048"/>
    <cellStyle name="_적격 _공내역서_수원율전조합_수원율전 실행내역 검토안_태평동도급내역(Rev.2)-12.26" xfId="19049"/>
    <cellStyle name="_적격 _공내역서_수원율전조합_수원율전 실행내역 검토안_태평동도급내역(Rev.2)-12.26 2" xfId="19050"/>
    <cellStyle name="_적격 _공내역서_수원율전조합_수정구 태평동 주상복합 실행내역 검토안" xfId="19051"/>
    <cellStyle name="_적격 _공내역서_수원율전조합_수정구 태평동 주상복합 실행내역 검토안 2" xfId="19052"/>
    <cellStyle name="_적격 _공내역서_수원율전조합_태평동 실행내역서" xfId="19053"/>
    <cellStyle name="_적격 _공내역서_수원율전조합_태평동 실행내역서 2" xfId="19054"/>
    <cellStyle name="_적격 _공내역서_수원율전조합_태평동도급내역(Rev.2)-12.26" xfId="19055"/>
    <cellStyle name="_적격 _공내역서_수원율전조합_태평동도급내역(Rev.2)-12.26 2" xfId="19056"/>
    <cellStyle name="_적격 _공내역서_수정구 태평동 주상복합 실행내역 검토안" xfId="19057"/>
    <cellStyle name="_적격 _공내역서_수정구 태평동 주상복합 실행내역 검토안 2" xfId="19058"/>
    <cellStyle name="_적격 _공내역서_태평동 실행내역서" xfId="19059"/>
    <cellStyle name="_적격 _공내역서_태평동 실행내역서 2" xfId="19060"/>
    <cellStyle name="_적격 _공내역서_태평동도급내역(Rev.2)-12.26" xfId="19061"/>
    <cellStyle name="_적격 _공내역서_태평동도급내역(Rev.2)-12.26 2" xfId="19062"/>
    <cellStyle name="_적격 _공내역서-창호" xfId="18867"/>
    <cellStyle name="_적격 _공내역서-창호 2" xfId="18868"/>
    <cellStyle name="_적격 _공내역서-창호_사본 - ☆태평동  도급내역" xfId="18869"/>
    <cellStyle name="_적격 _공내역서-창호_사본 - ☆태평동  도급내역 2" xfId="18870"/>
    <cellStyle name="_적격 _공내역서-창호_성남태평동설비공사" xfId="18871"/>
    <cellStyle name="_적격 _공내역서-창호_성남태평동설비공사 2" xfId="18872"/>
    <cellStyle name="_적격 _공내역서-창호_수원율전 실행내역" xfId="18873"/>
    <cellStyle name="_적격 _공내역서-창호_수원율전 실행내역 2" xfId="18874"/>
    <cellStyle name="_적격 _공내역서-창호_수원율전 실행내역 검토안" xfId="18875"/>
    <cellStyle name="_적격 _공내역서-창호_수원율전 실행내역 검토안 2" xfId="18876"/>
    <cellStyle name="_적격 _공내역서-창호_수원율전 실행내역 검토안_사본 - ☆태평동  도급내역" xfId="18877"/>
    <cellStyle name="_적격 _공내역서-창호_수원율전 실행내역 검토안_사본 - ☆태평동  도급내역 2" xfId="18878"/>
    <cellStyle name="_적격 _공내역서-창호_수원율전 실행내역 검토안_성남태평동설비공사" xfId="18879"/>
    <cellStyle name="_적격 _공내역서-창호_수원율전 실행내역 검토안_성남태평동설비공사 2" xfId="18880"/>
    <cellStyle name="_적격 _공내역서-창호_수원율전 실행내역 검토안_수원율전 실행내역" xfId="18881"/>
    <cellStyle name="_적격 _공내역서-창호_수원율전 실행내역 검토안_수원율전 실행내역 2" xfId="18882"/>
    <cellStyle name="_적격 _공내역서-창호_수원율전 실행내역 검토안_수원율전 실행내역 검토안" xfId="18883"/>
    <cellStyle name="_적격 _공내역서-창호_수원율전 실행내역 검토안_수원율전 실행내역 검토안 2" xfId="18884"/>
    <cellStyle name="_적격 _공내역서-창호_수원율전 실행내역 검토안_수원율전 실행내역 검토안_사본 - ☆태평동  도급내역" xfId="18885"/>
    <cellStyle name="_적격 _공내역서-창호_수원율전 실행내역 검토안_수원율전 실행내역 검토안_사본 - ☆태평동  도급내역 2" xfId="18886"/>
    <cellStyle name="_적격 _공내역서-창호_수원율전 실행내역 검토안_수원율전 실행내역 검토안_성남태평동설비공사" xfId="18887"/>
    <cellStyle name="_적격 _공내역서-창호_수원율전 실행내역 검토안_수원율전 실행내역 검토안_성남태평동설비공사 2" xfId="18888"/>
    <cellStyle name="_적격 _공내역서-창호_수원율전 실행내역 검토안_수원율전 실행내역 검토안_수정구 태평동 주상복합 실행내역 검토안" xfId="18889"/>
    <cellStyle name="_적격 _공내역서-창호_수원율전 실행내역 검토안_수원율전 실행내역 검토안_수정구 태평동 주상복합 실행내역 검토안 2" xfId="18890"/>
    <cellStyle name="_적격 _공내역서-창호_수원율전 실행내역 검토안_수원율전 실행내역 검토안_태평동 실행내역서" xfId="18891"/>
    <cellStyle name="_적격 _공내역서-창호_수원율전 실행내역 검토안_수원율전 실행내역 검토안_태평동 실행내역서 2" xfId="18892"/>
    <cellStyle name="_적격 _공내역서-창호_수원율전 실행내역 검토안_수원율전 실행내역 검토안_태평동도급내역(Rev.2)-12.26" xfId="18893"/>
    <cellStyle name="_적격 _공내역서-창호_수원율전 실행내역 검토안_수원율전 실행내역 검토안_태평동도급내역(Rev.2)-12.26 2" xfId="18894"/>
    <cellStyle name="_적격 _공내역서-창호_수원율전 실행내역 검토안_수정구 태평동 주상복합 실행내역 검토안" xfId="18895"/>
    <cellStyle name="_적격 _공내역서-창호_수원율전 실행내역 검토안_수정구 태평동 주상복합 실행내역 검토안 2" xfId="18896"/>
    <cellStyle name="_적격 _공내역서-창호_수원율전 실행내역 검토안_태평동 실행내역서" xfId="18897"/>
    <cellStyle name="_적격 _공내역서-창호_수원율전 실행내역 검토안_태평동 실행내역서 2" xfId="18898"/>
    <cellStyle name="_적격 _공내역서-창호_수원율전 실행내역 검토안_태평동도급내역(Rev.2)-12.26" xfId="18899"/>
    <cellStyle name="_적격 _공내역서-창호_수원율전 실행내역 검토안_태평동도급내역(Rev.2)-12.26 2" xfId="18900"/>
    <cellStyle name="_적격 _공내역서-창호_수원율전조합" xfId="18901"/>
    <cellStyle name="_적격 _공내역서-창호_수원율전조합 2" xfId="18902"/>
    <cellStyle name="_적격 _공내역서-창호_수원율전조합_사본 - ☆태평동  도급내역" xfId="18903"/>
    <cellStyle name="_적격 _공내역서-창호_수원율전조합_사본 - ☆태평동  도급내역 2" xfId="18904"/>
    <cellStyle name="_적격 _공내역서-창호_수원율전조합_성남태평동설비공사" xfId="18905"/>
    <cellStyle name="_적격 _공내역서-창호_수원율전조합_성남태평동설비공사 2" xfId="18906"/>
    <cellStyle name="_적격 _공내역서-창호_수원율전조합_수원율전 실행내역" xfId="18907"/>
    <cellStyle name="_적격 _공내역서-창호_수원율전조합_수원율전 실행내역 2" xfId="18908"/>
    <cellStyle name="_적격 _공내역서-창호_수원율전조합_수원율전 실행내역 검토안" xfId="18909"/>
    <cellStyle name="_적격 _공내역서-창호_수원율전조합_수원율전 실행내역 검토안 2" xfId="18910"/>
    <cellStyle name="_적격 _공내역서-창호_수원율전조합_수원율전 실행내역 검토안_사본 - ☆태평동  도급내역" xfId="18911"/>
    <cellStyle name="_적격 _공내역서-창호_수원율전조합_수원율전 실행내역 검토안_사본 - ☆태평동  도급내역 2" xfId="18912"/>
    <cellStyle name="_적격 _공내역서-창호_수원율전조합_수원율전 실행내역 검토안_성남태평동설비공사" xfId="18913"/>
    <cellStyle name="_적격 _공내역서-창호_수원율전조합_수원율전 실행내역 검토안_성남태평동설비공사 2" xfId="18914"/>
    <cellStyle name="_적격 _공내역서-창호_수원율전조합_수원율전 실행내역 검토안_수정구 태평동 주상복합 실행내역 검토안" xfId="18915"/>
    <cellStyle name="_적격 _공내역서-창호_수원율전조합_수원율전 실행내역 검토안_수정구 태평동 주상복합 실행내역 검토안 2" xfId="18916"/>
    <cellStyle name="_적격 _공내역서-창호_수원율전조합_수원율전 실행내역 검토안_태평동 실행내역서" xfId="18917"/>
    <cellStyle name="_적격 _공내역서-창호_수원율전조합_수원율전 실행내역 검토안_태평동 실행내역서 2" xfId="18918"/>
    <cellStyle name="_적격 _공내역서-창호_수원율전조합_수원율전 실행내역 검토안_태평동도급내역(Rev.2)-12.26" xfId="18919"/>
    <cellStyle name="_적격 _공내역서-창호_수원율전조합_수원율전 실행내역 검토안_태평동도급내역(Rev.2)-12.26 2" xfId="18920"/>
    <cellStyle name="_적격 _공내역서-창호_수원율전조합_수정구 태평동 주상복합 실행내역 검토안" xfId="18921"/>
    <cellStyle name="_적격 _공내역서-창호_수원율전조합_수정구 태평동 주상복합 실행내역 검토안 2" xfId="18922"/>
    <cellStyle name="_적격 _공내역서-창호_수원율전조합_태평동 실행내역서" xfId="18923"/>
    <cellStyle name="_적격 _공내역서-창호_수원율전조합_태평동 실행내역서 2" xfId="18924"/>
    <cellStyle name="_적격 _공내역서-창호_수원율전조합_태평동도급내역(Rev.2)-12.26" xfId="18925"/>
    <cellStyle name="_적격 _공내역서-창호_수원율전조합_태평동도급내역(Rev.2)-12.26 2" xfId="18926"/>
    <cellStyle name="_적격 _공내역서-창호_수정구 태평동 주상복합 실행내역 검토안" xfId="18927"/>
    <cellStyle name="_적격 _공내역서-창호_수정구 태평동 주상복합 실행내역 검토안 2" xfId="18928"/>
    <cellStyle name="_적격 _공내역서-창호_태평동 실행내역서" xfId="18929"/>
    <cellStyle name="_적격 _공내역서-창호_태평동 실행내역서 2" xfId="18930"/>
    <cellStyle name="_적격 _공내역서-창호_태평동도급내역(Rev.2)-12.26" xfId="18931"/>
    <cellStyle name="_적격 _공내역서-창호_태평동도급내역(Rev.2)-12.26 2" xfId="18932"/>
    <cellStyle name="_적격 _공내역서-창호분개" xfId="18933"/>
    <cellStyle name="_적격 _공내역서-창호분개 2" xfId="18934"/>
    <cellStyle name="_적격 _공내역서-창호분개_사본 - ☆태평동  도급내역" xfId="18935"/>
    <cellStyle name="_적격 _공내역서-창호분개_사본 - ☆태평동  도급내역 2" xfId="18936"/>
    <cellStyle name="_적격 _공내역서-창호분개_성남태평동설비공사" xfId="18937"/>
    <cellStyle name="_적격 _공내역서-창호분개_성남태평동설비공사 2" xfId="18938"/>
    <cellStyle name="_적격 _공내역서-창호분개_수원율전 실행내역" xfId="18939"/>
    <cellStyle name="_적격 _공내역서-창호분개_수원율전 실행내역 2" xfId="18940"/>
    <cellStyle name="_적격 _공내역서-창호분개_수원율전 실행내역 검토안" xfId="18941"/>
    <cellStyle name="_적격 _공내역서-창호분개_수원율전 실행내역 검토안 2" xfId="18942"/>
    <cellStyle name="_적격 _공내역서-창호분개_수원율전 실행내역 검토안_사본 - ☆태평동  도급내역" xfId="18943"/>
    <cellStyle name="_적격 _공내역서-창호분개_수원율전 실행내역 검토안_사본 - ☆태평동  도급내역 2" xfId="18944"/>
    <cellStyle name="_적격 _공내역서-창호분개_수원율전 실행내역 검토안_성남태평동설비공사" xfId="18945"/>
    <cellStyle name="_적격 _공내역서-창호분개_수원율전 실행내역 검토안_성남태평동설비공사 2" xfId="18946"/>
    <cellStyle name="_적격 _공내역서-창호분개_수원율전 실행내역 검토안_수원율전 실행내역" xfId="18947"/>
    <cellStyle name="_적격 _공내역서-창호분개_수원율전 실행내역 검토안_수원율전 실행내역 2" xfId="18948"/>
    <cellStyle name="_적격 _공내역서-창호분개_수원율전 실행내역 검토안_수원율전 실행내역 검토안" xfId="18949"/>
    <cellStyle name="_적격 _공내역서-창호분개_수원율전 실행내역 검토안_수원율전 실행내역 검토안 2" xfId="18950"/>
    <cellStyle name="_적격 _공내역서-창호분개_수원율전 실행내역 검토안_수원율전 실행내역 검토안_사본 - ☆태평동  도급내역" xfId="18951"/>
    <cellStyle name="_적격 _공내역서-창호분개_수원율전 실행내역 검토안_수원율전 실행내역 검토안_사본 - ☆태평동  도급내역 2" xfId="18952"/>
    <cellStyle name="_적격 _공내역서-창호분개_수원율전 실행내역 검토안_수원율전 실행내역 검토안_성남태평동설비공사" xfId="18953"/>
    <cellStyle name="_적격 _공내역서-창호분개_수원율전 실행내역 검토안_수원율전 실행내역 검토안_성남태평동설비공사 2" xfId="18954"/>
    <cellStyle name="_적격 _공내역서-창호분개_수원율전 실행내역 검토안_수원율전 실행내역 검토안_수정구 태평동 주상복합 실행내역 검토안" xfId="18955"/>
    <cellStyle name="_적격 _공내역서-창호분개_수원율전 실행내역 검토안_수원율전 실행내역 검토안_수정구 태평동 주상복합 실행내역 검토안 2" xfId="18956"/>
    <cellStyle name="_적격 _공내역서-창호분개_수원율전 실행내역 검토안_수원율전 실행내역 검토안_태평동 실행내역서" xfId="18957"/>
    <cellStyle name="_적격 _공내역서-창호분개_수원율전 실행내역 검토안_수원율전 실행내역 검토안_태평동 실행내역서 2" xfId="18958"/>
    <cellStyle name="_적격 _공내역서-창호분개_수원율전 실행내역 검토안_수원율전 실행내역 검토안_태평동도급내역(Rev.2)-12.26" xfId="18959"/>
    <cellStyle name="_적격 _공내역서-창호분개_수원율전 실행내역 검토안_수원율전 실행내역 검토안_태평동도급내역(Rev.2)-12.26 2" xfId="18960"/>
    <cellStyle name="_적격 _공내역서-창호분개_수원율전 실행내역 검토안_수정구 태평동 주상복합 실행내역 검토안" xfId="18961"/>
    <cellStyle name="_적격 _공내역서-창호분개_수원율전 실행내역 검토안_수정구 태평동 주상복합 실행내역 검토안 2" xfId="18962"/>
    <cellStyle name="_적격 _공내역서-창호분개_수원율전 실행내역 검토안_태평동 실행내역서" xfId="18963"/>
    <cellStyle name="_적격 _공내역서-창호분개_수원율전 실행내역 검토안_태평동 실행내역서 2" xfId="18964"/>
    <cellStyle name="_적격 _공내역서-창호분개_수원율전 실행내역 검토안_태평동도급내역(Rev.2)-12.26" xfId="18965"/>
    <cellStyle name="_적격 _공내역서-창호분개_수원율전 실행내역 검토안_태평동도급내역(Rev.2)-12.26 2" xfId="18966"/>
    <cellStyle name="_적격 _공내역서-창호분개_수원율전조합" xfId="18967"/>
    <cellStyle name="_적격 _공내역서-창호분개_수원율전조합 2" xfId="18968"/>
    <cellStyle name="_적격 _공내역서-창호분개_수원율전조합_사본 - ☆태평동  도급내역" xfId="18969"/>
    <cellStyle name="_적격 _공내역서-창호분개_수원율전조합_사본 - ☆태평동  도급내역 2" xfId="18970"/>
    <cellStyle name="_적격 _공내역서-창호분개_수원율전조합_성남태평동설비공사" xfId="18971"/>
    <cellStyle name="_적격 _공내역서-창호분개_수원율전조합_성남태평동설비공사 2" xfId="18972"/>
    <cellStyle name="_적격 _공내역서-창호분개_수원율전조합_수원율전 실행내역" xfId="18973"/>
    <cellStyle name="_적격 _공내역서-창호분개_수원율전조합_수원율전 실행내역 2" xfId="18974"/>
    <cellStyle name="_적격 _공내역서-창호분개_수원율전조합_수원율전 실행내역 검토안" xfId="18975"/>
    <cellStyle name="_적격 _공내역서-창호분개_수원율전조합_수원율전 실행내역 검토안 2" xfId="18976"/>
    <cellStyle name="_적격 _공내역서-창호분개_수원율전조합_수원율전 실행내역 검토안_사본 - ☆태평동  도급내역" xfId="18977"/>
    <cellStyle name="_적격 _공내역서-창호분개_수원율전조합_수원율전 실행내역 검토안_사본 - ☆태평동  도급내역 2" xfId="18978"/>
    <cellStyle name="_적격 _공내역서-창호분개_수원율전조합_수원율전 실행내역 검토안_성남태평동설비공사" xfId="18979"/>
    <cellStyle name="_적격 _공내역서-창호분개_수원율전조합_수원율전 실행내역 검토안_성남태평동설비공사 2" xfId="18980"/>
    <cellStyle name="_적격 _공내역서-창호분개_수원율전조합_수원율전 실행내역 검토안_수정구 태평동 주상복합 실행내역 검토안" xfId="18981"/>
    <cellStyle name="_적격 _공내역서-창호분개_수원율전조합_수원율전 실행내역 검토안_수정구 태평동 주상복합 실행내역 검토안 2" xfId="18982"/>
    <cellStyle name="_적격 _공내역서-창호분개_수원율전조합_수원율전 실행내역 검토안_태평동 실행내역서" xfId="18983"/>
    <cellStyle name="_적격 _공내역서-창호분개_수원율전조합_수원율전 실행내역 검토안_태평동 실행내역서 2" xfId="18984"/>
    <cellStyle name="_적격 _공내역서-창호분개_수원율전조합_수원율전 실행내역 검토안_태평동도급내역(Rev.2)-12.26" xfId="18985"/>
    <cellStyle name="_적격 _공내역서-창호분개_수원율전조합_수원율전 실행내역 검토안_태평동도급내역(Rev.2)-12.26 2" xfId="18986"/>
    <cellStyle name="_적격 _공내역서-창호분개_수원율전조합_수정구 태평동 주상복합 실행내역 검토안" xfId="18987"/>
    <cellStyle name="_적격 _공내역서-창호분개_수원율전조합_수정구 태평동 주상복합 실행내역 검토안 2" xfId="18988"/>
    <cellStyle name="_적격 _공내역서-창호분개_수원율전조합_태평동 실행내역서" xfId="18989"/>
    <cellStyle name="_적격 _공내역서-창호분개_수원율전조합_태평동 실행내역서 2" xfId="18990"/>
    <cellStyle name="_적격 _공내역서-창호분개_수원율전조합_태평동도급내역(Rev.2)-12.26" xfId="18991"/>
    <cellStyle name="_적격 _공내역서-창호분개_수원율전조합_태평동도급내역(Rev.2)-12.26 2" xfId="18992"/>
    <cellStyle name="_적격 _공내역서-창호분개_수정구 태평동 주상복합 실행내역 검토안" xfId="18993"/>
    <cellStyle name="_적격 _공내역서-창호분개_수정구 태평동 주상복합 실행내역 검토안 2" xfId="18994"/>
    <cellStyle name="_적격 _공내역서-창호분개_태평동 실행내역서" xfId="18995"/>
    <cellStyle name="_적격 _공내역서-창호분개_태평동 실행내역서 2" xfId="18996"/>
    <cellStyle name="_적격 _공내역서-창호분개_태평동도급내역(Rev.2)-12.26" xfId="18997"/>
    <cellStyle name="_적격 _공내역서-창호분개_태평동도급내역(Rev.2)-12.26 2" xfId="18998"/>
    <cellStyle name="_적격 _공사개요" xfId="19063"/>
    <cellStyle name="_적격 _공사개요 2" xfId="19064"/>
    <cellStyle name="_적격 _공사개요_Book2" xfId="19065"/>
    <cellStyle name="_적격 _공사개요_Book2 2" xfId="19066"/>
    <cellStyle name="_적격 _공사개요_Book4" xfId="19067"/>
    <cellStyle name="_적격 _공사개요_Book4 2" xfId="19068"/>
    <cellStyle name="_적격 _내역서(건설사)" xfId="19069"/>
    <cellStyle name="_적격 _내역서(건설사) 2" xfId="19070"/>
    <cellStyle name="_적격 _내역서(작업)" xfId="19071"/>
    <cellStyle name="_적격 _내역서(작업) 2" xfId="19072"/>
    <cellStyle name="_적격 _내역서(최초)" xfId="19073"/>
    <cellStyle name="_적격 _내역서(최초) 2" xfId="19074"/>
    <cellStyle name="_적격 _롯데마그넷(오산점)" xfId="19075"/>
    <cellStyle name="_적격 _롯데마그넷(오산점) 2" xfId="19076"/>
    <cellStyle name="_적격 _롯데마그넷(오산점)_내역서(건설사)" xfId="19077"/>
    <cellStyle name="_적격 _롯데마그넷(오산점)_내역서(건설사) 2" xfId="19078"/>
    <cellStyle name="_적격 _롯데마그넷(오산점)_내역서(작업)" xfId="19079"/>
    <cellStyle name="_적격 _롯데마그넷(오산점)_내역서(작업) 2" xfId="19080"/>
    <cellStyle name="_적격 _롯데마그넷(오산점)_통영점공조및위생" xfId="19081"/>
    <cellStyle name="_적격 _롯데마그넷(오산점)_통영점공조및위생 2" xfId="19082"/>
    <cellStyle name="_적격 _롯데마그넷(오산점)_통영점공조및위생_내역서(건설사)" xfId="19083"/>
    <cellStyle name="_적격 _롯데마그넷(오산점)_통영점공조및위생_내역서(건설사) 2" xfId="19084"/>
    <cellStyle name="_적격 _롯데마그넷(오산점)_통영점공조및위생_내역서(작업)" xfId="19085"/>
    <cellStyle name="_적격 _롯데마그넷(오산점)_통영점공조및위생_내역서(작업) 2" xfId="19086"/>
    <cellStyle name="_적격 _마그넷오산점내역(020320)" xfId="19087"/>
    <cellStyle name="_적격 _마그넷오산점내역(020320) 2" xfId="19088"/>
    <cellStyle name="_적격 _마그넷오산점내역(020320)_내역서(건설사)" xfId="19089"/>
    <cellStyle name="_적격 _마그넷오산점내역(020320)_내역서(건설사) 2" xfId="19090"/>
    <cellStyle name="_적격 _마그넷오산점내역(020320)_내역서(작업)" xfId="19091"/>
    <cellStyle name="_적격 _마그넷오산점내역(020320)_내역서(작업) 2" xfId="19092"/>
    <cellStyle name="_적격 _마그넷오산점내역(020320)_통영점공조및위생" xfId="19093"/>
    <cellStyle name="_적격 _마그넷오산점내역(020320)_통영점공조및위생 2" xfId="19094"/>
    <cellStyle name="_적격 _마그넷오산점내역(020320)_통영점공조및위생_내역서(건설사)" xfId="19095"/>
    <cellStyle name="_적격 _마그넷오산점내역(020320)_통영점공조및위생_내역서(건설사) 2" xfId="19096"/>
    <cellStyle name="_적격 _마그넷오산점내역(020320)_통영점공조및위생_내역서(작업)" xfId="19097"/>
    <cellStyle name="_적격 _마그넷오산점내역(020320)_통영점공조및위생_내역서(작업) 2" xfId="19098"/>
    <cellStyle name="_적격 _부대결과" xfId="19099"/>
    <cellStyle name="_적격 _부대결과 2" xfId="19100"/>
    <cellStyle name="_적격 _부대결과_Book1" xfId="19101"/>
    <cellStyle name="_적격 _부대결과_Book1 2" xfId="19102"/>
    <cellStyle name="_적격 _부대결과_Book1_내역서(최초)" xfId="19103"/>
    <cellStyle name="_적격 _부대결과_Book1_내역서(최초) 2" xfId="19104"/>
    <cellStyle name="_적격 _부대결과_Book1_설계내역서" xfId="19105"/>
    <cellStyle name="_적격 _부대결과_Book1_설계내역서 2" xfId="19106"/>
    <cellStyle name="_적격 _부대결과_Book1_설계내역서(2차)" xfId="19107"/>
    <cellStyle name="_적격 _부대결과_Book1_설계내역서(2차) 2" xfId="19108"/>
    <cellStyle name="_적격 _부대결과_P-(현리-신팔)" xfId="19109"/>
    <cellStyle name="_적격 _부대결과_P-(현리-신팔) 2" xfId="19110"/>
    <cellStyle name="_적격 _부대결과_P-(현리-신팔)_내역서(최초)" xfId="19111"/>
    <cellStyle name="_적격 _부대결과_P-(현리-신팔)_내역서(최초) 2" xfId="19112"/>
    <cellStyle name="_적격 _부대결과_P-(현리-신팔)_설계내역서" xfId="19113"/>
    <cellStyle name="_적격 _부대결과_P-(현리-신팔)_설계내역서 2" xfId="19114"/>
    <cellStyle name="_적격 _부대결과_P-(현리-신팔)_설계내역서(2차)" xfId="19115"/>
    <cellStyle name="_적격 _부대결과_P-(현리-신팔)_설계내역서(2차) 2" xfId="19116"/>
    <cellStyle name="_적격 _부대결과_내역서(최초)" xfId="19117"/>
    <cellStyle name="_적격 _부대결과_내역서(최초) 2" xfId="19118"/>
    <cellStyle name="_적격 _부대결과_설계내역서" xfId="19119"/>
    <cellStyle name="_적격 _부대결과_설계내역서 2" xfId="19120"/>
    <cellStyle name="_적격 _부대결과_설계내역서(2차)" xfId="19121"/>
    <cellStyle name="_적격 _부대결과_설계내역서(2차) 2" xfId="19122"/>
    <cellStyle name="_적격 _부대결과_현리-신팔도로설계" xfId="19123"/>
    <cellStyle name="_적격 _부대결과_현리-신팔도로설계 2" xfId="19124"/>
    <cellStyle name="_적격 _부대결과_현리-신팔도로설계_내역서(최초)" xfId="19125"/>
    <cellStyle name="_적격 _부대결과_현리-신팔도로설계_내역서(최초) 2" xfId="19126"/>
    <cellStyle name="_적격 _부대결과_현리-신팔도로설계_설계내역서" xfId="19127"/>
    <cellStyle name="_적격 _부대결과_현리-신팔도로설계_설계내역서 2" xfId="19128"/>
    <cellStyle name="_적격 _부대결과_현리-신팔도로설계_설계내역서(2차)" xfId="19129"/>
    <cellStyle name="_적격 _부대결과_현리-신팔도로설계_설계내역서(2차) 2" xfId="19130"/>
    <cellStyle name="_적격 _부대입찰특별조건및내역송부(최저가)" xfId="19131"/>
    <cellStyle name="_적격 _부대입찰특별조건및내역송부(최저가) 2" xfId="19132"/>
    <cellStyle name="_적격 _부대입찰특별조건및내역송부(최저가)_Book1" xfId="19133"/>
    <cellStyle name="_적격 _부대입찰특별조건및내역송부(최저가)_Book1 2" xfId="19134"/>
    <cellStyle name="_적격 _부대입찰특별조건및내역송부(최저가)_Book1_내역서(최초)" xfId="19135"/>
    <cellStyle name="_적격 _부대입찰특별조건및내역송부(최저가)_Book1_내역서(최초) 2" xfId="19136"/>
    <cellStyle name="_적격 _부대입찰특별조건및내역송부(최저가)_Book1_설계내역서" xfId="19137"/>
    <cellStyle name="_적격 _부대입찰특별조건및내역송부(최저가)_Book1_설계내역서 2" xfId="19138"/>
    <cellStyle name="_적격 _부대입찰특별조건및내역송부(최저가)_Book1_설계내역서(2차)" xfId="19139"/>
    <cellStyle name="_적격 _부대입찰특별조건및내역송부(최저가)_Book1_설계내역서(2차) 2" xfId="19140"/>
    <cellStyle name="_적격 _부대입찰특별조건및내역송부(최저가)_P-(현리-신팔)" xfId="19141"/>
    <cellStyle name="_적격 _부대입찰특별조건및내역송부(최저가)_P-(현리-신팔) 2" xfId="19142"/>
    <cellStyle name="_적격 _부대입찰특별조건및내역송부(최저가)_P-(현리-신팔)_내역서(최초)" xfId="19143"/>
    <cellStyle name="_적격 _부대입찰특별조건및내역송부(최저가)_P-(현리-신팔)_내역서(최초) 2" xfId="19144"/>
    <cellStyle name="_적격 _부대입찰특별조건및내역송부(최저가)_P-(현리-신팔)_설계내역서" xfId="19145"/>
    <cellStyle name="_적격 _부대입찰특별조건및내역송부(최저가)_P-(현리-신팔)_설계내역서 2" xfId="19146"/>
    <cellStyle name="_적격 _부대입찰특별조건및내역송부(최저가)_P-(현리-신팔)_설계내역서(2차)" xfId="19147"/>
    <cellStyle name="_적격 _부대입찰특별조건및내역송부(최저가)_P-(현리-신팔)_설계내역서(2차) 2" xfId="19148"/>
    <cellStyle name="_적격 _부대입찰특별조건및내역송부(최저가)_내역서(최초)" xfId="19149"/>
    <cellStyle name="_적격 _부대입찰특별조건및내역송부(최저가)_내역서(최초) 2" xfId="19150"/>
    <cellStyle name="_적격 _부대입찰특별조건및내역송부(최저가)_부대결과" xfId="19151"/>
    <cellStyle name="_적격 _부대입찰특별조건및내역송부(최저가)_부대결과 2" xfId="19152"/>
    <cellStyle name="_적격 _부대입찰특별조건및내역송부(최저가)_부대결과_Book1" xfId="19153"/>
    <cellStyle name="_적격 _부대입찰특별조건및내역송부(최저가)_부대결과_Book1 2" xfId="19154"/>
    <cellStyle name="_적격 _부대입찰특별조건및내역송부(최저가)_부대결과_Book1_내역서(최초)" xfId="19155"/>
    <cellStyle name="_적격 _부대입찰특별조건및내역송부(최저가)_부대결과_Book1_내역서(최초) 2" xfId="19156"/>
    <cellStyle name="_적격 _부대입찰특별조건및내역송부(최저가)_부대결과_Book1_설계내역서" xfId="19157"/>
    <cellStyle name="_적격 _부대입찰특별조건및내역송부(최저가)_부대결과_Book1_설계내역서 2" xfId="19158"/>
    <cellStyle name="_적격 _부대입찰특별조건및내역송부(최저가)_부대결과_Book1_설계내역서(2차)" xfId="19159"/>
    <cellStyle name="_적격 _부대입찰특별조건및내역송부(최저가)_부대결과_Book1_설계내역서(2차) 2" xfId="19160"/>
    <cellStyle name="_적격 _부대입찰특별조건및내역송부(최저가)_부대결과_P-(현리-신팔)" xfId="19161"/>
    <cellStyle name="_적격 _부대입찰특별조건및내역송부(최저가)_부대결과_P-(현리-신팔) 2" xfId="19162"/>
    <cellStyle name="_적격 _부대입찰특별조건및내역송부(최저가)_부대결과_P-(현리-신팔)_내역서(최초)" xfId="19163"/>
    <cellStyle name="_적격 _부대입찰특별조건및내역송부(최저가)_부대결과_P-(현리-신팔)_내역서(최초) 2" xfId="19164"/>
    <cellStyle name="_적격 _부대입찰특별조건및내역송부(최저가)_부대결과_P-(현리-신팔)_설계내역서" xfId="19165"/>
    <cellStyle name="_적격 _부대입찰특별조건및내역송부(최저가)_부대결과_P-(현리-신팔)_설계내역서 2" xfId="19166"/>
    <cellStyle name="_적격 _부대입찰특별조건및내역송부(최저가)_부대결과_P-(현리-신팔)_설계내역서(2차)" xfId="19167"/>
    <cellStyle name="_적격 _부대입찰특별조건및내역송부(최저가)_부대결과_P-(현리-신팔)_설계내역서(2차) 2" xfId="19168"/>
    <cellStyle name="_적격 _부대입찰특별조건및내역송부(최저가)_부대결과_내역서(최초)" xfId="19169"/>
    <cellStyle name="_적격 _부대입찰특별조건및내역송부(최저가)_부대결과_내역서(최초) 2" xfId="19170"/>
    <cellStyle name="_적격 _부대입찰특별조건및내역송부(최저가)_부대결과_설계내역서" xfId="19171"/>
    <cellStyle name="_적격 _부대입찰특별조건및내역송부(최저가)_부대결과_설계내역서 2" xfId="19172"/>
    <cellStyle name="_적격 _부대입찰특별조건및내역송부(최저가)_부대결과_설계내역서(2차)" xfId="19173"/>
    <cellStyle name="_적격 _부대입찰특별조건및내역송부(최저가)_부대결과_설계내역서(2차) 2" xfId="19174"/>
    <cellStyle name="_적격 _부대입찰특별조건및내역송부(최저가)_부대결과_현리-신팔도로설계" xfId="19175"/>
    <cellStyle name="_적격 _부대입찰특별조건및내역송부(최저가)_부대결과_현리-신팔도로설계 2" xfId="19176"/>
    <cellStyle name="_적격 _부대입찰특별조건및내역송부(최저가)_부대결과_현리-신팔도로설계_내역서(최초)" xfId="19177"/>
    <cellStyle name="_적격 _부대입찰특별조건및내역송부(최저가)_부대결과_현리-신팔도로설계_내역서(최초) 2" xfId="19178"/>
    <cellStyle name="_적격 _부대입찰특별조건및내역송부(최저가)_부대결과_현리-신팔도로설계_설계내역서" xfId="19179"/>
    <cellStyle name="_적격 _부대입찰특별조건및내역송부(최저가)_부대결과_현리-신팔도로설계_설계내역서 2" xfId="19180"/>
    <cellStyle name="_적격 _부대입찰특별조건및내역송부(최저가)_부대결과_현리-신팔도로설계_설계내역서(2차)" xfId="19181"/>
    <cellStyle name="_적격 _부대입찰특별조건및내역송부(최저가)_부대결과_현리-신팔도로설계_설계내역서(2차) 2" xfId="19182"/>
    <cellStyle name="_적격 _부대입찰특별조건및내역송부(최저가)_설계내역서" xfId="19183"/>
    <cellStyle name="_적격 _부대입찰특별조건및내역송부(최저가)_설계내역서 2" xfId="19184"/>
    <cellStyle name="_적격 _부대입찰특별조건및내역송부(최저가)_설계내역서(2차)" xfId="19185"/>
    <cellStyle name="_적격 _부대입찰특별조건및내역송부(최저가)_설계내역서(2차) 2" xfId="19186"/>
    <cellStyle name="_적격 _부대입찰특별조건및내역송부(최저가)_현리-신팔도로설계" xfId="19187"/>
    <cellStyle name="_적격 _부대입찰특별조건및내역송부(최저가)_현리-신팔도로설계 2" xfId="19188"/>
    <cellStyle name="_적격 _부대입찰특별조건및내역송부(최저가)_현리-신팔도로설계_내역서(최초)" xfId="19189"/>
    <cellStyle name="_적격 _부대입찰특별조건및내역송부(최저가)_현리-신팔도로설계_내역서(최초) 2" xfId="19190"/>
    <cellStyle name="_적격 _부대입찰특별조건및내역송부(최저가)_현리-신팔도로설계_설계내역서" xfId="19191"/>
    <cellStyle name="_적격 _부대입찰특별조건및내역송부(최저가)_현리-신팔도로설계_설계내역서 2" xfId="19192"/>
    <cellStyle name="_적격 _부대입찰특별조건및내역송부(최저가)_현리-신팔도로설계_설계내역서(2차)" xfId="19193"/>
    <cellStyle name="_적격 _부대입찰특별조건및내역송부(최저가)_현리-신팔도로설계_설계내역서(2차) 2" xfId="19194"/>
    <cellStyle name="_적격 _사병기숙사(Announcers booth)" xfId="19195"/>
    <cellStyle name="_적격 _사병기숙사(Announcers booth) 2" xfId="19196"/>
    <cellStyle name="_적격 _사병기숙사(Announcers booth)_53호견적최종" xfId="19197"/>
    <cellStyle name="_적격 _사병기숙사(Announcers booth)_53호견적최종 2" xfId="19198"/>
    <cellStyle name="_적격 _사병기숙사(Announcers booth)_R-0053" xfId="19199"/>
    <cellStyle name="_적격 _사병기숙사(Announcers booth)_R-0053 2" xfId="19200"/>
    <cellStyle name="_적격 _사병기숙사(Announcers booth)_R-0053ELEC대" xfId="19201"/>
    <cellStyle name="_적격 _사병기숙사(Announcers booth)_R-0053ELEC대 2" xfId="19202"/>
    <cellStyle name="_적격 _사병기숙사(Announcers booth)_R-0053SITE" xfId="19203"/>
    <cellStyle name="_적격 _사병기숙사(Announcers booth)_R-0053SITE 2" xfId="19204"/>
    <cellStyle name="_적격 _사본 - ☆태평동  도급내역" xfId="19205"/>
    <cellStyle name="_적격 _사본 - ☆태평동  도급내역 2" xfId="19206"/>
    <cellStyle name="_적격 _서초풍림아이원플러스(0723)(2)" xfId="19207"/>
    <cellStyle name="_적격 _서초풍림아이원플러스(0723)(2) 2" xfId="19208"/>
    <cellStyle name="_적격 _설계내역서" xfId="19209"/>
    <cellStyle name="_적격 _설계내역서 2" xfId="19210"/>
    <cellStyle name="_적격 _설계내역서(2차)" xfId="19211"/>
    <cellStyle name="_적격 _설계내역서(2차) 2" xfId="19212"/>
    <cellStyle name="_적격 _성남태평동설비공사" xfId="19213"/>
    <cellStyle name="_적격 _성남태평동설비공사 2" xfId="19214"/>
    <cellStyle name="_적격 _수원율전 실행내역" xfId="19215"/>
    <cellStyle name="_적격 _수원율전 실행내역 2" xfId="19216"/>
    <cellStyle name="_적격 _수원율전 실행내역 검토안" xfId="19217"/>
    <cellStyle name="_적격 _수원율전 실행내역 검토안 2" xfId="19218"/>
    <cellStyle name="_적격 _수원율전 실행내역 검토안_사본 - ☆태평동  도급내역" xfId="19219"/>
    <cellStyle name="_적격 _수원율전 실행내역 검토안_사본 - ☆태평동  도급내역 2" xfId="19220"/>
    <cellStyle name="_적격 _수원율전 실행내역 검토안_성남태평동설비공사" xfId="19221"/>
    <cellStyle name="_적격 _수원율전 실행내역 검토안_성남태평동설비공사 2" xfId="19222"/>
    <cellStyle name="_적격 _수원율전 실행내역 검토안_수원율전 실행내역" xfId="19223"/>
    <cellStyle name="_적격 _수원율전 실행내역 검토안_수원율전 실행내역 2" xfId="19224"/>
    <cellStyle name="_적격 _수원율전 실행내역 검토안_수원율전 실행내역 검토안" xfId="19225"/>
    <cellStyle name="_적격 _수원율전 실행내역 검토안_수원율전 실행내역 검토안 2" xfId="19226"/>
    <cellStyle name="_적격 _수원율전 실행내역 검토안_수원율전 실행내역 검토안_사본 - ☆태평동  도급내역" xfId="19227"/>
    <cellStyle name="_적격 _수원율전 실행내역 검토안_수원율전 실행내역 검토안_사본 - ☆태평동  도급내역 2" xfId="19228"/>
    <cellStyle name="_적격 _수원율전 실행내역 검토안_수원율전 실행내역 검토안_성남태평동설비공사" xfId="19229"/>
    <cellStyle name="_적격 _수원율전 실행내역 검토안_수원율전 실행내역 검토안_성남태평동설비공사 2" xfId="19230"/>
    <cellStyle name="_적격 _수원율전 실행내역 검토안_수원율전 실행내역 검토안_수정구 태평동 주상복합 실행내역 검토안" xfId="19231"/>
    <cellStyle name="_적격 _수원율전 실행내역 검토안_수원율전 실행내역 검토안_수정구 태평동 주상복합 실행내역 검토안 2" xfId="19232"/>
    <cellStyle name="_적격 _수원율전 실행내역 검토안_수원율전 실행내역 검토안_태평동 실행내역서" xfId="19233"/>
    <cellStyle name="_적격 _수원율전 실행내역 검토안_수원율전 실행내역 검토안_태평동 실행내역서 2" xfId="19234"/>
    <cellStyle name="_적격 _수원율전 실행내역 검토안_수원율전 실행내역 검토안_태평동도급내역(Rev.2)-12.26" xfId="19235"/>
    <cellStyle name="_적격 _수원율전 실행내역 검토안_수원율전 실행내역 검토안_태평동도급내역(Rev.2)-12.26 2" xfId="19236"/>
    <cellStyle name="_적격 _수원율전 실행내역 검토안_수정구 태평동 주상복합 실행내역 검토안" xfId="19237"/>
    <cellStyle name="_적격 _수원율전 실행내역 검토안_수정구 태평동 주상복합 실행내역 검토안 2" xfId="19238"/>
    <cellStyle name="_적격 _수원율전 실행내역 검토안_태평동 실행내역서" xfId="19239"/>
    <cellStyle name="_적격 _수원율전 실행내역 검토안_태평동 실행내역서 2" xfId="19240"/>
    <cellStyle name="_적격 _수원율전 실행내역 검토안_태평동도급내역(Rev.2)-12.26" xfId="19241"/>
    <cellStyle name="_적격 _수원율전 실행내역 검토안_태평동도급내역(Rev.2)-12.26 2" xfId="19242"/>
    <cellStyle name="_적격 _수원율전조합" xfId="19243"/>
    <cellStyle name="_적격 _수원율전조합 2" xfId="19244"/>
    <cellStyle name="_적격 _수원율전조합_사본 - ☆태평동  도급내역" xfId="19245"/>
    <cellStyle name="_적격 _수원율전조합_사본 - ☆태평동  도급내역 2" xfId="19246"/>
    <cellStyle name="_적격 _수원율전조합_성남태평동설비공사" xfId="19247"/>
    <cellStyle name="_적격 _수원율전조합_성남태평동설비공사 2" xfId="19248"/>
    <cellStyle name="_적격 _수원율전조합_수원율전 실행내역" xfId="19249"/>
    <cellStyle name="_적격 _수원율전조합_수원율전 실행내역 2" xfId="19250"/>
    <cellStyle name="_적격 _수원율전조합_수원율전 실행내역 검토안" xfId="19251"/>
    <cellStyle name="_적격 _수원율전조합_수원율전 실행내역 검토안 2" xfId="19252"/>
    <cellStyle name="_적격 _수원율전조합_수원율전 실행내역 검토안_사본 - ☆태평동  도급내역" xfId="19253"/>
    <cellStyle name="_적격 _수원율전조합_수원율전 실행내역 검토안_사본 - ☆태평동  도급내역 2" xfId="19254"/>
    <cellStyle name="_적격 _수원율전조합_수원율전 실행내역 검토안_성남태평동설비공사" xfId="19255"/>
    <cellStyle name="_적격 _수원율전조합_수원율전 실행내역 검토안_성남태평동설비공사 2" xfId="19256"/>
    <cellStyle name="_적격 _수원율전조합_수원율전 실행내역 검토안_수정구 태평동 주상복합 실행내역 검토안" xfId="19257"/>
    <cellStyle name="_적격 _수원율전조합_수원율전 실행내역 검토안_수정구 태평동 주상복합 실행내역 검토안 2" xfId="19258"/>
    <cellStyle name="_적격 _수원율전조합_수원율전 실행내역 검토안_태평동 실행내역서" xfId="19259"/>
    <cellStyle name="_적격 _수원율전조합_수원율전 실행내역 검토안_태평동 실행내역서 2" xfId="19260"/>
    <cellStyle name="_적격 _수원율전조합_수원율전 실행내역 검토안_태평동도급내역(Rev.2)-12.26" xfId="19261"/>
    <cellStyle name="_적격 _수원율전조합_수원율전 실행내역 검토안_태평동도급내역(Rev.2)-12.26 2" xfId="19262"/>
    <cellStyle name="_적격 _수원율전조합_수정구 태평동 주상복합 실행내역 검토안" xfId="19263"/>
    <cellStyle name="_적격 _수원율전조합_수정구 태평동 주상복합 실행내역 검토안 2" xfId="19264"/>
    <cellStyle name="_적격 _수원율전조합_태평동 실행내역서" xfId="19265"/>
    <cellStyle name="_적격 _수원율전조합_태평동 실행내역서 2" xfId="19266"/>
    <cellStyle name="_적격 _수원율전조합_태평동도급내역(Rev.2)-12.26" xfId="19267"/>
    <cellStyle name="_적격 _수원율전조합_태평동도급내역(Rev.2)-12.26 2" xfId="19268"/>
    <cellStyle name="_적격 _수정구 태평동 주상복합 실행내역 검토안" xfId="19269"/>
    <cellStyle name="_적격 _수정구 태평동 주상복합 실행내역 검토안 2" xfId="19270"/>
    <cellStyle name="_적격 _월계동집행(R0)" xfId="19271"/>
    <cellStyle name="_적격 _월계동집행(R0) 2" xfId="19272"/>
    <cellStyle name="_적격 _월계동집행(R0)_Book2" xfId="19273"/>
    <cellStyle name="_적격 _월계동집행(R0)_Book2 2" xfId="19274"/>
    <cellStyle name="_적격 _월계동집행(R0)_Book4" xfId="19275"/>
    <cellStyle name="_적격 _월계동집행(R0)_Book4 2" xfId="19276"/>
    <cellStyle name="_적격 _월곳집행(본사)" xfId="19277"/>
    <cellStyle name="_적격 _월곳집행(본사) 2" xfId="19278"/>
    <cellStyle name="_적격 _월곳집행(본사)_공내역서(소방)" xfId="19279"/>
    <cellStyle name="_적격 _월곳집행(본사)_공내역서(소방) 2" xfId="19280"/>
    <cellStyle name="_적격 _월곳집행(본사)_공내역서(소방)_내역서(건설사)" xfId="19281"/>
    <cellStyle name="_적격 _월곳집행(본사)_공내역서(소방)_내역서(건설사) 2" xfId="19282"/>
    <cellStyle name="_적격 _월곳집행(본사)_공내역서(소방)_내역서(작업)" xfId="19283"/>
    <cellStyle name="_적격 _월곳집행(본사)_공내역서(소방)_내역서(작업) 2" xfId="19284"/>
    <cellStyle name="_적격 _월곳집행(본사)_공내역서(소방)_롯데마그넷(오산점)" xfId="19285"/>
    <cellStyle name="_적격 _월곳집행(본사)_공내역서(소방)_롯데마그넷(오산점) 2" xfId="19286"/>
    <cellStyle name="_적격 _월곳집행(본사)_공내역서(소방)_롯데마그넷(오산점)_내역서(건설사)" xfId="19287"/>
    <cellStyle name="_적격 _월곳집행(본사)_공내역서(소방)_롯데마그넷(오산점)_내역서(건설사) 2" xfId="19288"/>
    <cellStyle name="_적격 _월곳집행(본사)_공내역서(소방)_롯데마그넷(오산점)_내역서(작업)" xfId="19289"/>
    <cellStyle name="_적격 _월곳집행(본사)_공내역서(소방)_롯데마그넷(오산점)_내역서(작업) 2" xfId="19290"/>
    <cellStyle name="_적격 _월곳집행(본사)_공내역서(소방)_롯데마그넷(오산점)_통영점공조및위생" xfId="19291"/>
    <cellStyle name="_적격 _월곳집행(본사)_공내역서(소방)_롯데마그넷(오산점)_통영점공조및위생 2" xfId="19292"/>
    <cellStyle name="_적격 _월곳집행(본사)_공내역서(소방)_롯데마그넷(오산점)_통영점공조및위생_내역서(건설사)" xfId="19293"/>
    <cellStyle name="_적격 _월곳집행(본사)_공내역서(소방)_롯데마그넷(오산점)_통영점공조및위생_내역서(건설사) 2" xfId="19294"/>
    <cellStyle name="_적격 _월곳집행(본사)_공내역서(소방)_롯데마그넷(오산점)_통영점공조및위생_내역서(작업)" xfId="19295"/>
    <cellStyle name="_적격 _월곳집행(본사)_공내역서(소방)_롯데마그넷(오산점)_통영점공조및위생_내역서(작업) 2" xfId="19296"/>
    <cellStyle name="_적격 _월곳집행(본사)_공내역서(소방)_마그넷오산점내역(020320)" xfId="19297"/>
    <cellStyle name="_적격 _월곳집행(본사)_공내역서(소방)_마그넷오산점내역(020320) 2" xfId="19298"/>
    <cellStyle name="_적격 _월곳집행(본사)_공내역서(소방)_마그넷오산점내역(020320)_내역서(건설사)" xfId="19299"/>
    <cellStyle name="_적격 _월곳집행(본사)_공내역서(소방)_마그넷오산점내역(020320)_내역서(건설사) 2" xfId="19300"/>
    <cellStyle name="_적격 _월곳집행(본사)_공내역서(소방)_마그넷오산점내역(020320)_내역서(작업)" xfId="19301"/>
    <cellStyle name="_적격 _월곳집행(본사)_공내역서(소방)_마그넷오산점내역(020320)_내역서(작업) 2" xfId="19302"/>
    <cellStyle name="_적격 _월곳집행(본사)_공내역서(소방)_마그넷오산점내역(020320)_통영점공조및위생" xfId="19303"/>
    <cellStyle name="_적격 _월곳집행(본사)_공내역서(소방)_마그넷오산점내역(020320)_통영점공조및위생 2" xfId="19304"/>
    <cellStyle name="_적격 _월곳집행(본사)_공내역서(소방)_마그넷오산점내역(020320)_통영점공조및위생_내역서(건설사)" xfId="19305"/>
    <cellStyle name="_적격 _월곳집행(본사)_공내역서(소방)_마그넷오산점내역(020320)_통영점공조및위생_내역서(건설사) 2" xfId="19306"/>
    <cellStyle name="_적격 _월곳집행(본사)_공내역서(소방)_마그넷오산점내역(020320)_통영점공조및위생_내역서(작업)" xfId="19307"/>
    <cellStyle name="_적격 _월곳집행(본사)_공내역서(소방)_마그넷오산점내역(020320)_통영점공조및위생_내역서(작업) 2" xfId="19308"/>
    <cellStyle name="_적격 _월곳집행(본사)_공내역서(소방)_정-의왕가스경보설비공사(기안)" xfId="19309"/>
    <cellStyle name="_적격 _월곳집행(본사)_공내역서(소방)_정-의왕가스경보설비공사(기안) 2" xfId="19310"/>
    <cellStyle name="_적격 _월곳집행(본사)_공내역서(소방)_정-의왕가스경보설비공사(기안)_내역서(건설사)" xfId="19311"/>
    <cellStyle name="_적격 _월곳집행(본사)_공내역서(소방)_정-의왕가스경보설비공사(기안)_내역서(건설사) 2" xfId="19312"/>
    <cellStyle name="_적격 _월곳집행(본사)_공내역서(소방)_정-의왕가스경보설비공사(기안)_내역서(작업)" xfId="19313"/>
    <cellStyle name="_적격 _월곳집행(본사)_공내역서(소방)_정-의왕가스경보설비공사(기안)_내역서(작업) 2" xfId="19314"/>
    <cellStyle name="_적격 _월곳집행(본사)_공내역서(소방)_정-의왕가스경보설비공사(기안)_통영점공조및위생" xfId="19315"/>
    <cellStyle name="_적격 _월곳집행(본사)_공내역서(소방)_정-의왕가스경보설비공사(기안)_통영점공조및위생 2" xfId="19316"/>
    <cellStyle name="_적격 _월곳집행(본사)_공내역서(소방)_정-의왕가스경보설비공사(기안)_통영점공조및위생_내역서(건설사)" xfId="19317"/>
    <cellStyle name="_적격 _월곳집행(본사)_공내역서(소방)_정-의왕가스경보설비공사(기안)_통영점공조및위생_내역서(건설사) 2" xfId="19318"/>
    <cellStyle name="_적격 _월곳집행(본사)_공내역서(소방)_정-의왕가스경보설비공사(기안)_통영점공조및위생_내역서(작업)" xfId="19319"/>
    <cellStyle name="_적격 _월곳집행(본사)_공내역서(소방)_정-의왕가스경보설비공사(기안)_통영점공조및위생_내역서(작업) 2" xfId="19320"/>
    <cellStyle name="_적격 _월곳집행(본사)_공내역서(소방)_통영점공조및위생" xfId="19321"/>
    <cellStyle name="_적격 _월곳집행(본사)_공내역서(소방)_통영점공조및위생 2" xfId="19322"/>
    <cellStyle name="_적격 _월곳집행(본사)_공내역서(소방)_통영점공조및위생_내역서(건설사)" xfId="19323"/>
    <cellStyle name="_적격 _월곳집행(본사)_공내역서(소방)_통영점공조및위생_내역서(건설사) 2" xfId="19324"/>
    <cellStyle name="_적격 _월곳집행(본사)_공내역서(소방)_통영점공조및위생_내역서(작업)" xfId="19325"/>
    <cellStyle name="_적격 _월곳집행(본사)_공내역서(소방)_통영점공조및위생_내역서(작업) 2" xfId="19326"/>
    <cellStyle name="_적격 _월곳집행(본사)_공내역서(소방final)" xfId="19327"/>
    <cellStyle name="_적격 _월곳집행(본사)_공내역서(소방final) 2" xfId="19328"/>
    <cellStyle name="_적격 _월곳집행(본사)_공내역서(소방final)_내역서(건설사)" xfId="19329"/>
    <cellStyle name="_적격 _월곳집행(본사)_공내역서(소방final)_내역서(건설사) 2" xfId="19330"/>
    <cellStyle name="_적격 _월곳집행(본사)_공내역서(소방final)_내역서(작업)" xfId="19331"/>
    <cellStyle name="_적격 _월곳집행(본사)_공내역서(소방final)_내역서(작업) 2" xfId="19332"/>
    <cellStyle name="_적격 _월곳집행(본사)_공내역서(소방final)_롯데마그넷(오산점)" xfId="19333"/>
    <cellStyle name="_적격 _월곳집행(본사)_공내역서(소방final)_롯데마그넷(오산점) 2" xfId="19334"/>
    <cellStyle name="_적격 _월곳집행(본사)_공내역서(소방final)_롯데마그넷(오산점)_내역서(건설사)" xfId="19335"/>
    <cellStyle name="_적격 _월곳집행(본사)_공내역서(소방final)_롯데마그넷(오산점)_내역서(건설사) 2" xfId="19336"/>
    <cellStyle name="_적격 _월곳집행(본사)_공내역서(소방final)_롯데마그넷(오산점)_내역서(작업)" xfId="19337"/>
    <cellStyle name="_적격 _월곳집행(본사)_공내역서(소방final)_롯데마그넷(오산점)_내역서(작업) 2" xfId="19338"/>
    <cellStyle name="_적격 _월곳집행(본사)_공내역서(소방final)_롯데마그넷(오산점)_통영점공조및위생" xfId="19339"/>
    <cellStyle name="_적격 _월곳집행(본사)_공내역서(소방final)_롯데마그넷(오산점)_통영점공조및위생 2" xfId="19340"/>
    <cellStyle name="_적격 _월곳집행(본사)_공내역서(소방final)_롯데마그넷(오산점)_통영점공조및위생_내역서(건설사)" xfId="19341"/>
    <cellStyle name="_적격 _월곳집행(본사)_공내역서(소방final)_롯데마그넷(오산점)_통영점공조및위생_내역서(건설사) 2" xfId="19342"/>
    <cellStyle name="_적격 _월곳집행(본사)_공내역서(소방final)_롯데마그넷(오산점)_통영점공조및위생_내역서(작업)" xfId="19343"/>
    <cellStyle name="_적격 _월곳집행(본사)_공내역서(소방final)_롯데마그넷(오산점)_통영점공조및위생_내역서(작업) 2" xfId="19344"/>
    <cellStyle name="_적격 _월곳집행(본사)_공내역서(소방final)_마그넷오산점내역(020320)" xfId="19345"/>
    <cellStyle name="_적격 _월곳집행(본사)_공내역서(소방final)_마그넷오산점내역(020320) 2" xfId="19346"/>
    <cellStyle name="_적격 _월곳집행(본사)_공내역서(소방final)_마그넷오산점내역(020320)_내역서(건설사)" xfId="19347"/>
    <cellStyle name="_적격 _월곳집행(본사)_공내역서(소방final)_마그넷오산점내역(020320)_내역서(건설사) 2" xfId="19348"/>
    <cellStyle name="_적격 _월곳집행(본사)_공내역서(소방final)_마그넷오산점내역(020320)_내역서(작업)" xfId="19349"/>
    <cellStyle name="_적격 _월곳집행(본사)_공내역서(소방final)_마그넷오산점내역(020320)_내역서(작업) 2" xfId="19350"/>
    <cellStyle name="_적격 _월곳집행(본사)_공내역서(소방final)_마그넷오산점내역(020320)_통영점공조및위생" xfId="19351"/>
    <cellStyle name="_적격 _월곳집행(본사)_공내역서(소방final)_마그넷오산점내역(020320)_통영점공조및위생 2" xfId="19352"/>
    <cellStyle name="_적격 _월곳집행(본사)_공내역서(소방final)_마그넷오산점내역(020320)_통영점공조및위생_내역서(건설사)" xfId="19353"/>
    <cellStyle name="_적격 _월곳집행(본사)_공내역서(소방final)_마그넷오산점내역(020320)_통영점공조및위생_내역서(건설사) 2" xfId="19354"/>
    <cellStyle name="_적격 _월곳집행(본사)_공내역서(소방final)_마그넷오산점내역(020320)_통영점공조및위생_내역서(작업)" xfId="19355"/>
    <cellStyle name="_적격 _월곳집행(본사)_공내역서(소방final)_마그넷오산점내역(020320)_통영점공조및위생_내역서(작업) 2" xfId="19356"/>
    <cellStyle name="_적격 _월곳집행(본사)_공내역서(소방final)_정-의왕가스경보설비공사(기안)" xfId="19357"/>
    <cellStyle name="_적격 _월곳집행(본사)_공내역서(소방final)_정-의왕가스경보설비공사(기안) 2" xfId="19358"/>
    <cellStyle name="_적격 _월곳집행(본사)_공내역서(소방final)_정-의왕가스경보설비공사(기안)_내역서(건설사)" xfId="19359"/>
    <cellStyle name="_적격 _월곳집행(본사)_공내역서(소방final)_정-의왕가스경보설비공사(기안)_내역서(건설사) 2" xfId="19360"/>
    <cellStyle name="_적격 _월곳집행(본사)_공내역서(소방final)_정-의왕가스경보설비공사(기안)_내역서(작업)" xfId="19361"/>
    <cellStyle name="_적격 _월곳집행(본사)_공내역서(소방final)_정-의왕가스경보설비공사(기안)_내역서(작업) 2" xfId="19362"/>
    <cellStyle name="_적격 _월곳집행(본사)_공내역서(소방final)_정-의왕가스경보설비공사(기안)_통영점공조및위생" xfId="19363"/>
    <cellStyle name="_적격 _월곳집행(본사)_공내역서(소방final)_정-의왕가스경보설비공사(기안)_통영점공조및위생 2" xfId="19364"/>
    <cellStyle name="_적격 _월곳집행(본사)_공내역서(소방final)_정-의왕가스경보설비공사(기안)_통영점공조및위생_내역서(건설사)" xfId="19365"/>
    <cellStyle name="_적격 _월곳집행(본사)_공내역서(소방final)_정-의왕가스경보설비공사(기안)_통영점공조및위생_내역서(건설사) 2" xfId="19366"/>
    <cellStyle name="_적격 _월곳집행(본사)_공내역서(소방final)_정-의왕가스경보설비공사(기안)_통영점공조및위생_내역서(작업)" xfId="19367"/>
    <cellStyle name="_적격 _월곳집행(본사)_공내역서(소방final)_정-의왕가스경보설비공사(기안)_통영점공조및위생_내역서(작업) 2" xfId="19368"/>
    <cellStyle name="_적격 _월곳집행(본사)_공내역서(소방final)_통영점공조및위생" xfId="19369"/>
    <cellStyle name="_적격 _월곳집행(본사)_공내역서(소방final)_통영점공조및위생 2" xfId="19370"/>
    <cellStyle name="_적격 _월곳집행(본사)_공내역서(소방final)_통영점공조및위생_내역서(건설사)" xfId="19371"/>
    <cellStyle name="_적격 _월곳집행(본사)_공내역서(소방final)_통영점공조및위생_내역서(건설사) 2" xfId="19372"/>
    <cellStyle name="_적격 _월곳집행(본사)_공내역서(소방final)_통영점공조및위생_내역서(작업)" xfId="19373"/>
    <cellStyle name="_적격 _월곳집행(본사)_공내역서(소방final)_통영점공조및위생_내역서(작업) 2" xfId="19374"/>
    <cellStyle name="_적격 _월곳집행(본사)_내역서(건설사)" xfId="19375"/>
    <cellStyle name="_적격 _월곳집행(본사)_내역서(건설사) 2" xfId="19376"/>
    <cellStyle name="_적격 _월곳집행(본사)_내역서(작업)" xfId="19377"/>
    <cellStyle name="_적격 _월곳집행(본사)_내역서(작업) 2" xfId="19378"/>
    <cellStyle name="_적격 _월곳집행(본사)_롯데마그넷(오산점)" xfId="19379"/>
    <cellStyle name="_적격 _월곳집행(본사)_롯데마그넷(오산점) 2" xfId="19380"/>
    <cellStyle name="_적격 _월곳집행(본사)_롯데마그넷(오산점)_내역서(건설사)" xfId="19381"/>
    <cellStyle name="_적격 _월곳집행(본사)_롯데마그넷(오산점)_내역서(건설사) 2" xfId="19382"/>
    <cellStyle name="_적격 _월곳집행(본사)_롯데마그넷(오산점)_내역서(작업)" xfId="19383"/>
    <cellStyle name="_적격 _월곳집행(본사)_롯데마그넷(오산점)_내역서(작업) 2" xfId="19384"/>
    <cellStyle name="_적격 _월곳집행(본사)_롯데마그넷(오산점)_통영점공조및위생" xfId="19385"/>
    <cellStyle name="_적격 _월곳집행(본사)_롯데마그넷(오산점)_통영점공조및위생 2" xfId="19386"/>
    <cellStyle name="_적격 _월곳집행(본사)_롯데마그넷(오산점)_통영점공조및위생_내역서(건설사)" xfId="19387"/>
    <cellStyle name="_적격 _월곳집행(본사)_롯데마그넷(오산점)_통영점공조및위생_내역서(건설사) 2" xfId="19388"/>
    <cellStyle name="_적격 _월곳집행(본사)_롯데마그넷(오산점)_통영점공조및위생_내역서(작업)" xfId="19389"/>
    <cellStyle name="_적격 _월곳집행(본사)_롯데마그넷(오산점)_통영점공조및위생_내역서(작업) 2" xfId="19390"/>
    <cellStyle name="_적격 _월곳집행(본사)_마그넷오산점내역(020320)" xfId="19391"/>
    <cellStyle name="_적격 _월곳집행(본사)_마그넷오산점내역(020320) 2" xfId="19392"/>
    <cellStyle name="_적격 _월곳집행(본사)_마그넷오산점내역(020320)_내역서(건설사)" xfId="19393"/>
    <cellStyle name="_적격 _월곳집행(본사)_마그넷오산점내역(020320)_내역서(건설사) 2" xfId="19394"/>
    <cellStyle name="_적격 _월곳집행(본사)_마그넷오산점내역(020320)_내역서(작업)" xfId="19395"/>
    <cellStyle name="_적격 _월곳집행(본사)_마그넷오산점내역(020320)_내역서(작업) 2" xfId="19396"/>
    <cellStyle name="_적격 _월곳집행(본사)_마그넷오산점내역(020320)_통영점공조및위생" xfId="19397"/>
    <cellStyle name="_적격 _월곳집행(본사)_마그넷오산점내역(020320)_통영점공조및위생 2" xfId="19398"/>
    <cellStyle name="_적격 _월곳집행(본사)_마그넷오산점내역(020320)_통영점공조및위생_내역서(건설사)" xfId="19399"/>
    <cellStyle name="_적격 _월곳집행(본사)_마그넷오산점내역(020320)_통영점공조및위생_내역서(건설사) 2" xfId="19400"/>
    <cellStyle name="_적격 _월곳집행(본사)_마그넷오산점내역(020320)_통영점공조및위생_내역서(작업)" xfId="19401"/>
    <cellStyle name="_적격 _월곳집행(본사)_마그넷오산점내역(020320)_통영점공조및위생_내역서(작업) 2" xfId="19402"/>
    <cellStyle name="_적격 _월곳집행(본사)_정-의왕가스경보설비공사(기안)" xfId="19403"/>
    <cellStyle name="_적격 _월곳집행(본사)_정-의왕가스경보설비공사(기안) 2" xfId="19404"/>
    <cellStyle name="_적격 _월곳집행(본사)_정-의왕가스경보설비공사(기안)_내역서(건설사)" xfId="19405"/>
    <cellStyle name="_적격 _월곳집행(본사)_정-의왕가스경보설비공사(기안)_내역서(건설사) 2" xfId="19406"/>
    <cellStyle name="_적격 _월곳집행(본사)_정-의왕가스경보설비공사(기안)_내역서(작업)" xfId="19407"/>
    <cellStyle name="_적격 _월곳집행(본사)_정-의왕가스경보설비공사(기안)_내역서(작업) 2" xfId="19408"/>
    <cellStyle name="_적격 _월곳집행(본사)_정-의왕가스경보설비공사(기안)_통영점공조및위생" xfId="19409"/>
    <cellStyle name="_적격 _월곳집행(본사)_정-의왕가스경보설비공사(기안)_통영점공조및위생 2" xfId="19410"/>
    <cellStyle name="_적격 _월곳집행(본사)_정-의왕가스경보설비공사(기안)_통영점공조및위생_내역서(건설사)" xfId="19411"/>
    <cellStyle name="_적격 _월곳집행(본사)_정-의왕가스경보설비공사(기안)_통영점공조및위생_내역서(건설사) 2" xfId="19412"/>
    <cellStyle name="_적격 _월곳집행(본사)_정-의왕가스경보설비공사(기안)_통영점공조및위생_내역서(작업)" xfId="19413"/>
    <cellStyle name="_적격 _월곳집행(본사)_정-의왕가스경보설비공사(기안)_통영점공조및위생_내역서(작업) 2" xfId="19414"/>
    <cellStyle name="_적격 _월곳집행(본사)_통영점공조및위생" xfId="19415"/>
    <cellStyle name="_적격 _월곳집행(본사)_통영점공조및위생 2" xfId="19416"/>
    <cellStyle name="_적격 _월곳집행(본사)_통영점공조및위생_내역서(건설사)" xfId="19417"/>
    <cellStyle name="_적격 _월곳집행(본사)_통영점공조및위생_내역서(건설사) 2" xfId="19418"/>
    <cellStyle name="_적격 _월곳집행(본사)_통영점공조및위생_내역서(작업)" xfId="19419"/>
    <cellStyle name="_적격 _월곳집행(본사)_통영점공조및위생_내역서(작업) 2" xfId="19420"/>
    <cellStyle name="_적격 _월곶3차집행(R0)" xfId="19421"/>
    <cellStyle name="_적격 _월곶3차집행(R0) 2" xfId="19422"/>
    <cellStyle name="_적격 _월곶3차집행(R0)_Book2" xfId="19423"/>
    <cellStyle name="_적격 _월곶3차집행(R0)_Book2 2" xfId="19424"/>
    <cellStyle name="_적격 _월곶3차집행(R0)_Book4" xfId="19425"/>
    <cellStyle name="_적격 _월곶3차집행(R0)_Book4 2" xfId="19426"/>
    <cellStyle name="_적격 _정-의왕가스경보설비공사(기안)" xfId="19427"/>
    <cellStyle name="_적격 _정-의왕가스경보설비공사(기안) 2" xfId="19428"/>
    <cellStyle name="_적격 _정-의왕가스경보설비공사(기안)_내역서(건설사)" xfId="19429"/>
    <cellStyle name="_적격 _정-의왕가스경보설비공사(기안)_내역서(건설사) 2" xfId="19430"/>
    <cellStyle name="_적격 _정-의왕가스경보설비공사(기안)_내역서(작업)" xfId="19431"/>
    <cellStyle name="_적격 _정-의왕가스경보설비공사(기안)_내역서(작업) 2" xfId="19432"/>
    <cellStyle name="_적격 _정-의왕가스경보설비공사(기안)_통영점공조및위생" xfId="19433"/>
    <cellStyle name="_적격 _정-의왕가스경보설비공사(기안)_통영점공조및위생 2" xfId="19434"/>
    <cellStyle name="_적격 _정-의왕가스경보설비공사(기안)_통영점공조및위생_내역서(건설사)" xfId="19435"/>
    <cellStyle name="_적격 _정-의왕가스경보설비공사(기안)_통영점공조및위생_내역서(건설사) 2" xfId="19436"/>
    <cellStyle name="_적격 _정-의왕가스경보설비공사(기안)_통영점공조및위생_내역서(작업)" xfId="19437"/>
    <cellStyle name="_적격 _정-의왕가스경보설비공사(기안)_통영점공조및위생_내역서(작업) 2" xfId="19438"/>
    <cellStyle name="_적격 _지붕공사" xfId="19439"/>
    <cellStyle name="_적격 _지붕공사 2" xfId="19440"/>
    <cellStyle name="_적격 _지붕공사_1.흙막이공사 - 견적대비조서(입찰)" xfId="19441"/>
    <cellStyle name="_적격 _지붕공사_1.흙막이공사 - 견적대비조서(입찰) 2" xfId="19442"/>
    <cellStyle name="_적격 _지붕공사_사본 - ☆태평동  도급내역" xfId="19443"/>
    <cellStyle name="_적격 _지붕공사_사본 - ☆태평동  도급내역 2" xfId="19444"/>
    <cellStyle name="_적격 _지붕공사_성남태평동설비공사" xfId="19445"/>
    <cellStyle name="_적격 _지붕공사_성남태평동설비공사 2" xfId="19446"/>
    <cellStyle name="_적격 _지붕공사_수원율전 실행내역" xfId="19447"/>
    <cellStyle name="_적격 _지붕공사_수원율전 실행내역 2" xfId="19448"/>
    <cellStyle name="_적격 _지붕공사_수원율전 실행내역 검토안" xfId="19449"/>
    <cellStyle name="_적격 _지붕공사_수원율전 실행내역 검토안 2" xfId="19450"/>
    <cellStyle name="_적격 _지붕공사_수원율전 실행내역 검토안_사본 - ☆태평동  도급내역" xfId="19451"/>
    <cellStyle name="_적격 _지붕공사_수원율전 실행내역 검토안_사본 - ☆태평동  도급내역 2" xfId="19452"/>
    <cellStyle name="_적격 _지붕공사_수원율전 실행내역 검토안_성남태평동설비공사" xfId="19453"/>
    <cellStyle name="_적격 _지붕공사_수원율전 실행내역 검토안_성남태평동설비공사 2" xfId="19454"/>
    <cellStyle name="_적격 _지붕공사_수원율전 실행내역 검토안_수원율전 실행내역" xfId="19455"/>
    <cellStyle name="_적격 _지붕공사_수원율전 실행내역 검토안_수원율전 실행내역 2" xfId="19456"/>
    <cellStyle name="_적격 _지붕공사_수원율전 실행내역 검토안_수원율전 실행내역 검토안" xfId="19457"/>
    <cellStyle name="_적격 _지붕공사_수원율전 실행내역 검토안_수원율전 실행내역 검토안 2" xfId="19458"/>
    <cellStyle name="_적격 _지붕공사_수원율전 실행내역 검토안_수원율전 실행내역 검토안_사본 - ☆태평동  도급내역" xfId="19459"/>
    <cellStyle name="_적격 _지붕공사_수원율전 실행내역 검토안_수원율전 실행내역 검토안_사본 - ☆태평동  도급내역 2" xfId="19460"/>
    <cellStyle name="_적격 _지붕공사_수원율전 실행내역 검토안_수원율전 실행내역 검토안_성남태평동설비공사" xfId="19461"/>
    <cellStyle name="_적격 _지붕공사_수원율전 실행내역 검토안_수원율전 실행내역 검토안_성남태평동설비공사 2" xfId="19462"/>
    <cellStyle name="_적격 _지붕공사_수원율전 실행내역 검토안_수원율전 실행내역 검토안_수정구 태평동 주상복합 실행내역 검토안" xfId="19463"/>
    <cellStyle name="_적격 _지붕공사_수원율전 실행내역 검토안_수원율전 실행내역 검토안_수정구 태평동 주상복합 실행내역 검토안 2" xfId="19464"/>
    <cellStyle name="_적격 _지붕공사_수원율전 실행내역 검토안_수원율전 실행내역 검토안_태평동 실행내역서" xfId="19465"/>
    <cellStyle name="_적격 _지붕공사_수원율전 실행내역 검토안_수원율전 실행내역 검토안_태평동 실행내역서 2" xfId="19466"/>
    <cellStyle name="_적격 _지붕공사_수원율전 실행내역 검토안_수원율전 실행내역 검토안_태평동도급내역(Rev.2)-12.26" xfId="19467"/>
    <cellStyle name="_적격 _지붕공사_수원율전 실행내역 검토안_수원율전 실행내역 검토안_태평동도급내역(Rev.2)-12.26 2" xfId="19468"/>
    <cellStyle name="_적격 _지붕공사_수원율전 실행내역 검토안_수정구 태평동 주상복합 실행내역 검토안" xfId="19469"/>
    <cellStyle name="_적격 _지붕공사_수원율전 실행내역 검토안_수정구 태평동 주상복합 실행내역 검토안 2" xfId="19470"/>
    <cellStyle name="_적격 _지붕공사_수원율전 실행내역 검토안_태평동 실행내역서" xfId="19471"/>
    <cellStyle name="_적격 _지붕공사_수원율전 실행내역 검토안_태평동 실행내역서 2" xfId="19472"/>
    <cellStyle name="_적격 _지붕공사_수원율전 실행내역 검토안_태평동도급내역(Rev.2)-12.26" xfId="19473"/>
    <cellStyle name="_적격 _지붕공사_수원율전 실행내역 검토안_태평동도급내역(Rev.2)-12.26 2" xfId="19474"/>
    <cellStyle name="_적격 _지붕공사_수원율전조합" xfId="19475"/>
    <cellStyle name="_적격 _지붕공사_수원율전조합 2" xfId="19476"/>
    <cellStyle name="_적격 _지붕공사_수원율전조합_사본 - ☆태평동  도급내역" xfId="19477"/>
    <cellStyle name="_적격 _지붕공사_수원율전조합_사본 - ☆태평동  도급내역 2" xfId="19478"/>
    <cellStyle name="_적격 _지붕공사_수원율전조합_성남태평동설비공사" xfId="19479"/>
    <cellStyle name="_적격 _지붕공사_수원율전조합_성남태평동설비공사 2" xfId="19480"/>
    <cellStyle name="_적격 _지붕공사_수원율전조합_수원율전 실행내역" xfId="19481"/>
    <cellStyle name="_적격 _지붕공사_수원율전조합_수원율전 실행내역 2" xfId="19482"/>
    <cellStyle name="_적격 _지붕공사_수원율전조합_수원율전 실행내역 검토안" xfId="19483"/>
    <cellStyle name="_적격 _지붕공사_수원율전조합_수원율전 실행내역 검토안 2" xfId="19484"/>
    <cellStyle name="_적격 _지붕공사_수원율전조합_수원율전 실행내역 검토안_사본 - ☆태평동  도급내역" xfId="19485"/>
    <cellStyle name="_적격 _지붕공사_수원율전조합_수원율전 실행내역 검토안_사본 - ☆태평동  도급내역 2" xfId="19486"/>
    <cellStyle name="_적격 _지붕공사_수원율전조합_수원율전 실행내역 검토안_성남태평동설비공사" xfId="19487"/>
    <cellStyle name="_적격 _지붕공사_수원율전조합_수원율전 실행내역 검토안_성남태평동설비공사 2" xfId="19488"/>
    <cellStyle name="_적격 _지붕공사_수원율전조합_수원율전 실행내역 검토안_수정구 태평동 주상복합 실행내역 검토안" xfId="19489"/>
    <cellStyle name="_적격 _지붕공사_수원율전조합_수원율전 실행내역 검토안_수정구 태평동 주상복합 실행내역 검토안 2" xfId="19490"/>
    <cellStyle name="_적격 _지붕공사_수원율전조합_수원율전 실행내역 검토안_태평동 실행내역서" xfId="19491"/>
    <cellStyle name="_적격 _지붕공사_수원율전조합_수원율전 실행내역 검토안_태평동 실행내역서 2" xfId="19492"/>
    <cellStyle name="_적격 _지붕공사_수원율전조합_수원율전 실행내역 검토안_태평동도급내역(Rev.2)-12.26" xfId="19493"/>
    <cellStyle name="_적격 _지붕공사_수원율전조합_수원율전 실행내역 검토안_태평동도급내역(Rev.2)-12.26 2" xfId="19494"/>
    <cellStyle name="_적격 _지붕공사_수원율전조합_수정구 태평동 주상복합 실행내역 검토안" xfId="19495"/>
    <cellStyle name="_적격 _지붕공사_수원율전조합_수정구 태평동 주상복합 실행내역 검토안 2" xfId="19496"/>
    <cellStyle name="_적격 _지붕공사_수원율전조합_태평동 실행내역서" xfId="19497"/>
    <cellStyle name="_적격 _지붕공사_수원율전조합_태평동 실행내역서 2" xfId="19498"/>
    <cellStyle name="_적격 _지붕공사_수원율전조합_태평동도급내역(Rev.2)-12.26" xfId="19499"/>
    <cellStyle name="_적격 _지붕공사_수원율전조합_태평동도급내역(Rev.2)-12.26 2" xfId="19500"/>
    <cellStyle name="_적격 _지붕공사_수정구 태평동 주상복합 실행내역 검토안" xfId="19501"/>
    <cellStyle name="_적격 _지붕공사_수정구 태평동 주상복합 실행내역 검토안 2" xfId="19502"/>
    <cellStyle name="_적격 _지붕공사_태평동 실행내역서" xfId="19503"/>
    <cellStyle name="_적격 _지붕공사_태평동 실행내역서 2" xfId="19504"/>
    <cellStyle name="_적격 _지붕공사_태평동도급내역(Rev.2)-12.26" xfId="19505"/>
    <cellStyle name="_적격 _지붕공사_태평동도급내역(Rev.2)-12.26 2" xfId="19506"/>
    <cellStyle name="_적격 _집행갑지 " xfId="19507"/>
    <cellStyle name="_적격 _집행갑지  2" xfId="19508"/>
    <cellStyle name="_적격 _집행갑지  2 2" xfId="19509"/>
    <cellStyle name="_적격 _집행갑지  3" xfId="19510"/>
    <cellStyle name="_적격 _집행갑지  3 2" xfId="19511"/>
    <cellStyle name="_적격 _집행갑지  4" xfId="19512"/>
    <cellStyle name="_적격 _집행갑지  4 2" xfId="19513"/>
    <cellStyle name="_적격 _집행갑지  5" xfId="19514"/>
    <cellStyle name="_적격 _집행갑지  5 2" xfId="19515"/>
    <cellStyle name="_적격 _집행갑지  6" xfId="19516"/>
    <cellStyle name="_적격 _집행갑지  6 2" xfId="19517"/>
    <cellStyle name="_적격 _집행갑지  7" xfId="19518"/>
    <cellStyle name="_적격 _집행갑지  7 2" xfId="19519"/>
    <cellStyle name="_적격 _집행갑지  8" xfId="19520"/>
    <cellStyle name="_적격 _집행갑지 _1.방수공사" xfId="19521"/>
    <cellStyle name="_적격 _집행갑지 _1.방수공사 2" xfId="19522"/>
    <cellStyle name="_적격 _집행갑지 _1.방수공사_1.흙막이공사 - 견적대비조서(입찰)" xfId="19523"/>
    <cellStyle name="_적격 _집행갑지 _1.방수공사_1.흙막이공사 - 견적대비조서(입찰) 2" xfId="19524"/>
    <cellStyle name="_적격 _집행갑지 _1.흙막이공사 - 견적대비조서(입찰)" xfId="19525"/>
    <cellStyle name="_적격 _집행갑지 _1.흙막이공사 - 견적대비조서(입찰) 2" xfId="19526"/>
    <cellStyle name="_적격 _집행갑지 _3-1(금강)-여의도 세우회관 철거공사" xfId="19527"/>
    <cellStyle name="_적격 _집행갑지 _3-1(금강)-여의도 세우회관 철거공사_24-1(동부)-두능-연곡 도로건설공사 중 기존교량철거" xfId="19528"/>
    <cellStyle name="_적격 _집행갑지 _3-1(금강)-여의도 세우회관 철거공사_견적1" xfId="19529"/>
    <cellStyle name="_적격 _집행갑지 _3-1(금강)-여의도 세우회관 철거공사_견적1_28-3-2 삼환-대한생명 63빌딩 현장 철거공사 (재노경)" xfId="19530"/>
    <cellStyle name="_적격 _집행갑지 _35호(기숙사)" xfId="19531"/>
    <cellStyle name="_적격 _집행갑지 _35호(기숙사) 2" xfId="19532"/>
    <cellStyle name="_적격 _집행갑지 _35호(기숙사)_53호견적최종" xfId="19533"/>
    <cellStyle name="_적격 _집행갑지 _35호(기숙사)_53호견적최종 2" xfId="19534"/>
    <cellStyle name="_적격 _집행갑지 _35호(기숙사)_R-0053" xfId="19535"/>
    <cellStyle name="_적격 _집행갑지 _35호(기숙사)_R-0053 2" xfId="19536"/>
    <cellStyle name="_적격 _집행갑지 _35호(기숙사)_R-0053ELEC대" xfId="19537"/>
    <cellStyle name="_적격 _집행갑지 _35호(기숙사)_R-0053ELEC대 2" xfId="19538"/>
    <cellStyle name="_적격 _집행갑지 _35호(기숙사)_R-0053SITE" xfId="19539"/>
    <cellStyle name="_적격 _집행갑지 _35호(기숙사)_R-0053SITE 2" xfId="19540"/>
    <cellStyle name="_적격 _집행갑지 _35호(기숙사)POO" xfId="19541"/>
    <cellStyle name="_적격 _집행갑지 _35호(기숙사)POO 2" xfId="19542"/>
    <cellStyle name="_적격 _집행갑지 _35호(기숙사)POO_53호견적최종" xfId="19543"/>
    <cellStyle name="_적격 _집행갑지 _35호(기숙사)POO_53호견적최종 2" xfId="19544"/>
    <cellStyle name="_적격 _집행갑지 _35호(기숙사)POO_R-0053" xfId="19545"/>
    <cellStyle name="_적격 _집행갑지 _35호(기숙사)POO_R-0053 2" xfId="19546"/>
    <cellStyle name="_적격 _집행갑지 _35호(기숙사)POO_R-0053ELEC대" xfId="19547"/>
    <cellStyle name="_적격 _집행갑지 _35호(기숙사)POO_R-0053ELEC대 2" xfId="19548"/>
    <cellStyle name="_적격 _집행갑지 _35호(기숙사)POO_R-0053SITE" xfId="19549"/>
    <cellStyle name="_적격 _집행갑지 _35호(기숙사)POO_R-0053SITE 2" xfId="19550"/>
    <cellStyle name="_적격 _집행갑지 _38고대리" xfId="19551"/>
    <cellStyle name="_적격 _집행갑지 _38고대리 2" xfId="19552"/>
    <cellStyle name="_적격 _집행갑지 _38고대리_53호견적최종" xfId="19553"/>
    <cellStyle name="_적격 _집행갑지 _38고대리_53호견적최종 2" xfId="19554"/>
    <cellStyle name="_적격 _집행갑지 _38고대리_R-0053" xfId="19555"/>
    <cellStyle name="_적격 _집행갑지 _38고대리_R-0053 2" xfId="19556"/>
    <cellStyle name="_적격 _집행갑지 _38고대리_R-0053ELEC대" xfId="19557"/>
    <cellStyle name="_적격 _집행갑지 _38고대리_R-0053ELEC대 2" xfId="19558"/>
    <cellStyle name="_적격 _집행갑지 _38고대리_R-0053SITE" xfId="19559"/>
    <cellStyle name="_적격 _집행갑지 _38고대리_R-0053SITE 2" xfId="19560"/>
    <cellStyle name="_적격 _집행갑지 _38호" xfId="19561"/>
    <cellStyle name="_적격 _집행갑지 _38호 2" xfId="19562"/>
    <cellStyle name="_적격 _집행갑지 _38호_53호견적최종" xfId="19563"/>
    <cellStyle name="_적격 _집행갑지 _38호_53호견적최종 2" xfId="19564"/>
    <cellStyle name="_적격 _집행갑지 _38호_R-0053" xfId="19565"/>
    <cellStyle name="_적격 _집행갑지 _38호_R-0053 2" xfId="19566"/>
    <cellStyle name="_적격 _집행갑지 _38호_R-0053ELEC대" xfId="19567"/>
    <cellStyle name="_적격 _집행갑지 _38호_R-0053ELEC대 2" xfId="19568"/>
    <cellStyle name="_적격 _집행갑지 _38호_R-0053SITE" xfId="19569"/>
    <cellStyle name="_적격 _집행갑지 _38호_R-0053SITE 2" xfId="19570"/>
    <cellStyle name="_적격 _집행갑지 _53호견적최종" xfId="19571"/>
    <cellStyle name="_적격 _집행갑지 _53호견적최종 2" xfId="19572"/>
    <cellStyle name="_적격 _집행갑지 _8-2(삼성)-김해공항 국제청 화물청사 세관창고철거" xfId="19573"/>
    <cellStyle name="_적격 _집행갑지 _8-2(삼성)-김해공항 국제청 화물청사 세관창고철거_24-1(동부)-두능-연곡 도로건설공사 중 기존교량철거" xfId="19574"/>
    <cellStyle name="_적격 _집행갑지 _8-2(삼성)-김해공항 국제청 화물청사 세관창고철거_견적1" xfId="19575"/>
    <cellStyle name="_적격 _집행갑지 _8-2(삼성)-김해공항 국제청 화물청사 세관창고철거_견적1_28-3-2 삼환-대한생명 63빌딩 현장 철거공사 (재노경)" xfId="19576"/>
    <cellStyle name="_적격 _집행갑지 _B-2-b(1).부대입찰 공내역" xfId="19577"/>
    <cellStyle name="_적격 _집행갑지 _B-2-b(1).부대입찰 공내역 2" xfId="19578"/>
    <cellStyle name="_적격 _집행갑지 _Book1" xfId="19579"/>
    <cellStyle name="_적격 _집행갑지 _Book1 2" xfId="19580"/>
    <cellStyle name="_적격 _집행갑지 _Book1_내역서(최초)" xfId="19581"/>
    <cellStyle name="_적격 _집행갑지 _Book1_내역서(최초) 2" xfId="19582"/>
    <cellStyle name="_적격 _집행갑지 _Book1_설계내역서" xfId="19583"/>
    <cellStyle name="_적격 _집행갑지 _Book1_설계내역서 2" xfId="19584"/>
    <cellStyle name="_적격 _집행갑지 _Book1_설계내역서(2차)" xfId="19585"/>
    <cellStyle name="_적격 _집행갑지 _Book1_설계내역서(2차) 2" xfId="19586"/>
    <cellStyle name="_적격 _집행갑지 _Book2" xfId="19587"/>
    <cellStyle name="_적격 _집행갑지 _Book2 2" xfId="19588"/>
    <cellStyle name="_적격 _집행갑지 _Book4" xfId="19589"/>
    <cellStyle name="_적격 _집행갑지 _Book4 2" xfId="19590"/>
    <cellStyle name="_적격 _집행갑지 _nafkp5-02-r-0014" xfId="19591"/>
    <cellStyle name="_적격 _집행갑지 _nafkp5-02-r-0014 2" xfId="19592"/>
    <cellStyle name="_적격 _집행갑지 _nafkp5-02-r-0014_53호견적최종" xfId="19593"/>
    <cellStyle name="_적격 _집행갑지 _nafkp5-02-r-0014_53호견적최종 2" xfId="19594"/>
    <cellStyle name="_적격 _집행갑지 _nafkp5-02-r-0014_R-0053" xfId="19595"/>
    <cellStyle name="_적격 _집행갑지 _nafkp5-02-r-0014_R-0053 2" xfId="19596"/>
    <cellStyle name="_적격 _집행갑지 _nafkp5-02-r-0014_R-0053ELEC대" xfId="19597"/>
    <cellStyle name="_적격 _집행갑지 _nafkp5-02-r-0014_R-0053ELEC대 2" xfId="19598"/>
    <cellStyle name="_적격 _집행갑지 _nafkp5-02-r-0014_R-0053SITE" xfId="19599"/>
    <cellStyle name="_적격 _집행갑지 _nafkp5-02-r-0014_R-0053SITE 2" xfId="19600"/>
    <cellStyle name="_적격 _집행갑지 _P-(현리-신팔)" xfId="19601"/>
    <cellStyle name="_적격 _집행갑지 _P-(현리-신팔) 2" xfId="19602"/>
    <cellStyle name="_적격 _집행갑지 _P-(현리-신팔)_내역서(최초)" xfId="19603"/>
    <cellStyle name="_적격 _집행갑지 _P-(현리-신팔)_내역서(최초) 2" xfId="19604"/>
    <cellStyle name="_적격 _집행갑지 _P-(현리-신팔)_설계내역서" xfId="19605"/>
    <cellStyle name="_적격 _집행갑지 _P-(현리-신팔)_설계내역서 2" xfId="19606"/>
    <cellStyle name="_적격 _집행갑지 _P-(현리-신팔)_설계내역서(2차)" xfId="19607"/>
    <cellStyle name="_적격 _집행갑지 _P-(현리-신팔)_설계내역서(2차) 2" xfId="19608"/>
    <cellStyle name="_적격 _집행갑지 _p-하남강일1" xfId="19609"/>
    <cellStyle name="_적격 _집행갑지 _p-하남강일1 2" xfId="19610"/>
    <cellStyle name="_적격 _집행갑지 _p-하남강일1_내역서(최초)" xfId="19611"/>
    <cellStyle name="_적격 _집행갑지 _p-하남강일1_내역서(최초) 2" xfId="19612"/>
    <cellStyle name="_적격 _집행갑지 _p-하남강일1_설계내역서" xfId="19613"/>
    <cellStyle name="_적격 _집행갑지 _p-하남강일1_설계내역서 2" xfId="19614"/>
    <cellStyle name="_적격 _집행갑지 _p-하남강일1_설계내역서(2차)" xfId="19615"/>
    <cellStyle name="_적격 _집행갑지 _p-하남강일1_설계내역서(2차) 2" xfId="19616"/>
    <cellStyle name="_적격 _집행갑지 _R0003CostBD원본261" xfId="19653"/>
    <cellStyle name="_적격 _집행갑지 _R0003CostBD원본261 2" xfId="19654"/>
    <cellStyle name="_적격 _집행갑지 _R0003CostBD원본261_53호견적최종" xfId="19655"/>
    <cellStyle name="_적격 _집행갑지 _R0003CostBD원본261_53호견적최종 2" xfId="19656"/>
    <cellStyle name="_적격 _집행갑지 _R0003CostBD원본261_R-0053" xfId="19657"/>
    <cellStyle name="_적격 _집행갑지 _R0003CostBD원본261_R-0053 2" xfId="19658"/>
    <cellStyle name="_적격 _집행갑지 _R0003CostBD원본261_R-0053ELEC대" xfId="19659"/>
    <cellStyle name="_적격 _집행갑지 _R0003CostBD원본261_R-0053ELEC대 2" xfId="19660"/>
    <cellStyle name="_적격 _집행갑지 _R0003CostBD원본261_R-0053SITE" xfId="19661"/>
    <cellStyle name="_적격 _집행갑지 _R0003CostBD원본261_R-0053SITE 2" xfId="19662"/>
    <cellStyle name="_적격 _집행갑지 _R-0003입찰내역" xfId="19617"/>
    <cellStyle name="_적격 _집행갑지 _R-0003입찰내역 2" xfId="19618"/>
    <cellStyle name="_적격 _집행갑지 _R-0003입찰내역_53호견적최종" xfId="19619"/>
    <cellStyle name="_적격 _집행갑지 _R-0003입찰내역_53호견적최종 2" xfId="19620"/>
    <cellStyle name="_적격 _집행갑지 _R-0003입찰내역_R-0053" xfId="19621"/>
    <cellStyle name="_적격 _집행갑지 _R-0003입찰내역_R-0053 2" xfId="19622"/>
    <cellStyle name="_적격 _집행갑지 _R-0003입찰내역_R-0053ELEC대" xfId="19623"/>
    <cellStyle name="_적격 _집행갑지 _R-0003입찰내역_R-0053ELEC대 2" xfId="19624"/>
    <cellStyle name="_적격 _집행갑지 _R-0003입찰내역_R-0053SITE" xfId="19625"/>
    <cellStyle name="_적격 _집행갑지 _R-0003입찰내역_R-0053SITE 2" xfId="19626"/>
    <cellStyle name="_적격 _집행갑지 _R0038CostBD(version2)" xfId="19663"/>
    <cellStyle name="_적격 _집행갑지 _R0038CostBD(version2) 2" xfId="19664"/>
    <cellStyle name="_적격 _집행갑지 _R0038CostBD(version2)_53호견적최종" xfId="19665"/>
    <cellStyle name="_적격 _집행갑지 _R0038CostBD(version2)_53호견적최종 2" xfId="19666"/>
    <cellStyle name="_적격 _집행갑지 _R0038CostBD(version2)_R-0053" xfId="19667"/>
    <cellStyle name="_적격 _집행갑지 _R0038CostBD(version2)_R-0053 2" xfId="19668"/>
    <cellStyle name="_적격 _집행갑지 _R0038CostBD(version2)_R-0053ELEC대" xfId="19669"/>
    <cellStyle name="_적격 _집행갑지 _R0038CostBD(version2)_R-0053ELEC대 2" xfId="19670"/>
    <cellStyle name="_적격 _집행갑지 _R0038CostBD(version2)_R-0053SITE" xfId="19671"/>
    <cellStyle name="_적격 _집행갑지 _R0038CostBD(version2)_R-0053SITE 2" xfId="19672"/>
    <cellStyle name="_적격 _집행갑지 _R0038CostBD(화인)" xfId="19673"/>
    <cellStyle name="_적격 _집행갑지 _R0038CostBD(화인) 2" xfId="19674"/>
    <cellStyle name="_적격 _집행갑지 _R0038CostBD(화인)_53호견적최종" xfId="19675"/>
    <cellStyle name="_적격 _집행갑지 _R0038CostBD(화인)_53호견적최종 2" xfId="19676"/>
    <cellStyle name="_적격 _집행갑지 _R0038CostBD(화인)_R-0053" xfId="19677"/>
    <cellStyle name="_적격 _집행갑지 _R0038CostBD(화인)_R-0053 2" xfId="19678"/>
    <cellStyle name="_적격 _집행갑지 _R0038CostBD(화인)_R-0053ELEC대" xfId="19679"/>
    <cellStyle name="_적격 _집행갑지 _R0038CostBD(화인)_R-0053ELEC대 2" xfId="19680"/>
    <cellStyle name="_적격 _집행갑지 _R0038CostBD(화인)_R-0053SITE" xfId="19681"/>
    <cellStyle name="_적격 _집행갑지 _R0038CostBD(화인)_R-0053SITE 2" xfId="19682"/>
    <cellStyle name="_적격 _집행갑지 _R-0053" xfId="19627"/>
    <cellStyle name="_적격 _집행갑지 _R-0053 2" xfId="19628"/>
    <cellStyle name="_적격 _집행갑지 _R0053CostBD-건축-김이사님" xfId="19683"/>
    <cellStyle name="_적격 _집행갑지 _R0053CostBD-건축-김이사님 2" xfId="19684"/>
    <cellStyle name="_적격 _집행갑지 _R0053CostBD-건축-김이사님_53호견적최종" xfId="19685"/>
    <cellStyle name="_적격 _집행갑지 _R0053CostBD-건축-김이사님_53호견적최종 2" xfId="19686"/>
    <cellStyle name="_적격 _집행갑지 _R0053CostBD-건축-김이사님_R-0053" xfId="19687"/>
    <cellStyle name="_적격 _집행갑지 _R0053CostBD-건축-김이사님_R-0053 2" xfId="19688"/>
    <cellStyle name="_적격 _집행갑지 _R0053CostBD-건축-김이사님_R-0053ELEC대" xfId="19689"/>
    <cellStyle name="_적격 _집행갑지 _R0053CostBD-건축-김이사님_R-0053ELEC대 2" xfId="19690"/>
    <cellStyle name="_적격 _집행갑지 _R0053CostBD-건축-김이사님_R-0053SITE" xfId="19691"/>
    <cellStyle name="_적격 _집행갑지 _R0053CostBD-건축-김이사님_R-0053SITE 2" xfId="19692"/>
    <cellStyle name="_적격 _집행갑지 _R-0053ELEC대" xfId="19629"/>
    <cellStyle name="_적격 _집행갑지 _R-0053ELEC대 2" xfId="19630"/>
    <cellStyle name="_적격 _집행갑지 _R-0053SITE" xfId="19631"/>
    <cellStyle name="_적격 _집행갑지 _R-0053SITE 2" xfId="19632"/>
    <cellStyle name="_적격 _집행갑지 _R-0053건축" xfId="19633"/>
    <cellStyle name="_적격 _집행갑지 _R-0053건축 2" xfId="19634"/>
    <cellStyle name="_적격 _집행갑지 _R-0053건축_53호견적최종" xfId="19635"/>
    <cellStyle name="_적격 _집행갑지 _R-0053건축_53호견적최종 2" xfId="19636"/>
    <cellStyle name="_적격 _집행갑지 _R-0053건축_R-0053" xfId="19637"/>
    <cellStyle name="_적격 _집행갑지 _R-0053건축_R-0053 2" xfId="19638"/>
    <cellStyle name="_적격 _집행갑지 _R-0053건축_R-0053ELEC대" xfId="19639"/>
    <cellStyle name="_적격 _집행갑지 _R-0053건축_R-0053ELEC대 2" xfId="19640"/>
    <cellStyle name="_적격 _집행갑지 _R-0053건축_R-0053SITE" xfId="19641"/>
    <cellStyle name="_적격 _집행갑지 _R-0053건축_R-0053SITE 2" xfId="19642"/>
    <cellStyle name="_적격 _집행갑지 _R-0053입찰내역" xfId="19643"/>
    <cellStyle name="_적격 _집행갑지 _R-0053입찰내역 2" xfId="19644"/>
    <cellStyle name="_적격 _집행갑지 _R-0053입찰내역_53호견적최종" xfId="19645"/>
    <cellStyle name="_적격 _집행갑지 _R-0053입찰내역_53호견적최종 2" xfId="19646"/>
    <cellStyle name="_적격 _집행갑지 _R-0053입찰내역_R-0053" xfId="19647"/>
    <cellStyle name="_적격 _집행갑지 _R-0053입찰내역_R-0053 2" xfId="19648"/>
    <cellStyle name="_적격 _집행갑지 _R-0053입찰내역_R-0053ELEC대" xfId="19649"/>
    <cellStyle name="_적격 _집행갑지 _R-0053입찰내역_R-0053ELEC대 2" xfId="19650"/>
    <cellStyle name="_적격 _집행갑지 _R-0053입찰내역_R-0053SITE" xfId="19651"/>
    <cellStyle name="_적격 _집행갑지 _R-0053입찰내역_R-0053SITE 2" xfId="19652"/>
    <cellStyle name="_적격 _집행갑지 _V-M-0001AB1216" xfId="19693"/>
    <cellStyle name="_적격 _집행갑지 _V-M-0001AB1216 2" xfId="19694"/>
    <cellStyle name="_적격 _집행갑지 _V-M-0001AB1216_53호견적최종" xfId="19695"/>
    <cellStyle name="_적격 _집행갑지 _V-M-0001AB1216_53호견적최종 2" xfId="19696"/>
    <cellStyle name="_적격 _집행갑지 _V-M-0001AB1216_R-0053" xfId="19697"/>
    <cellStyle name="_적격 _집행갑지 _V-M-0001AB1216_R-0053 2" xfId="19698"/>
    <cellStyle name="_적격 _집행갑지 _V-M-0001AB1216_R-0053ELEC대" xfId="19699"/>
    <cellStyle name="_적격 _집행갑지 _V-M-0001AB1216_R-0053ELEC대 2" xfId="19700"/>
    <cellStyle name="_적격 _집행갑지 _V-M-0001AB1216_R-0053SITE" xfId="19701"/>
    <cellStyle name="_적격 _집행갑지 _V-M-0001AB1216_R-0053SITE 2" xfId="19702"/>
    <cellStyle name="_적격 _집행갑지 _V-M-0001AC1217" xfId="19703"/>
    <cellStyle name="_적격 _집행갑지 _V-M-0001AC1217 2" xfId="19704"/>
    <cellStyle name="_적격 _집행갑지 _V-M-0001AC1217_53호견적최종" xfId="19705"/>
    <cellStyle name="_적격 _집행갑지 _V-M-0001AC1217_53호견적최종 2" xfId="19706"/>
    <cellStyle name="_적격 _집행갑지 _V-M-0001AC1217_R-0053" xfId="19707"/>
    <cellStyle name="_적격 _집행갑지 _V-M-0001AC1217_R-0053 2" xfId="19708"/>
    <cellStyle name="_적격 _집행갑지 _V-M-0001AC1217_R-0053ELEC대" xfId="19709"/>
    <cellStyle name="_적격 _집행갑지 _V-M-0001AC1217_R-0053ELEC대 2" xfId="19710"/>
    <cellStyle name="_적격 _집행갑지 _V-M-0001AC1217_R-0053SITE" xfId="19711"/>
    <cellStyle name="_적격 _집행갑지 _V-M-0001AC1217_R-0053SITE 2" xfId="19712"/>
    <cellStyle name="_적격 _집행갑지 _V-M-0001AD2460" xfId="19713"/>
    <cellStyle name="_적격 _집행갑지 _V-M-0001AD2460 2" xfId="19714"/>
    <cellStyle name="_적격 _집행갑지 _V-M-0001AD2460_53호견적최종" xfId="19715"/>
    <cellStyle name="_적격 _집행갑지 _V-M-0001AD2460_53호견적최종 2" xfId="19716"/>
    <cellStyle name="_적격 _집행갑지 _V-M-0001AD2460_R-0053" xfId="19717"/>
    <cellStyle name="_적격 _집행갑지 _V-M-0001AD2460_R-0053 2" xfId="19718"/>
    <cellStyle name="_적격 _집행갑지 _V-M-0001AD2460_R-0053ELEC대" xfId="19719"/>
    <cellStyle name="_적격 _집행갑지 _V-M-0001AD2460_R-0053ELEC대 2" xfId="19720"/>
    <cellStyle name="_적격 _집행갑지 _V-M-0001AD2460_R-0053SITE" xfId="19721"/>
    <cellStyle name="_적격 _집행갑지 _V-M-0001AD2460_R-0053SITE 2" xfId="19722"/>
    <cellStyle name="_적격 _집행갑지 _V-M-0001AE RENOVATE BLDG1216" xfId="19723"/>
    <cellStyle name="_적격 _집행갑지 _V-M-0001AE RENOVATE BLDG1216 2" xfId="19724"/>
    <cellStyle name="_적격 _집행갑지 _V-M-0001AE RENOVATE BLDG1216_53호견적최종" xfId="19725"/>
    <cellStyle name="_적격 _집행갑지 _V-M-0001AE RENOVATE BLDG1216_53호견적최종 2" xfId="19726"/>
    <cellStyle name="_적격 _집행갑지 _V-M-0001AE RENOVATE BLDG1216_R-0053" xfId="19727"/>
    <cellStyle name="_적격 _집행갑지 _V-M-0001AE RENOVATE BLDG1216_R-0053 2" xfId="19728"/>
    <cellStyle name="_적격 _집행갑지 _V-M-0001AE RENOVATE BLDG1216_R-0053ELEC대" xfId="19729"/>
    <cellStyle name="_적격 _집행갑지 _V-M-0001AE RENOVATE BLDG1216_R-0053ELEC대 2" xfId="19730"/>
    <cellStyle name="_적격 _집행갑지 _V-M-0001AE RENOVATE BLDG1216_R-0053SITE" xfId="19731"/>
    <cellStyle name="_적격 _집행갑지 _V-M-0001AE RENOVATE BLDG1216_R-0053SITE 2" xfId="19732"/>
    <cellStyle name="_적격 _집행갑지 _V-M-0002" xfId="19733"/>
    <cellStyle name="_적격 _집행갑지 _V-M-0002 2" xfId="19734"/>
    <cellStyle name="_적격 _집행갑지 _V-M-0002_53호견적최종" xfId="19735"/>
    <cellStyle name="_적격 _집행갑지 _V-M-0002_53호견적최종 2" xfId="19736"/>
    <cellStyle name="_적격 _집행갑지 _V-M-0002_R-0053" xfId="19737"/>
    <cellStyle name="_적격 _집행갑지 _V-M-0002_R-0053 2" xfId="19738"/>
    <cellStyle name="_적격 _집행갑지 _V-M-0002_R-0053ELEC대" xfId="19739"/>
    <cellStyle name="_적격 _집행갑지 _V-M-0002_R-0053ELEC대 2" xfId="19740"/>
    <cellStyle name="_적격 _집행갑지 _V-M-0002_R-0053SITE" xfId="19741"/>
    <cellStyle name="_적격 _집행갑지 _V-M-0002_R-0053SITE 2" xfId="19742"/>
    <cellStyle name="_적격 _집행갑지 _V-M-0004" xfId="19743"/>
    <cellStyle name="_적격 _집행갑지 _V-M-0004 2" xfId="19744"/>
    <cellStyle name="_적격 _집행갑지 _V-M-0004_53호견적최종" xfId="19745"/>
    <cellStyle name="_적격 _집행갑지 _V-M-0004_53호견적최종 2" xfId="19746"/>
    <cellStyle name="_적격 _집행갑지 _V-M-0004_R-0053" xfId="19747"/>
    <cellStyle name="_적격 _집행갑지 _V-M-0004_R-0053 2" xfId="19748"/>
    <cellStyle name="_적격 _집행갑지 _V-M-0004_R-0053ELEC대" xfId="19749"/>
    <cellStyle name="_적격 _집행갑지 _V-M-0004_R-0053ELEC대 2" xfId="19750"/>
    <cellStyle name="_적격 _집행갑지 _V-M-0004_R-0053SITE" xfId="19751"/>
    <cellStyle name="_적격 _집행갑지 _V-M-0004_R-0053SITE 2" xfId="19752"/>
    <cellStyle name="_적격 _집행갑지 _V-M-0005" xfId="19753"/>
    <cellStyle name="_적격 _집행갑지 _V-M-0005 2" xfId="19754"/>
    <cellStyle name="_적격 _집행갑지 _V-M-0005_53호견적최종" xfId="19755"/>
    <cellStyle name="_적격 _집행갑지 _V-M-0005_53호견적최종 2" xfId="19756"/>
    <cellStyle name="_적격 _집행갑지 _V-M-0005_R-0053" xfId="19757"/>
    <cellStyle name="_적격 _집행갑지 _V-M-0005_R-0053 2" xfId="19758"/>
    <cellStyle name="_적격 _집행갑지 _V-M-0005_R-0053ELEC대" xfId="19759"/>
    <cellStyle name="_적격 _집행갑지 _V-M-0005_R-0053ELEC대 2" xfId="19760"/>
    <cellStyle name="_적격 _집행갑지 _V-M-0005_R-0053SITE" xfId="19761"/>
    <cellStyle name="_적격 _집행갑지 _V-M-0005_R-0053SITE 2" xfId="19762"/>
    <cellStyle name="_적격 _집행갑지 _V-O-0007" xfId="19763"/>
    <cellStyle name="_적격 _집행갑지 _V-O-0007 2" xfId="19764"/>
    <cellStyle name="_적격 _집행갑지 _V-O-0007_53호견적최종" xfId="19765"/>
    <cellStyle name="_적격 _집행갑지 _V-O-0007_53호견적최종 2" xfId="19766"/>
    <cellStyle name="_적격 _집행갑지 _V-O-0007_R-0053" xfId="19767"/>
    <cellStyle name="_적격 _집행갑지 _V-O-0007_R-0053 2" xfId="19768"/>
    <cellStyle name="_적격 _집행갑지 _V-O-0007_R-0053ELEC대" xfId="19769"/>
    <cellStyle name="_적격 _집행갑지 _V-O-0007_R-0053ELEC대 2" xfId="19770"/>
    <cellStyle name="_적격 _집행갑지 _V-O-0007_R-0053SITE" xfId="19771"/>
    <cellStyle name="_적격 _집행갑지 _V-O-0007_R-0053SITE 2" xfId="19772"/>
    <cellStyle name="_적격 _집행갑지 _V-O-0009" xfId="19773"/>
    <cellStyle name="_적격 _집행갑지 _V-O-0009 2" xfId="19774"/>
    <cellStyle name="_적격 _집행갑지 _V-O-0009_53호견적최종" xfId="19775"/>
    <cellStyle name="_적격 _집행갑지 _V-O-0009_53호견적최종 2" xfId="19776"/>
    <cellStyle name="_적격 _집행갑지 _V-O-0009_R-0053" xfId="19777"/>
    <cellStyle name="_적격 _집행갑지 _V-O-0009_R-0053 2" xfId="19778"/>
    <cellStyle name="_적격 _집행갑지 _V-O-0009_R-0053ELEC대" xfId="19779"/>
    <cellStyle name="_적격 _집행갑지 _V-O-0009_R-0053ELEC대 2" xfId="19780"/>
    <cellStyle name="_적격 _집행갑지 _V-O-0009_R-0053SITE" xfId="19781"/>
    <cellStyle name="_적격 _집행갑지 _V-O-0009_R-0053SITE 2" xfId="19782"/>
    <cellStyle name="_적격 _집행갑지 _견적1" xfId="19783"/>
    <cellStyle name="_적격 _집행갑지 _견적1_28-3-2 삼환-대한생명 63빌딩 현장 철거공사 (재노경)" xfId="19784"/>
    <cellStyle name="_적격 _집행갑지 _견적서" xfId="19785"/>
    <cellStyle name="_적격 _집행갑지 _견적서_24-1(동부)-두능-연곡 도로건설공사 중 기존교량철거" xfId="19786"/>
    <cellStyle name="_적격 _집행갑지 _견적서_견적1" xfId="19787"/>
    <cellStyle name="_적격 _집행갑지 _견적서_견적1_28-3-2 삼환-대한생명 63빌딩 현장 철거공사 (재노경)" xfId="19788"/>
    <cellStyle name="_적격 _집행갑지 _공내역서" xfId="19789"/>
    <cellStyle name="_적격 _집행갑지 _공내역서 2" xfId="19790"/>
    <cellStyle name="_적격 _집행갑지 _공내역서_사본 - ☆태평동  도급내역" xfId="19923"/>
    <cellStyle name="_적격 _집행갑지 _공내역서_사본 - ☆태평동  도급내역 2" xfId="19924"/>
    <cellStyle name="_적격 _집행갑지 _공내역서_성남태평동설비공사" xfId="19925"/>
    <cellStyle name="_적격 _집행갑지 _공내역서_성남태평동설비공사 2" xfId="19926"/>
    <cellStyle name="_적격 _집행갑지 _공내역서_수원율전 실행내역" xfId="19927"/>
    <cellStyle name="_적격 _집행갑지 _공내역서_수원율전 실행내역 2" xfId="19928"/>
    <cellStyle name="_적격 _집행갑지 _공내역서_수원율전 실행내역 검토안" xfId="19929"/>
    <cellStyle name="_적격 _집행갑지 _공내역서_수원율전 실행내역 검토안 2" xfId="19930"/>
    <cellStyle name="_적격 _집행갑지 _공내역서_수원율전 실행내역 검토안_사본 - ☆태평동  도급내역" xfId="19931"/>
    <cellStyle name="_적격 _집행갑지 _공내역서_수원율전 실행내역 검토안_사본 - ☆태평동  도급내역 2" xfId="19932"/>
    <cellStyle name="_적격 _집행갑지 _공내역서_수원율전 실행내역 검토안_성남태평동설비공사" xfId="19933"/>
    <cellStyle name="_적격 _집행갑지 _공내역서_수원율전 실행내역 검토안_성남태평동설비공사 2" xfId="19934"/>
    <cellStyle name="_적격 _집행갑지 _공내역서_수원율전 실행내역 검토안_수원율전 실행내역" xfId="19935"/>
    <cellStyle name="_적격 _집행갑지 _공내역서_수원율전 실행내역 검토안_수원율전 실행내역 2" xfId="19936"/>
    <cellStyle name="_적격 _집행갑지 _공내역서_수원율전 실행내역 검토안_수원율전 실행내역 검토안" xfId="19937"/>
    <cellStyle name="_적격 _집행갑지 _공내역서_수원율전 실행내역 검토안_수원율전 실행내역 검토안 2" xfId="19938"/>
    <cellStyle name="_적격 _집행갑지 _공내역서_수원율전 실행내역 검토안_수원율전 실행내역 검토안_사본 - ☆태평동  도급내역" xfId="19939"/>
    <cellStyle name="_적격 _집행갑지 _공내역서_수원율전 실행내역 검토안_수원율전 실행내역 검토안_사본 - ☆태평동  도급내역 2" xfId="19940"/>
    <cellStyle name="_적격 _집행갑지 _공내역서_수원율전 실행내역 검토안_수원율전 실행내역 검토안_성남태평동설비공사" xfId="19941"/>
    <cellStyle name="_적격 _집행갑지 _공내역서_수원율전 실행내역 검토안_수원율전 실행내역 검토안_성남태평동설비공사 2" xfId="19942"/>
    <cellStyle name="_적격 _집행갑지 _공내역서_수원율전 실행내역 검토안_수원율전 실행내역 검토안_수정구 태평동 주상복합 실행내역 검토안" xfId="19943"/>
    <cellStyle name="_적격 _집행갑지 _공내역서_수원율전 실행내역 검토안_수원율전 실행내역 검토안_수정구 태평동 주상복합 실행내역 검토안 2" xfId="19944"/>
    <cellStyle name="_적격 _집행갑지 _공내역서_수원율전 실행내역 검토안_수원율전 실행내역 검토안_태평동 실행내역서" xfId="19945"/>
    <cellStyle name="_적격 _집행갑지 _공내역서_수원율전 실행내역 검토안_수원율전 실행내역 검토안_태평동 실행내역서 2" xfId="19946"/>
    <cellStyle name="_적격 _집행갑지 _공내역서_수원율전 실행내역 검토안_수원율전 실행내역 검토안_태평동도급내역(Rev.2)-12.26" xfId="19947"/>
    <cellStyle name="_적격 _집행갑지 _공내역서_수원율전 실행내역 검토안_수원율전 실행내역 검토안_태평동도급내역(Rev.2)-12.26 2" xfId="19948"/>
    <cellStyle name="_적격 _집행갑지 _공내역서_수원율전 실행내역 검토안_수정구 태평동 주상복합 실행내역 검토안" xfId="19949"/>
    <cellStyle name="_적격 _집행갑지 _공내역서_수원율전 실행내역 검토안_수정구 태평동 주상복합 실행내역 검토안 2" xfId="19950"/>
    <cellStyle name="_적격 _집행갑지 _공내역서_수원율전 실행내역 검토안_태평동 실행내역서" xfId="19951"/>
    <cellStyle name="_적격 _집행갑지 _공내역서_수원율전 실행내역 검토안_태평동 실행내역서 2" xfId="19952"/>
    <cellStyle name="_적격 _집행갑지 _공내역서_수원율전 실행내역 검토안_태평동도급내역(Rev.2)-12.26" xfId="19953"/>
    <cellStyle name="_적격 _집행갑지 _공내역서_수원율전 실행내역 검토안_태평동도급내역(Rev.2)-12.26 2" xfId="19954"/>
    <cellStyle name="_적격 _집행갑지 _공내역서_수원율전조합" xfId="19955"/>
    <cellStyle name="_적격 _집행갑지 _공내역서_수원율전조합 2" xfId="19956"/>
    <cellStyle name="_적격 _집행갑지 _공내역서_수원율전조합_사본 - ☆태평동  도급내역" xfId="19957"/>
    <cellStyle name="_적격 _집행갑지 _공내역서_수원율전조합_사본 - ☆태평동  도급내역 2" xfId="19958"/>
    <cellStyle name="_적격 _집행갑지 _공내역서_수원율전조합_성남태평동설비공사" xfId="19959"/>
    <cellStyle name="_적격 _집행갑지 _공내역서_수원율전조합_성남태평동설비공사 2" xfId="19960"/>
    <cellStyle name="_적격 _집행갑지 _공내역서_수원율전조합_수원율전 실행내역" xfId="19961"/>
    <cellStyle name="_적격 _집행갑지 _공내역서_수원율전조합_수원율전 실행내역 2" xfId="19962"/>
    <cellStyle name="_적격 _집행갑지 _공내역서_수원율전조합_수원율전 실행내역 검토안" xfId="19963"/>
    <cellStyle name="_적격 _집행갑지 _공내역서_수원율전조합_수원율전 실행내역 검토안 2" xfId="19964"/>
    <cellStyle name="_적격 _집행갑지 _공내역서_수원율전조합_수원율전 실행내역 검토안_사본 - ☆태평동  도급내역" xfId="19965"/>
    <cellStyle name="_적격 _집행갑지 _공내역서_수원율전조합_수원율전 실행내역 검토안_사본 - ☆태평동  도급내역 2" xfId="19966"/>
    <cellStyle name="_적격 _집행갑지 _공내역서_수원율전조합_수원율전 실행내역 검토안_성남태평동설비공사" xfId="19967"/>
    <cellStyle name="_적격 _집행갑지 _공내역서_수원율전조합_수원율전 실행내역 검토안_성남태평동설비공사 2" xfId="19968"/>
    <cellStyle name="_적격 _집행갑지 _공내역서_수원율전조합_수원율전 실행내역 검토안_수정구 태평동 주상복합 실행내역 검토안" xfId="19969"/>
    <cellStyle name="_적격 _집행갑지 _공내역서_수원율전조합_수원율전 실행내역 검토안_수정구 태평동 주상복합 실행내역 검토안 2" xfId="19970"/>
    <cellStyle name="_적격 _집행갑지 _공내역서_수원율전조합_수원율전 실행내역 검토안_태평동 실행내역서" xfId="19971"/>
    <cellStyle name="_적격 _집행갑지 _공내역서_수원율전조합_수원율전 실행내역 검토안_태평동 실행내역서 2" xfId="19972"/>
    <cellStyle name="_적격 _집행갑지 _공내역서_수원율전조합_수원율전 실행내역 검토안_태평동도급내역(Rev.2)-12.26" xfId="19973"/>
    <cellStyle name="_적격 _집행갑지 _공내역서_수원율전조합_수원율전 실행내역 검토안_태평동도급내역(Rev.2)-12.26 2" xfId="19974"/>
    <cellStyle name="_적격 _집행갑지 _공내역서_수원율전조합_수정구 태평동 주상복합 실행내역 검토안" xfId="19975"/>
    <cellStyle name="_적격 _집행갑지 _공내역서_수원율전조합_수정구 태평동 주상복합 실행내역 검토안 2" xfId="19976"/>
    <cellStyle name="_적격 _집행갑지 _공내역서_수원율전조합_태평동 실행내역서" xfId="19977"/>
    <cellStyle name="_적격 _집행갑지 _공내역서_수원율전조합_태평동 실행내역서 2" xfId="19978"/>
    <cellStyle name="_적격 _집행갑지 _공내역서_수원율전조합_태평동도급내역(Rev.2)-12.26" xfId="19979"/>
    <cellStyle name="_적격 _집행갑지 _공내역서_수원율전조합_태평동도급내역(Rev.2)-12.26 2" xfId="19980"/>
    <cellStyle name="_적격 _집행갑지 _공내역서_수정구 태평동 주상복합 실행내역 검토안" xfId="19981"/>
    <cellStyle name="_적격 _집행갑지 _공내역서_수정구 태평동 주상복합 실행내역 검토안 2" xfId="19982"/>
    <cellStyle name="_적격 _집행갑지 _공내역서_태평동 실행내역서" xfId="19983"/>
    <cellStyle name="_적격 _집행갑지 _공내역서_태평동 실행내역서 2" xfId="19984"/>
    <cellStyle name="_적격 _집행갑지 _공내역서_태평동도급내역(Rev.2)-12.26" xfId="19985"/>
    <cellStyle name="_적격 _집행갑지 _공내역서_태평동도급내역(Rev.2)-12.26 2" xfId="19986"/>
    <cellStyle name="_적격 _집행갑지 _공내역서-창호" xfId="19791"/>
    <cellStyle name="_적격 _집행갑지 _공내역서-창호 2" xfId="19792"/>
    <cellStyle name="_적격 _집행갑지 _공내역서-창호_사본 - ☆태평동  도급내역" xfId="19793"/>
    <cellStyle name="_적격 _집행갑지 _공내역서-창호_사본 - ☆태평동  도급내역 2" xfId="19794"/>
    <cellStyle name="_적격 _집행갑지 _공내역서-창호_성남태평동설비공사" xfId="19795"/>
    <cellStyle name="_적격 _집행갑지 _공내역서-창호_성남태평동설비공사 2" xfId="19796"/>
    <cellStyle name="_적격 _집행갑지 _공내역서-창호_수원율전 실행내역" xfId="19797"/>
    <cellStyle name="_적격 _집행갑지 _공내역서-창호_수원율전 실행내역 2" xfId="19798"/>
    <cellStyle name="_적격 _집행갑지 _공내역서-창호_수원율전 실행내역 검토안" xfId="19799"/>
    <cellStyle name="_적격 _집행갑지 _공내역서-창호_수원율전 실행내역 검토안 2" xfId="19800"/>
    <cellStyle name="_적격 _집행갑지 _공내역서-창호_수원율전 실행내역 검토안_사본 - ☆태평동  도급내역" xfId="19801"/>
    <cellStyle name="_적격 _집행갑지 _공내역서-창호_수원율전 실행내역 검토안_사본 - ☆태평동  도급내역 2" xfId="19802"/>
    <cellStyle name="_적격 _집행갑지 _공내역서-창호_수원율전 실행내역 검토안_성남태평동설비공사" xfId="19803"/>
    <cellStyle name="_적격 _집행갑지 _공내역서-창호_수원율전 실행내역 검토안_성남태평동설비공사 2" xfId="19804"/>
    <cellStyle name="_적격 _집행갑지 _공내역서-창호_수원율전 실행내역 검토안_수원율전 실행내역" xfId="19805"/>
    <cellStyle name="_적격 _집행갑지 _공내역서-창호_수원율전 실행내역 검토안_수원율전 실행내역 2" xfId="19806"/>
    <cellStyle name="_적격 _집행갑지 _공내역서-창호_수원율전 실행내역 검토안_수원율전 실행내역 검토안" xfId="19807"/>
    <cellStyle name="_적격 _집행갑지 _공내역서-창호_수원율전 실행내역 검토안_수원율전 실행내역 검토안 2" xfId="19808"/>
    <cellStyle name="_적격 _집행갑지 _공내역서-창호_수원율전 실행내역 검토안_수원율전 실행내역 검토안_사본 - ☆태평동  도급내역" xfId="19809"/>
    <cellStyle name="_적격 _집행갑지 _공내역서-창호_수원율전 실행내역 검토안_수원율전 실행내역 검토안_사본 - ☆태평동  도급내역 2" xfId="19810"/>
    <cellStyle name="_적격 _집행갑지 _공내역서-창호_수원율전 실행내역 검토안_수원율전 실행내역 검토안_성남태평동설비공사" xfId="19811"/>
    <cellStyle name="_적격 _집행갑지 _공내역서-창호_수원율전 실행내역 검토안_수원율전 실행내역 검토안_성남태평동설비공사 2" xfId="19812"/>
    <cellStyle name="_적격 _집행갑지 _공내역서-창호_수원율전 실행내역 검토안_수원율전 실행내역 검토안_수정구 태평동 주상복합 실행내역 검토안" xfId="19813"/>
    <cellStyle name="_적격 _집행갑지 _공내역서-창호_수원율전 실행내역 검토안_수원율전 실행내역 검토안_수정구 태평동 주상복합 실행내역 검토안 2" xfId="19814"/>
    <cellStyle name="_적격 _집행갑지 _공내역서-창호_수원율전 실행내역 검토안_수원율전 실행내역 검토안_태평동 실행내역서" xfId="19815"/>
    <cellStyle name="_적격 _집행갑지 _공내역서-창호_수원율전 실행내역 검토안_수원율전 실행내역 검토안_태평동 실행내역서 2" xfId="19816"/>
    <cellStyle name="_적격 _집행갑지 _공내역서-창호_수원율전 실행내역 검토안_수원율전 실행내역 검토안_태평동도급내역(Rev.2)-12.26" xfId="19817"/>
    <cellStyle name="_적격 _집행갑지 _공내역서-창호_수원율전 실행내역 검토안_수원율전 실행내역 검토안_태평동도급내역(Rev.2)-12.26 2" xfId="19818"/>
    <cellStyle name="_적격 _집행갑지 _공내역서-창호_수원율전 실행내역 검토안_수정구 태평동 주상복합 실행내역 검토안" xfId="19819"/>
    <cellStyle name="_적격 _집행갑지 _공내역서-창호_수원율전 실행내역 검토안_수정구 태평동 주상복합 실행내역 검토안 2" xfId="19820"/>
    <cellStyle name="_적격 _집행갑지 _공내역서-창호_수원율전 실행내역 검토안_태평동 실행내역서" xfId="19821"/>
    <cellStyle name="_적격 _집행갑지 _공내역서-창호_수원율전 실행내역 검토안_태평동 실행내역서 2" xfId="19822"/>
    <cellStyle name="_적격 _집행갑지 _공내역서-창호_수원율전 실행내역 검토안_태평동도급내역(Rev.2)-12.26" xfId="19823"/>
    <cellStyle name="_적격 _집행갑지 _공내역서-창호_수원율전 실행내역 검토안_태평동도급내역(Rev.2)-12.26 2" xfId="19824"/>
    <cellStyle name="_적격 _집행갑지 _공내역서-창호_수원율전조합" xfId="19825"/>
    <cellStyle name="_적격 _집행갑지 _공내역서-창호_수원율전조합 2" xfId="19826"/>
    <cellStyle name="_적격 _집행갑지 _공내역서-창호_수원율전조합_사본 - ☆태평동  도급내역" xfId="19827"/>
    <cellStyle name="_적격 _집행갑지 _공내역서-창호_수원율전조합_사본 - ☆태평동  도급내역 2" xfId="19828"/>
    <cellStyle name="_적격 _집행갑지 _공내역서-창호_수원율전조합_성남태평동설비공사" xfId="19829"/>
    <cellStyle name="_적격 _집행갑지 _공내역서-창호_수원율전조합_성남태평동설비공사 2" xfId="19830"/>
    <cellStyle name="_적격 _집행갑지 _공내역서-창호_수원율전조합_수원율전 실행내역" xfId="19831"/>
    <cellStyle name="_적격 _집행갑지 _공내역서-창호_수원율전조합_수원율전 실행내역 2" xfId="19832"/>
    <cellStyle name="_적격 _집행갑지 _공내역서-창호_수원율전조합_수원율전 실행내역 검토안" xfId="19833"/>
    <cellStyle name="_적격 _집행갑지 _공내역서-창호_수원율전조합_수원율전 실행내역 검토안 2" xfId="19834"/>
    <cellStyle name="_적격 _집행갑지 _공내역서-창호_수원율전조합_수원율전 실행내역 검토안_사본 - ☆태평동  도급내역" xfId="19835"/>
    <cellStyle name="_적격 _집행갑지 _공내역서-창호_수원율전조합_수원율전 실행내역 검토안_사본 - ☆태평동  도급내역 2" xfId="19836"/>
    <cellStyle name="_적격 _집행갑지 _공내역서-창호_수원율전조합_수원율전 실행내역 검토안_성남태평동설비공사" xfId="19837"/>
    <cellStyle name="_적격 _집행갑지 _공내역서-창호_수원율전조합_수원율전 실행내역 검토안_성남태평동설비공사 2" xfId="19838"/>
    <cellStyle name="_적격 _집행갑지 _공내역서-창호_수원율전조합_수원율전 실행내역 검토안_수정구 태평동 주상복합 실행내역 검토안" xfId="19839"/>
    <cellStyle name="_적격 _집행갑지 _공내역서-창호_수원율전조합_수원율전 실행내역 검토안_수정구 태평동 주상복합 실행내역 검토안 2" xfId="19840"/>
    <cellStyle name="_적격 _집행갑지 _공내역서-창호_수원율전조합_수원율전 실행내역 검토안_태평동 실행내역서" xfId="19841"/>
    <cellStyle name="_적격 _집행갑지 _공내역서-창호_수원율전조합_수원율전 실행내역 검토안_태평동 실행내역서 2" xfId="19842"/>
    <cellStyle name="_적격 _집행갑지 _공내역서-창호_수원율전조합_수원율전 실행내역 검토안_태평동도급내역(Rev.2)-12.26" xfId="19843"/>
    <cellStyle name="_적격 _집행갑지 _공내역서-창호_수원율전조합_수원율전 실행내역 검토안_태평동도급내역(Rev.2)-12.26 2" xfId="19844"/>
    <cellStyle name="_적격 _집행갑지 _공내역서-창호_수원율전조합_수정구 태평동 주상복합 실행내역 검토안" xfId="19845"/>
    <cellStyle name="_적격 _집행갑지 _공내역서-창호_수원율전조합_수정구 태평동 주상복합 실행내역 검토안 2" xfId="19846"/>
    <cellStyle name="_적격 _집행갑지 _공내역서-창호_수원율전조합_태평동 실행내역서" xfId="19847"/>
    <cellStyle name="_적격 _집행갑지 _공내역서-창호_수원율전조합_태평동 실행내역서 2" xfId="19848"/>
    <cellStyle name="_적격 _집행갑지 _공내역서-창호_수원율전조합_태평동도급내역(Rev.2)-12.26" xfId="19849"/>
    <cellStyle name="_적격 _집행갑지 _공내역서-창호_수원율전조합_태평동도급내역(Rev.2)-12.26 2" xfId="19850"/>
    <cellStyle name="_적격 _집행갑지 _공내역서-창호_수정구 태평동 주상복합 실행내역 검토안" xfId="19851"/>
    <cellStyle name="_적격 _집행갑지 _공내역서-창호_수정구 태평동 주상복합 실행내역 검토안 2" xfId="19852"/>
    <cellStyle name="_적격 _집행갑지 _공내역서-창호_태평동 실행내역서" xfId="19853"/>
    <cellStyle name="_적격 _집행갑지 _공내역서-창호_태평동 실행내역서 2" xfId="19854"/>
    <cellStyle name="_적격 _집행갑지 _공내역서-창호_태평동도급내역(Rev.2)-12.26" xfId="19855"/>
    <cellStyle name="_적격 _집행갑지 _공내역서-창호_태평동도급내역(Rev.2)-12.26 2" xfId="19856"/>
    <cellStyle name="_적격 _집행갑지 _공내역서-창호분개" xfId="19857"/>
    <cellStyle name="_적격 _집행갑지 _공내역서-창호분개 2" xfId="19858"/>
    <cellStyle name="_적격 _집행갑지 _공내역서-창호분개_사본 - ☆태평동  도급내역" xfId="19859"/>
    <cellStyle name="_적격 _집행갑지 _공내역서-창호분개_사본 - ☆태평동  도급내역 2" xfId="19860"/>
    <cellStyle name="_적격 _집행갑지 _공내역서-창호분개_성남태평동설비공사" xfId="19861"/>
    <cellStyle name="_적격 _집행갑지 _공내역서-창호분개_성남태평동설비공사 2" xfId="19862"/>
    <cellStyle name="_적격 _집행갑지 _공내역서-창호분개_수원율전 실행내역" xfId="19863"/>
    <cellStyle name="_적격 _집행갑지 _공내역서-창호분개_수원율전 실행내역 2" xfId="19864"/>
    <cellStyle name="_적격 _집행갑지 _공내역서-창호분개_수원율전 실행내역 검토안" xfId="19865"/>
    <cellStyle name="_적격 _집행갑지 _공내역서-창호분개_수원율전 실행내역 검토안 2" xfId="19866"/>
    <cellStyle name="_적격 _집행갑지 _공내역서-창호분개_수원율전 실행내역 검토안_사본 - ☆태평동  도급내역" xfId="19867"/>
    <cellStyle name="_적격 _집행갑지 _공내역서-창호분개_수원율전 실행내역 검토안_사본 - ☆태평동  도급내역 2" xfId="19868"/>
    <cellStyle name="_적격 _집행갑지 _공내역서-창호분개_수원율전 실행내역 검토안_성남태평동설비공사" xfId="19869"/>
    <cellStyle name="_적격 _집행갑지 _공내역서-창호분개_수원율전 실행내역 검토안_성남태평동설비공사 2" xfId="19870"/>
    <cellStyle name="_적격 _집행갑지 _공내역서-창호분개_수원율전 실행내역 검토안_수원율전 실행내역" xfId="19871"/>
    <cellStyle name="_적격 _집행갑지 _공내역서-창호분개_수원율전 실행내역 검토안_수원율전 실행내역 2" xfId="19872"/>
    <cellStyle name="_적격 _집행갑지 _공내역서-창호분개_수원율전 실행내역 검토안_수원율전 실행내역 검토안" xfId="19873"/>
    <cellStyle name="_적격 _집행갑지 _공내역서-창호분개_수원율전 실행내역 검토안_수원율전 실행내역 검토안 2" xfId="19874"/>
    <cellStyle name="_적격 _집행갑지 _공내역서-창호분개_수원율전 실행내역 검토안_수원율전 실행내역 검토안_사본 - ☆태평동  도급내역" xfId="19875"/>
    <cellStyle name="_적격 _집행갑지 _공내역서-창호분개_수원율전 실행내역 검토안_수원율전 실행내역 검토안_사본 - ☆태평동  도급내역 2" xfId="19876"/>
    <cellStyle name="_적격 _집행갑지 _공내역서-창호분개_수원율전 실행내역 검토안_수원율전 실행내역 검토안_성남태평동설비공사" xfId="19877"/>
    <cellStyle name="_적격 _집행갑지 _공내역서-창호분개_수원율전 실행내역 검토안_수원율전 실행내역 검토안_성남태평동설비공사 2" xfId="19878"/>
    <cellStyle name="_적격 _집행갑지 _공내역서-창호분개_수원율전 실행내역 검토안_수원율전 실행내역 검토안_수정구 태평동 주상복합 실행내역 검토안" xfId="19879"/>
    <cellStyle name="_적격 _집행갑지 _공내역서-창호분개_수원율전 실행내역 검토안_수원율전 실행내역 검토안_수정구 태평동 주상복합 실행내역 검토안 2" xfId="19880"/>
    <cellStyle name="_적격 _집행갑지 _공내역서-창호분개_수원율전 실행내역 검토안_수원율전 실행내역 검토안_태평동 실행내역서" xfId="19881"/>
    <cellStyle name="_적격 _집행갑지 _공내역서-창호분개_수원율전 실행내역 검토안_수원율전 실행내역 검토안_태평동 실행내역서 2" xfId="19882"/>
    <cellStyle name="_적격 _집행갑지 _공내역서-창호분개_수원율전 실행내역 검토안_수원율전 실행내역 검토안_태평동도급내역(Rev.2)-12.26" xfId="19883"/>
    <cellStyle name="_적격 _집행갑지 _공내역서-창호분개_수원율전 실행내역 검토안_수원율전 실행내역 검토안_태평동도급내역(Rev.2)-12.26 2" xfId="19884"/>
    <cellStyle name="_적격 _집행갑지 _공내역서-창호분개_수원율전 실행내역 검토안_수정구 태평동 주상복합 실행내역 검토안" xfId="19885"/>
    <cellStyle name="_적격 _집행갑지 _공내역서-창호분개_수원율전 실행내역 검토안_수정구 태평동 주상복합 실행내역 검토안 2" xfId="19886"/>
    <cellStyle name="_적격 _집행갑지 _공내역서-창호분개_수원율전 실행내역 검토안_태평동 실행내역서" xfId="19887"/>
    <cellStyle name="_적격 _집행갑지 _공내역서-창호분개_수원율전 실행내역 검토안_태평동 실행내역서 2" xfId="19888"/>
    <cellStyle name="_적격 _집행갑지 _공내역서-창호분개_수원율전 실행내역 검토안_태평동도급내역(Rev.2)-12.26" xfId="19889"/>
    <cellStyle name="_적격 _집행갑지 _공내역서-창호분개_수원율전 실행내역 검토안_태평동도급내역(Rev.2)-12.26 2" xfId="19890"/>
    <cellStyle name="_적격 _집행갑지 _공내역서-창호분개_수원율전조합" xfId="19891"/>
    <cellStyle name="_적격 _집행갑지 _공내역서-창호분개_수원율전조합 2" xfId="19892"/>
    <cellStyle name="_적격 _집행갑지 _공내역서-창호분개_수원율전조합_사본 - ☆태평동  도급내역" xfId="19893"/>
    <cellStyle name="_적격 _집행갑지 _공내역서-창호분개_수원율전조합_사본 - ☆태평동  도급내역 2" xfId="19894"/>
    <cellStyle name="_적격 _집행갑지 _공내역서-창호분개_수원율전조합_성남태평동설비공사" xfId="19895"/>
    <cellStyle name="_적격 _집행갑지 _공내역서-창호분개_수원율전조합_성남태평동설비공사 2" xfId="19896"/>
    <cellStyle name="_적격 _집행갑지 _공내역서-창호분개_수원율전조합_수원율전 실행내역" xfId="19897"/>
    <cellStyle name="_적격 _집행갑지 _공내역서-창호분개_수원율전조합_수원율전 실행내역 2" xfId="19898"/>
    <cellStyle name="_적격 _집행갑지 _공내역서-창호분개_수원율전조합_수원율전 실행내역 검토안" xfId="19899"/>
    <cellStyle name="_적격 _집행갑지 _공내역서-창호분개_수원율전조합_수원율전 실행내역 검토안 2" xfId="19900"/>
    <cellStyle name="_적격 _집행갑지 _공내역서-창호분개_수원율전조합_수원율전 실행내역 검토안_사본 - ☆태평동  도급내역" xfId="19901"/>
    <cellStyle name="_적격 _집행갑지 _공내역서-창호분개_수원율전조합_수원율전 실행내역 검토안_사본 - ☆태평동  도급내역 2" xfId="19902"/>
    <cellStyle name="_적격 _집행갑지 _공내역서-창호분개_수원율전조합_수원율전 실행내역 검토안_성남태평동설비공사" xfId="19903"/>
    <cellStyle name="_적격 _집행갑지 _공내역서-창호분개_수원율전조합_수원율전 실행내역 검토안_성남태평동설비공사 2" xfId="19904"/>
    <cellStyle name="_적격 _집행갑지 _공내역서-창호분개_수원율전조합_수원율전 실행내역 검토안_수정구 태평동 주상복합 실행내역 검토안" xfId="19905"/>
    <cellStyle name="_적격 _집행갑지 _공내역서-창호분개_수원율전조합_수원율전 실행내역 검토안_수정구 태평동 주상복합 실행내역 검토안 2" xfId="19906"/>
    <cellStyle name="_적격 _집행갑지 _공내역서-창호분개_수원율전조합_수원율전 실행내역 검토안_태평동 실행내역서" xfId="19907"/>
    <cellStyle name="_적격 _집행갑지 _공내역서-창호분개_수원율전조합_수원율전 실행내역 검토안_태평동 실행내역서 2" xfId="19908"/>
    <cellStyle name="_적격 _집행갑지 _공내역서-창호분개_수원율전조합_수원율전 실행내역 검토안_태평동도급내역(Rev.2)-12.26" xfId="19909"/>
    <cellStyle name="_적격 _집행갑지 _공내역서-창호분개_수원율전조합_수원율전 실행내역 검토안_태평동도급내역(Rev.2)-12.26 2" xfId="19910"/>
    <cellStyle name="_적격 _집행갑지 _공내역서-창호분개_수원율전조합_수정구 태평동 주상복합 실행내역 검토안" xfId="19911"/>
    <cellStyle name="_적격 _집행갑지 _공내역서-창호분개_수원율전조합_수정구 태평동 주상복합 실행내역 검토안 2" xfId="19912"/>
    <cellStyle name="_적격 _집행갑지 _공내역서-창호분개_수원율전조합_태평동 실행내역서" xfId="19913"/>
    <cellStyle name="_적격 _집행갑지 _공내역서-창호분개_수원율전조합_태평동 실행내역서 2" xfId="19914"/>
    <cellStyle name="_적격 _집행갑지 _공내역서-창호분개_수원율전조합_태평동도급내역(Rev.2)-12.26" xfId="19915"/>
    <cellStyle name="_적격 _집행갑지 _공내역서-창호분개_수원율전조합_태평동도급내역(Rev.2)-12.26 2" xfId="19916"/>
    <cellStyle name="_적격 _집행갑지 _공내역서-창호분개_수정구 태평동 주상복합 실행내역 검토안" xfId="19917"/>
    <cellStyle name="_적격 _집행갑지 _공내역서-창호분개_수정구 태평동 주상복합 실행내역 검토안 2" xfId="19918"/>
    <cellStyle name="_적격 _집행갑지 _공내역서-창호분개_태평동 실행내역서" xfId="19919"/>
    <cellStyle name="_적격 _집행갑지 _공내역서-창호분개_태평동 실행내역서 2" xfId="19920"/>
    <cellStyle name="_적격 _집행갑지 _공내역서-창호분개_태평동도급내역(Rev.2)-12.26" xfId="19921"/>
    <cellStyle name="_적격 _집행갑지 _공내역서-창호분개_태평동도급내역(Rev.2)-12.26 2" xfId="19922"/>
    <cellStyle name="_적격 _집행갑지 _내역서(최초)" xfId="19987"/>
    <cellStyle name="_적격 _집행갑지 _내역서(최초) 2" xfId="19988"/>
    <cellStyle name="_적격 _집행갑지 _부대결과" xfId="19989"/>
    <cellStyle name="_적격 _집행갑지 _부대결과 2" xfId="19990"/>
    <cellStyle name="_적격 _집행갑지 _부대결과_Book1" xfId="19991"/>
    <cellStyle name="_적격 _집행갑지 _부대결과_Book1 2" xfId="19992"/>
    <cellStyle name="_적격 _집행갑지 _부대결과_Book1_내역서(최초)" xfId="19993"/>
    <cellStyle name="_적격 _집행갑지 _부대결과_Book1_내역서(최초) 2" xfId="19994"/>
    <cellStyle name="_적격 _집행갑지 _부대결과_Book1_설계내역서" xfId="19995"/>
    <cellStyle name="_적격 _집행갑지 _부대결과_Book1_설계내역서 2" xfId="19996"/>
    <cellStyle name="_적격 _집행갑지 _부대결과_Book1_설계내역서(2차)" xfId="19997"/>
    <cellStyle name="_적격 _집행갑지 _부대결과_Book1_설계내역서(2차) 2" xfId="19998"/>
    <cellStyle name="_적격 _집행갑지 _부대결과_P-(현리-신팔)" xfId="19999"/>
    <cellStyle name="_적격 _집행갑지 _부대결과_P-(현리-신팔) 2" xfId="20000"/>
    <cellStyle name="_적격 _집행갑지 _부대결과_P-(현리-신팔)_내역서(최초)" xfId="20001"/>
    <cellStyle name="_적격 _집행갑지 _부대결과_P-(현리-신팔)_내역서(최초) 2" xfId="20002"/>
    <cellStyle name="_적격 _집행갑지 _부대결과_P-(현리-신팔)_설계내역서" xfId="20003"/>
    <cellStyle name="_적격 _집행갑지 _부대결과_P-(현리-신팔)_설계내역서 2" xfId="20004"/>
    <cellStyle name="_적격 _집행갑지 _부대결과_P-(현리-신팔)_설계내역서(2차)" xfId="20005"/>
    <cellStyle name="_적격 _집행갑지 _부대결과_P-(현리-신팔)_설계내역서(2차) 2" xfId="20006"/>
    <cellStyle name="_적격 _집행갑지 _부대결과_내역서(최초)" xfId="20007"/>
    <cellStyle name="_적격 _집행갑지 _부대결과_내역서(최초) 2" xfId="20008"/>
    <cellStyle name="_적격 _집행갑지 _부대결과_설계내역서" xfId="20009"/>
    <cellStyle name="_적격 _집행갑지 _부대결과_설계내역서 2" xfId="20010"/>
    <cellStyle name="_적격 _집행갑지 _부대결과_설계내역서(2차)" xfId="20011"/>
    <cellStyle name="_적격 _집행갑지 _부대결과_설계내역서(2차) 2" xfId="20012"/>
    <cellStyle name="_적격 _집행갑지 _부대결과_현리-신팔도로설계" xfId="20013"/>
    <cellStyle name="_적격 _집행갑지 _부대결과_현리-신팔도로설계 2" xfId="20014"/>
    <cellStyle name="_적격 _집행갑지 _부대결과_현리-신팔도로설계_내역서(최초)" xfId="20015"/>
    <cellStyle name="_적격 _집행갑지 _부대결과_현리-신팔도로설계_내역서(최초) 2" xfId="20016"/>
    <cellStyle name="_적격 _집행갑지 _부대결과_현리-신팔도로설계_설계내역서" xfId="20017"/>
    <cellStyle name="_적격 _집행갑지 _부대결과_현리-신팔도로설계_설계내역서 2" xfId="20018"/>
    <cellStyle name="_적격 _집행갑지 _부대결과_현리-신팔도로설계_설계내역서(2차)" xfId="20019"/>
    <cellStyle name="_적격 _집행갑지 _부대결과_현리-신팔도로설계_설계내역서(2차) 2" xfId="20020"/>
    <cellStyle name="_적격 _집행갑지 _부대입찰특별조건및내역송부(최저가)" xfId="20021"/>
    <cellStyle name="_적격 _집행갑지 _부대입찰특별조건및내역송부(최저가) 2" xfId="20022"/>
    <cellStyle name="_적격 _집행갑지 _부대입찰특별조건및내역송부(최저가)_Book1" xfId="20023"/>
    <cellStyle name="_적격 _집행갑지 _부대입찰특별조건및내역송부(최저가)_Book1 2" xfId="20024"/>
    <cellStyle name="_적격 _집행갑지 _부대입찰특별조건및내역송부(최저가)_Book1_내역서(최초)" xfId="20025"/>
    <cellStyle name="_적격 _집행갑지 _부대입찰특별조건및내역송부(최저가)_Book1_내역서(최초) 2" xfId="20026"/>
    <cellStyle name="_적격 _집행갑지 _부대입찰특별조건및내역송부(최저가)_Book1_설계내역서" xfId="20027"/>
    <cellStyle name="_적격 _집행갑지 _부대입찰특별조건및내역송부(최저가)_Book1_설계내역서 2" xfId="20028"/>
    <cellStyle name="_적격 _집행갑지 _부대입찰특별조건및내역송부(최저가)_Book1_설계내역서(2차)" xfId="20029"/>
    <cellStyle name="_적격 _집행갑지 _부대입찰특별조건및내역송부(최저가)_Book1_설계내역서(2차) 2" xfId="20030"/>
    <cellStyle name="_적격 _집행갑지 _부대입찰특별조건및내역송부(최저가)_P-(현리-신팔)" xfId="20031"/>
    <cellStyle name="_적격 _집행갑지 _부대입찰특별조건및내역송부(최저가)_P-(현리-신팔) 2" xfId="20032"/>
    <cellStyle name="_적격 _집행갑지 _부대입찰특별조건및내역송부(최저가)_P-(현리-신팔)_내역서(최초)" xfId="20033"/>
    <cellStyle name="_적격 _집행갑지 _부대입찰특별조건및내역송부(최저가)_P-(현리-신팔)_내역서(최초) 2" xfId="20034"/>
    <cellStyle name="_적격 _집행갑지 _부대입찰특별조건및내역송부(최저가)_P-(현리-신팔)_설계내역서" xfId="20035"/>
    <cellStyle name="_적격 _집행갑지 _부대입찰특별조건및내역송부(최저가)_P-(현리-신팔)_설계내역서 2" xfId="20036"/>
    <cellStyle name="_적격 _집행갑지 _부대입찰특별조건및내역송부(최저가)_P-(현리-신팔)_설계내역서(2차)" xfId="20037"/>
    <cellStyle name="_적격 _집행갑지 _부대입찰특별조건및내역송부(최저가)_P-(현리-신팔)_설계내역서(2차) 2" xfId="20038"/>
    <cellStyle name="_적격 _집행갑지 _부대입찰특별조건및내역송부(최저가)_내역서(최초)" xfId="20039"/>
    <cellStyle name="_적격 _집행갑지 _부대입찰특별조건및내역송부(최저가)_내역서(최초) 2" xfId="20040"/>
    <cellStyle name="_적격 _집행갑지 _부대입찰특별조건및내역송부(최저가)_부대결과" xfId="20041"/>
    <cellStyle name="_적격 _집행갑지 _부대입찰특별조건및내역송부(최저가)_부대결과 2" xfId="20042"/>
    <cellStyle name="_적격 _집행갑지 _부대입찰특별조건및내역송부(최저가)_부대결과_Book1" xfId="20043"/>
    <cellStyle name="_적격 _집행갑지 _부대입찰특별조건및내역송부(최저가)_부대결과_Book1 2" xfId="20044"/>
    <cellStyle name="_적격 _집행갑지 _부대입찰특별조건및내역송부(최저가)_부대결과_Book1_내역서(최초)" xfId="20045"/>
    <cellStyle name="_적격 _집행갑지 _부대입찰특별조건및내역송부(최저가)_부대결과_Book1_내역서(최초) 2" xfId="20046"/>
    <cellStyle name="_적격 _집행갑지 _부대입찰특별조건및내역송부(최저가)_부대결과_Book1_설계내역서" xfId="20047"/>
    <cellStyle name="_적격 _집행갑지 _부대입찰특별조건및내역송부(최저가)_부대결과_Book1_설계내역서 2" xfId="20048"/>
    <cellStyle name="_적격 _집행갑지 _부대입찰특별조건및내역송부(최저가)_부대결과_Book1_설계내역서(2차)" xfId="20049"/>
    <cellStyle name="_적격 _집행갑지 _부대입찰특별조건및내역송부(최저가)_부대결과_Book1_설계내역서(2차) 2" xfId="20050"/>
    <cellStyle name="_적격 _집행갑지 _부대입찰특별조건및내역송부(최저가)_부대결과_P-(현리-신팔)" xfId="20051"/>
    <cellStyle name="_적격 _집행갑지 _부대입찰특별조건및내역송부(최저가)_부대결과_P-(현리-신팔) 2" xfId="20052"/>
    <cellStyle name="_적격 _집행갑지 _부대입찰특별조건및내역송부(최저가)_부대결과_P-(현리-신팔)_내역서(최초)" xfId="20053"/>
    <cellStyle name="_적격 _집행갑지 _부대입찰특별조건및내역송부(최저가)_부대결과_P-(현리-신팔)_내역서(최초) 2" xfId="20054"/>
    <cellStyle name="_적격 _집행갑지 _부대입찰특별조건및내역송부(최저가)_부대결과_P-(현리-신팔)_설계내역서" xfId="20055"/>
    <cellStyle name="_적격 _집행갑지 _부대입찰특별조건및내역송부(최저가)_부대결과_P-(현리-신팔)_설계내역서 2" xfId="20056"/>
    <cellStyle name="_적격 _집행갑지 _부대입찰특별조건및내역송부(최저가)_부대결과_P-(현리-신팔)_설계내역서(2차)" xfId="20057"/>
    <cellStyle name="_적격 _집행갑지 _부대입찰특별조건및내역송부(최저가)_부대결과_P-(현리-신팔)_설계내역서(2차) 2" xfId="20058"/>
    <cellStyle name="_적격 _집행갑지 _부대입찰특별조건및내역송부(최저가)_부대결과_내역서(최초)" xfId="20059"/>
    <cellStyle name="_적격 _집행갑지 _부대입찰특별조건및내역송부(최저가)_부대결과_내역서(최초) 2" xfId="20060"/>
    <cellStyle name="_적격 _집행갑지 _부대입찰특별조건및내역송부(최저가)_부대결과_설계내역서" xfId="20061"/>
    <cellStyle name="_적격 _집행갑지 _부대입찰특별조건및내역송부(최저가)_부대결과_설계내역서 2" xfId="20062"/>
    <cellStyle name="_적격 _집행갑지 _부대입찰특별조건및내역송부(최저가)_부대결과_설계내역서(2차)" xfId="20063"/>
    <cellStyle name="_적격 _집행갑지 _부대입찰특별조건및내역송부(최저가)_부대결과_설계내역서(2차) 2" xfId="20064"/>
    <cellStyle name="_적격 _집행갑지 _부대입찰특별조건및내역송부(최저가)_부대결과_현리-신팔도로설계" xfId="20065"/>
    <cellStyle name="_적격 _집행갑지 _부대입찰특별조건및내역송부(최저가)_부대결과_현리-신팔도로설계 2" xfId="20066"/>
    <cellStyle name="_적격 _집행갑지 _부대입찰특별조건및내역송부(최저가)_부대결과_현리-신팔도로설계_내역서(최초)" xfId="20067"/>
    <cellStyle name="_적격 _집행갑지 _부대입찰특별조건및내역송부(최저가)_부대결과_현리-신팔도로설계_내역서(최초) 2" xfId="20068"/>
    <cellStyle name="_적격 _집행갑지 _부대입찰특별조건및내역송부(최저가)_부대결과_현리-신팔도로설계_설계내역서" xfId="20069"/>
    <cellStyle name="_적격 _집행갑지 _부대입찰특별조건및내역송부(최저가)_부대결과_현리-신팔도로설계_설계내역서 2" xfId="20070"/>
    <cellStyle name="_적격 _집행갑지 _부대입찰특별조건및내역송부(최저가)_부대결과_현리-신팔도로설계_설계내역서(2차)" xfId="20071"/>
    <cellStyle name="_적격 _집행갑지 _부대입찰특별조건및내역송부(최저가)_부대결과_현리-신팔도로설계_설계내역서(2차) 2" xfId="20072"/>
    <cellStyle name="_적격 _집행갑지 _부대입찰특별조건및내역송부(최저가)_설계내역서" xfId="20073"/>
    <cellStyle name="_적격 _집행갑지 _부대입찰특별조건및내역송부(최저가)_설계내역서 2" xfId="20074"/>
    <cellStyle name="_적격 _집행갑지 _부대입찰특별조건및내역송부(최저가)_설계내역서(2차)" xfId="20075"/>
    <cellStyle name="_적격 _집행갑지 _부대입찰특별조건및내역송부(최저가)_설계내역서(2차) 2" xfId="20076"/>
    <cellStyle name="_적격 _집행갑지 _부대입찰특별조건및내역송부(최저가)_현리-신팔도로설계" xfId="20077"/>
    <cellStyle name="_적격 _집행갑지 _부대입찰특별조건및내역송부(최저가)_현리-신팔도로설계 2" xfId="20078"/>
    <cellStyle name="_적격 _집행갑지 _부대입찰특별조건및내역송부(최저가)_현리-신팔도로설계_내역서(최초)" xfId="20079"/>
    <cellStyle name="_적격 _집행갑지 _부대입찰특별조건및내역송부(최저가)_현리-신팔도로설계_내역서(최초) 2" xfId="20080"/>
    <cellStyle name="_적격 _집행갑지 _부대입찰특별조건및내역송부(최저가)_현리-신팔도로설계_설계내역서" xfId="20081"/>
    <cellStyle name="_적격 _집행갑지 _부대입찰특별조건및내역송부(최저가)_현리-신팔도로설계_설계내역서 2" xfId="20082"/>
    <cellStyle name="_적격 _집행갑지 _부대입찰특별조건및내역송부(최저가)_현리-신팔도로설계_설계내역서(2차)" xfId="20083"/>
    <cellStyle name="_적격 _집행갑지 _부대입찰특별조건및내역송부(최저가)_현리-신팔도로설계_설계내역서(2차) 2" xfId="20084"/>
    <cellStyle name="_적격 _집행갑지 _사병기숙사(Announcers booth)" xfId="20085"/>
    <cellStyle name="_적격 _집행갑지 _사병기숙사(Announcers booth) 2" xfId="20086"/>
    <cellStyle name="_적격 _집행갑지 _사병기숙사(Announcers booth)_53호견적최종" xfId="20087"/>
    <cellStyle name="_적격 _집행갑지 _사병기숙사(Announcers booth)_53호견적최종 2" xfId="20088"/>
    <cellStyle name="_적격 _집행갑지 _사병기숙사(Announcers booth)_R-0053" xfId="20089"/>
    <cellStyle name="_적격 _집행갑지 _사병기숙사(Announcers booth)_R-0053 2" xfId="20090"/>
    <cellStyle name="_적격 _집행갑지 _사병기숙사(Announcers booth)_R-0053ELEC대" xfId="20091"/>
    <cellStyle name="_적격 _집행갑지 _사병기숙사(Announcers booth)_R-0053ELEC대 2" xfId="20092"/>
    <cellStyle name="_적격 _집행갑지 _사병기숙사(Announcers booth)_R-0053SITE" xfId="20093"/>
    <cellStyle name="_적격 _집행갑지 _사병기숙사(Announcers booth)_R-0053SITE 2" xfId="20094"/>
    <cellStyle name="_적격 _집행갑지 _사본 - ☆태평동  도급내역" xfId="20095"/>
    <cellStyle name="_적격 _집행갑지 _사본 - ☆태평동  도급내역 2" xfId="20096"/>
    <cellStyle name="_적격 _집행갑지 _설계내역서" xfId="20097"/>
    <cellStyle name="_적격 _집행갑지 _설계내역서 2" xfId="20098"/>
    <cellStyle name="_적격 _집행갑지 _설계내역서(2차)" xfId="20099"/>
    <cellStyle name="_적격 _집행갑지 _설계내역서(2차) 2" xfId="20100"/>
    <cellStyle name="_적격 _집행갑지 _성남태평동설비공사" xfId="20101"/>
    <cellStyle name="_적격 _집행갑지 _성남태평동설비공사 2" xfId="20102"/>
    <cellStyle name="_적격 _집행갑지 _수원율전 실행내역" xfId="20103"/>
    <cellStyle name="_적격 _집행갑지 _수원율전 실행내역 2" xfId="20104"/>
    <cellStyle name="_적격 _집행갑지 _수원율전 실행내역 검토안" xfId="20105"/>
    <cellStyle name="_적격 _집행갑지 _수원율전 실행내역 검토안 2" xfId="20106"/>
    <cellStyle name="_적격 _집행갑지 _수원율전 실행내역 검토안_사본 - ☆태평동  도급내역" xfId="20107"/>
    <cellStyle name="_적격 _집행갑지 _수원율전 실행내역 검토안_사본 - ☆태평동  도급내역 2" xfId="20108"/>
    <cellStyle name="_적격 _집행갑지 _수원율전 실행내역 검토안_성남태평동설비공사" xfId="20109"/>
    <cellStyle name="_적격 _집행갑지 _수원율전 실행내역 검토안_성남태평동설비공사 2" xfId="20110"/>
    <cellStyle name="_적격 _집행갑지 _수원율전 실행내역 검토안_수원율전 실행내역" xfId="20111"/>
    <cellStyle name="_적격 _집행갑지 _수원율전 실행내역 검토안_수원율전 실행내역 2" xfId="20112"/>
    <cellStyle name="_적격 _집행갑지 _수원율전 실행내역 검토안_수원율전 실행내역 검토안" xfId="20113"/>
    <cellStyle name="_적격 _집행갑지 _수원율전 실행내역 검토안_수원율전 실행내역 검토안 2" xfId="20114"/>
    <cellStyle name="_적격 _집행갑지 _수원율전 실행내역 검토안_수원율전 실행내역 검토안_사본 - ☆태평동  도급내역" xfId="20115"/>
    <cellStyle name="_적격 _집행갑지 _수원율전 실행내역 검토안_수원율전 실행내역 검토안_사본 - ☆태평동  도급내역 2" xfId="20116"/>
    <cellStyle name="_적격 _집행갑지 _수원율전 실행내역 검토안_수원율전 실행내역 검토안_성남태평동설비공사" xfId="20117"/>
    <cellStyle name="_적격 _집행갑지 _수원율전 실행내역 검토안_수원율전 실행내역 검토안_성남태평동설비공사 2" xfId="20118"/>
    <cellStyle name="_적격 _집행갑지 _수원율전 실행내역 검토안_수원율전 실행내역 검토안_수정구 태평동 주상복합 실행내역 검토안" xfId="20119"/>
    <cellStyle name="_적격 _집행갑지 _수원율전 실행내역 검토안_수원율전 실행내역 검토안_수정구 태평동 주상복합 실행내역 검토안 2" xfId="20120"/>
    <cellStyle name="_적격 _집행갑지 _수원율전 실행내역 검토안_수원율전 실행내역 검토안_태평동 실행내역서" xfId="20121"/>
    <cellStyle name="_적격 _집행갑지 _수원율전 실행내역 검토안_수원율전 실행내역 검토안_태평동 실행내역서 2" xfId="20122"/>
    <cellStyle name="_적격 _집행갑지 _수원율전 실행내역 검토안_수원율전 실행내역 검토안_태평동도급내역(Rev.2)-12.26" xfId="20123"/>
    <cellStyle name="_적격 _집행갑지 _수원율전 실행내역 검토안_수원율전 실행내역 검토안_태평동도급내역(Rev.2)-12.26 2" xfId="20124"/>
    <cellStyle name="_적격 _집행갑지 _수원율전 실행내역 검토안_수정구 태평동 주상복합 실행내역 검토안" xfId="20125"/>
    <cellStyle name="_적격 _집행갑지 _수원율전 실행내역 검토안_수정구 태평동 주상복합 실행내역 검토안 2" xfId="20126"/>
    <cellStyle name="_적격 _집행갑지 _수원율전 실행내역 검토안_태평동 실행내역서" xfId="20127"/>
    <cellStyle name="_적격 _집행갑지 _수원율전 실행내역 검토안_태평동 실행내역서 2" xfId="20128"/>
    <cellStyle name="_적격 _집행갑지 _수원율전 실행내역 검토안_태평동도급내역(Rev.2)-12.26" xfId="20129"/>
    <cellStyle name="_적격 _집행갑지 _수원율전 실행내역 검토안_태평동도급내역(Rev.2)-12.26 2" xfId="20130"/>
    <cellStyle name="_적격 _집행갑지 _수원율전조합" xfId="20131"/>
    <cellStyle name="_적격 _집행갑지 _수원율전조합 2" xfId="20132"/>
    <cellStyle name="_적격 _집행갑지 _수원율전조합_사본 - ☆태평동  도급내역" xfId="20133"/>
    <cellStyle name="_적격 _집행갑지 _수원율전조합_사본 - ☆태평동  도급내역 2" xfId="20134"/>
    <cellStyle name="_적격 _집행갑지 _수원율전조합_성남태평동설비공사" xfId="20135"/>
    <cellStyle name="_적격 _집행갑지 _수원율전조합_성남태평동설비공사 2" xfId="20136"/>
    <cellStyle name="_적격 _집행갑지 _수원율전조합_수원율전 실행내역" xfId="20137"/>
    <cellStyle name="_적격 _집행갑지 _수원율전조합_수원율전 실행내역 2" xfId="20138"/>
    <cellStyle name="_적격 _집행갑지 _수원율전조합_수원율전 실행내역 검토안" xfId="20139"/>
    <cellStyle name="_적격 _집행갑지 _수원율전조합_수원율전 실행내역 검토안 2" xfId="20140"/>
    <cellStyle name="_적격 _집행갑지 _수원율전조합_수원율전 실행내역 검토안_사본 - ☆태평동  도급내역" xfId="20141"/>
    <cellStyle name="_적격 _집행갑지 _수원율전조합_수원율전 실행내역 검토안_사본 - ☆태평동  도급내역 2" xfId="20142"/>
    <cellStyle name="_적격 _집행갑지 _수원율전조합_수원율전 실행내역 검토안_성남태평동설비공사" xfId="20143"/>
    <cellStyle name="_적격 _집행갑지 _수원율전조합_수원율전 실행내역 검토안_성남태평동설비공사 2" xfId="20144"/>
    <cellStyle name="_적격 _집행갑지 _수원율전조합_수원율전 실행내역 검토안_수정구 태평동 주상복합 실행내역 검토안" xfId="20145"/>
    <cellStyle name="_적격 _집행갑지 _수원율전조합_수원율전 실행내역 검토안_수정구 태평동 주상복합 실행내역 검토안 2" xfId="20146"/>
    <cellStyle name="_적격 _집행갑지 _수원율전조합_수원율전 실행내역 검토안_태평동 실행내역서" xfId="20147"/>
    <cellStyle name="_적격 _집행갑지 _수원율전조합_수원율전 실행내역 검토안_태평동 실행내역서 2" xfId="20148"/>
    <cellStyle name="_적격 _집행갑지 _수원율전조합_수원율전 실행내역 검토안_태평동도급내역(Rev.2)-12.26" xfId="20149"/>
    <cellStyle name="_적격 _집행갑지 _수원율전조합_수원율전 실행내역 검토안_태평동도급내역(Rev.2)-12.26 2" xfId="20150"/>
    <cellStyle name="_적격 _집행갑지 _수원율전조합_수정구 태평동 주상복합 실행내역 검토안" xfId="20151"/>
    <cellStyle name="_적격 _집행갑지 _수원율전조합_수정구 태평동 주상복합 실행내역 검토안 2" xfId="20152"/>
    <cellStyle name="_적격 _집행갑지 _수원율전조합_태평동 실행내역서" xfId="20153"/>
    <cellStyle name="_적격 _집행갑지 _수원율전조합_태평동 실행내역서 2" xfId="20154"/>
    <cellStyle name="_적격 _집행갑지 _수원율전조합_태평동도급내역(Rev.2)-12.26" xfId="20155"/>
    <cellStyle name="_적격 _집행갑지 _수원율전조합_태평동도급내역(Rev.2)-12.26 2" xfId="20156"/>
    <cellStyle name="_적격 _집행갑지 _수정구 태평동 주상복합 실행내역 검토안" xfId="20157"/>
    <cellStyle name="_적격 _집행갑지 _수정구 태평동 주상복합 실행내역 검토안 2" xfId="20158"/>
    <cellStyle name="_적격 _집행갑지 _지붕공사" xfId="20159"/>
    <cellStyle name="_적격 _집행갑지 _지붕공사 2" xfId="20160"/>
    <cellStyle name="_적격 _집행갑지 _지붕공사_1.흙막이공사 - 견적대비조서(입찰)" xfId="20161"/>
    <cellStyle name="_적격 _집행갑지 _지붕공사_1.흙막이공사 - 견적대비조서(입찰) 2" xfId="20162"/>
    <cellStyle name="_적격 _집행갑지 _지붕공사_사본 - ☆태평동  도급내역" xfId="20163"/>
    <cellStyle name="_적격 _집행갑지 _지붕공사_사본 - ☆태평동  도급내역 2" xfId="20164"/>
    <cellStyle name="_적격 _집행갑지 _지붕공사_성남태평동설비공사" xfId="20165"/>
    <cellStyle name="_적격 _집행갑지 _지붕공사_성남태평동설비공사 2" xfId="20166"/>
    <cellStyle name="_적격 _집행갑지 _지붕공사_수원율전 실행내역" xfId="20167"/>
    <cellStyle name="_적격 _집행갑지 _지붕공사_수원율전 실행내역 2" xfId="20168"/>
    <cellStyle name="_적격 _집행갑지 _지붕공사_수원율전 실행내역 검토안" xfId="20169"/>
    <cellStyle name="_적격 _집행갑지 _지붕공사_수원율전 실행내역 검토안 2" xfId="20170"/>
    <cellStyle name="_적격 _집행갑지 _지붕공사_수원율전 실행내역 검토안_사본 - ☆태평동  도급내역" xfId="20171"/>
    <cellStyle name="_적격 _집행갑지 _지붕공사_수원율전 실행내역 검토안_사본 - ☆태평동  도급내역 2" xfId="20172"/>
    <cellStyle name="_적격 _집행갑지 _지붕공사_수원율전 실행내역 검토안_성남태평동설비공사" xfId="20173"/>
    <cellStyle name="_적격 _집행갑지 _지붕공사_수원율전 실행내역 검토안_성남태평동설비공사 2" xfId="20174"/>
    <cellStyle name="_적격 _집행갑지 _지붕공사_수원율전 실행내역 검토안_수원율전 실행내역" xfId="20175"/>
    <cellStyle name="_적격 _집행갑지 _지붕공사_수원율전 실행내역 검토안_수원율전 실행내역 2" xfId="20176"/>
    <cellStyle name="_적격 _집행갑지 _지붕공사_수원율전 실행내역 검토안_수원율전 실행내역 검토안" xfId="20177"/>
    <cellStyle name="_적격 _집행갑지 _지붕공사_수원율전 실행내역 검토안_수원율전 실행내역 검토안 2" xfId="20178"/>
    <cellStyle name="_적격 _집행갑지 _지붕공사_수원율전 실행내역 검토안_수원율전 실행내역 검토안_사본 - ☆태평동  도급내역" xfId="20179"/>
    <cellStyle name="_적격 _집행갑지 _지붕공사_수원율전 실행내역 검토안_수원율전 실행내역 검토안_사본 - ☆태평동  도급내역 2" xfId="20180"/>
    <cellStyle name="_적격 _집행갑지 _지붕공사_수원율전 실행내역 검토안_수원율전 실행내역 검토안_성남태평동설비공사" xfId="20181"/>
    <cellStyle name="_적격 _집행갑지 _지붕공사_수원율전 실행내역 검토안_수원율전 실행내역 검토안_성남태평동설비공사 2" xfId="20182"/>
    <cellStyle name="_적격 _집행갑지 _지붕공사_수원율전 실행내역 검토안_수원율전 실행내역 검토안_수정구 태평동 주상복합 실행내역 검토안" xfId="20183"/>
    <cellStyle name="_적격 _집행갑지 _지붕공사_수원율전 실행내역 검토안_수원율전 실행내역 검토안_수정구 태평동 주상복합 실행내역 검토안 2" xfId="20184"/>
    <cellStyle name="_적격 _집행갑지 _지붕공사_수원율전 실행내역 검토안_수원율전 실행내역 검토안_태평동 실행내역서" xfId="20185"/>
    <cellStyle name="_적격 _집행갑지 _지붕공사_수원율전 실행내역 검토안_수원율전 실행내역 검토안_태평동 실행내역서 2" xfId="20186"/>
    <cellStyle name="_적격 _집행갑지 _지붕공사_수원율전 실행내역 검토안_수원율전 실행내역 검토안_태평동도급내역(Rev.2)-12.26" xfId="20187"/>
    <cellStyle name="_적격 _집행갑지 _지붕공사_수원율전 실행내역 검토안_수원율전 실행내역 검토안_태평동도급내역(Rev.2)-12.26 2" xfId="20188"/>
    <cellStyle name="_적격 _집행갑지 _지붕공사_수원율전 실행내역 검토안_수정구 태평동 주상복합 실행내역 검토안" xfId="20189"/>
    <cellStyle name="_적격 _집행갑지 _지붕공사_수원율전 실행내역 검토안_수정구 태평동 주상복합 실행내역 검토안 2" xfId="20190"/>
    <cellStyle name="_적격 _집행갑지 _지붕공사_수원율전 실행내역 검토안_태평동 실행내역서" xfId="20191"/>
    <cellStyle name="_적격 _집행갑지 _지붕공사_수원율전 실행내역 검토안_태평동 실행내역서 2" xfId="20192"/>
    <cellStyle name="_적격 _집행갑지 _지붕공사_수원율전 실행내역 검토안_태평동도급내역(Rev.2)-12.26" xfId="20193"/>
    <cellStyle name="_적격 _집행갑지 _지붕공사_수원율전 실행내역 검토안_태평동도급내역(Rev.2)-12.26 2" xfId="20194"/>
    <cellStyle name="_적격 _집행갑지 _지붕공사_수원율전조합" xfId="20195"/>
    <cellStyle name="_적격 _집행갑지 _지붕공사_수원율전조합 2" xfId="20196"/>
    <cellStyle name="_적격 _집행갑지 _지붕공사_수원율전조합_사본 - ☆태평동  도급내역" xfId="20197"/>
    <cellStyle name="_적격 _집행갑지 _지붕공사_수원율전조합_사본 - ☆태평동  도급내역 2" xfId="20198"/>
    <cellStyle name="_적격 _집행갑지 _지붕공사_수원율전조합_성남태평동설비공사" xfId="20199"/>
    <cellStyle name="_적격 _집행갑지 _지붕공사_수원율전조합_성남태평동설비공사 2" xfId="20200"/>
    <cellStyle name="_적격 _집행갑지 _지붕공사_수원율전조합_수원율전 실행내역" xfId="20201"/>
    <cellStyle name="_적격 _집행갑지 _지붕공사_수원율전조합_수원율전 실행내역 2" xfId="20202"/>
    <cellStyle name="_적격 _집행갑지 _지붕공사_수원율전조합_수원율전 실행내역 검토안" xfId="20203"/>
    <cellStyle name="_적격 _집행갑지 _지붕공사_수원율전조합_수원율전 실행내역 검토안 2" xfId="20204"/>
    <cellStyle name="_적격 _집행갑지 _지붕공사_수원율전조합_수원율전 실행내역 검토안_사본 - ☆태평동  도급내역" xfId="20205"/>
    <cellStyle name="_적격 _집행갑지 _지붕공사_수원율전조합_수원율전 실행내역 검토안_사본 - ☆태평동  도급내역 2" xfId="20206"/>
    <cellStyle name="_적격 _집행갑지 _지붕공사_수원율전조합_수원율전 실행내역 검토안_성남태평동설비공사" xfId="20207"/>
    <cellStyle name="_적격 _집행갑지 _지붕공사_수원율전조합_수원율전 실행내역 검토안_성남태평동설비공사 2" xfId="20208"/>
    <cellStyle name="_적격 _집행갑지 _지붕공사_수원율전조합_수원율전 실행내역 검토안_수정구 태평동 주상복합 실행내역 검토안" xfId="20209"/>
    <cellStyle name="_적격 _집행갑지 _지붕공사_수원율전조합_수원율전 실행내역 검토안_수정구 태평동 주상복합 실행내역 검토안 2" xfId="20210"/>
    <cellStyle name="_적격 _집행갑지 _지붕공사_수원율전조합_수원율전 실행내역 검토안_태평동 실행내역서" xfId="20211"/>
    <cellStyle name="_적격 _집행갑지 _지붕공사_수원율전조합_수원율전 실행내역 검토안_태평동 실행내역서 2" xfId="20212"/>
    <cellStyle name="_적격 _집행갑지 _지붕공사_수원율전조합_수원율전 실행내역 검토안_태평동도급내역(Rev.2)-12.26" xfId="20213"/>
    <cellStyle name="_적격 _집행갑지 _지붕공사_수원율전조합_수원율전 실행내역 검토안_태평동도급내역(Rev.2)-12.26 2" xfId="20214"/>
    <cellStyle name="_적격 _집행갑지 _지붕공사_수원율전조합_수정구 태평동 주상복합 실행내역 검토안" xfId="20215"/>
    <cellStyle name="_적격 _집행갑지 _지붕공사_수원율전조합_수정구 태평동 주상복합 실행내역 검토안 2" xfId="20216"/>
    <cellStyle name="_적격 _집행갑지 _지붕공사_수원율전조합_태평동 실행내역서" xfId="20217"/>
    <cellStyle name="_적격 _집행갑지 _지붕공사_수원율전조합_태평동 실행내역서 2" xfId="20218"/>
    <cellStyle name="_적격 _집행갑지 _지붕공사_수원율전조합_태평동도급내역(Rev.2)-12.26" xfId="20219"/>
    <cellStyle name="_적격 _집행갑지 _지붕공사_수원율전조합_태평동도급내역(Rev.2)-12.26 2" xfId="20220"/>
    <cellStyle name="_적격 _집행갑지 _지붕공사_수정구 태평동 주상복합 실행내역 검토안" xfId="20221"/>
    <cellStyle name="_적격 _집행갑지 _지붕공사_수정구 태평동 주상복합 실행내역 검토안 2" xfId="20222"/>
    <cellStyle name="_적격 _집행갑지 _지붕공사_태평동 실행내역서" xfId="20223"/>
    <cellStyle name="_적격 _집행갑지 _지붕공사_태평동 실행내역서 2" xfId="20224"/>
    <cellStyle name="_적격 _집행갑지 _지붕공사_태평동도급내역(Rev.2)-12.26" xfId="20225"/>
    <cellStyle name="_적격 _집행갑지 _지붕공사_태평동도급내역(Rev.2)-12.26 2" xfId="20226"/>
    <cellStyle name="_적격 _집행갑지 _태평동 실행내역서" xfId="20227"/>
    <cellStyle name="_적격 _집행갑지 _태평동 실행내역서 2" xfId="20228"/>
    <cellStyle name="_적격 _집행갑지 _태평동도급내역(Rev.2)-12.26" xfId="20229"/>
    <cellStyle name="_적격 _집행갑지 _태평동도급내역(Rev.2)-12.26 2" xfId="20230"/>
    <cellStyle name="_적격 _집행갑지 _투찰" xfId="20231"/>
    <cellStyle name="_적격 _집행갑지 _투찰 2" xfId="20232"/>
    <cellStyle name="_적격 _집행갑지 _투찰_Book1" xfId="20233"/>
    <cellStyle name="_적격 _집행갑지 _투찰_Book1 2" xfId="20234"/>
    <cellStyle name="_적격 _집행갑지 _투찰_Book1_내역서(최초)" xfId="20235"/>
    <cellStyle name="_적격 _집행갑지 _투찰_Book1_내역서(최초) 2" xfId="20236"/>
    <cellStyle name="_적격 _집행갑지 _투찰_Book1_설계내역서" xfId="20237"/>
    <cellStyle name="_적격 _집행갑지 _투찰_Book1_설계내역서 2" xfId="20238"/>
    <cellStyle name="_적격 _집행갑지 _투찰_Book1_설계내역서(2차)" xfId="20239"/>
    <cellStyle name="_적격 _집행갑지 _투찰_Book1_설계내역서(2차) 2" xfId="20240"/>
    <cellStyle name="_적격 _집행갑지 _투찰_P-(현리-신팔)" xfId="20241"/>
    <cellStyle name="_적격 _집행갑지 _투찰_P-(현리-신팔) 2" xfId="20242"/>
    <cellStyle name="_적격 _집행갑지 _투찰_P-(현리-신팔)_내역서(최초)" xfId="20243"/>
    <cellStyle name="_적격 _집행갑지 _투찰_P-(현리-신팔)_내역서(최초) 2" xfId="20244"/>
    <cellStyle name="_적격 _집행갑지 _투찰_P-(현리-신팔)_설계내역서" xfId="20245"/>
    <cellStyle name="_적격 _집행갑지 _투찰_P-(현리-신팔)_설계내역서 2" xfId="20246"/>
    <cellStyle name="_적격 _집행갑지 _투찰_P-(현리-신팔)_설계내역서(2차)" xfId="20247"/>
    <cellStyle name="_적격 _집행갑지 _투찰_P-(현리-신팔)_설계내역서(2차) 2" xfId="20248"/>
    <cellStyle name="_적격 _집행갑지 _투찰_내역서(최초)" xfId="20249"/>
    <cellStyle name="_적격 _집행갑지 _투찰_내역서(최초) 2" xfId="20250"/>
    <cellStyle name="_적격 _집행갑지 _투찰_부대결과" xfId="20251"/>
    <cellStyle name="_적격 _집행갑지 _투찰_부대결과 2" xfId="20252"/>
    <cellStyle name="_적격 _집행갑지 _투찰_부대결과_Book1" xfId="20253"/>
    <cellStyle name="_적격 _집행갑지 _투찰_부대결과_Book1 2" xfId="20254"/>
    <cellStyle name="_적격 _집행갑지 _투찰_부대결과_Book1_내역서(최초)" xfId="20255"/>
    <cellStyle name="_적격 _집행갑지 _투찰_부대결과_Book1_내역서(최초) 2" xfId="20256"/>
    <cellStyle name="_적격 _집행갑지 _투찰_부대결과_Book1_설계내역서" xfId="20257"/>
    <cellStyle name="_적격 _집행갑지 _투찰_부대결과_Book1_설계내역서 2" xfId="20258"/>
    <cellStyle name="_적격 _집행갑지 _투찰_부대결과_Book1_설계내역서(2차)" xfId="20259"/>
    <cellStyle name="_적격 _집행갑지 _투찰_부대결과_Book1_설계내역서(2차) 2" xfId="20260"/>
    <cellStyle name="_적격 _집행갑지 _투찰_부대결과_P-(현리-신팔)" xfId="20261"/>
    <cellStyle name="_적격 _집행갑지 _투찰_부대결과_P-(현리-신팔) 2" xfId="20262"/>
    <cellStyle name="_적격 _집행갑지 _투찰_부대결과_P-(현리-신팔)_내역서(최초)" xfId="20263"/>
    <cellStyle name="_적격 _집행갑지 _투찰_부대결과_P-(현리-신팔)_내역서(최초) 2" xfId="20264"/>
    <cellStyle name="_적격 _집행갑지 _투찰_부대결과_P-(현리-신팔)_설계내역서" xfId="20265"/>
    <cellStyle name="_적격 _집행갑지 _투찰_부대결과_P-(현리-신팔)_설계내역서 2" xfId="20266"/>
    <cellStyle name="_적격 _집행갑지 _투찰_부대결과_P-(현리-신팔)_설계내역서(2차)" xfId="20267"/>
    <cellStyle name="_적격 _집행갑지 _투찰_부대결과_P-(현리-신팔)_설계내역서(2차) 2" xfId="20268"/>
    <cellStyle name="_적격 _집행갑지 _투찰_부대결과_내역서(최초)" xfId="20269"/>
    <cellStyle name="_적격 _집행갑지 _투찰_부대결과_내역서(최초) 2" xfId="20270"/>
    <cellStyle name="_적격 _집행갑지 _투찰_부대결과_설계내역서" xfId="20271"/>
    <cellStyle name="_적격 _집행갑지 _투찰_부대결과_설계내역서 2" xfId="20272"/>
    <cellStyle name="_적격 _집행갑지 _투찰_부대결과_설계내역서(2차)" xfId="20273"/>
    <cellStyle name="_적격 _집행갑지 _투찰_부대결과_설계내역서(2차) 2" xfId="20274"/>
    <cellStyle name="_적격 _집행갑지 _투찰_부대결과_현리-신팔도로설계" xfId="20275"/>
    <cellStyle name="_적격 _집행갑지 _투찰_부대결과_현리-신팔도로설계 2" xfId="20276"/>
    <cellStyle name="_적격 _집행갑지 _투찰_부대결과_현리-신팔도로설계_내역서(최초)" xfId="20277"/>
    <cellStyle name="_적격 _집행갑지 _투찰_부대결과_현리-신팔도로설계_내역서(최초) 2" xfId="20278"/>
    <cellStyle name="_적격 _집행갑지 _투찰_부대결과_현리-신팔도로설계_설계내역서" xfId="20279"/>
    <cellStyle name="_적격 _집행갑지 _투찰_부대결과_현리-신팔도로설계_설계내역서 2" xfId="20280"/>
    <cellStyle name="_적격 _집행갑지 _투찰_부대결과_현리-신팔도로설계_설계내역서(2차)" xfId="20281"/>
    <cellStyle name="_적격 _집행갑지 _투찰_부대결과_현리-신팔도로설계_설계내역서(2차) 2" xfId="20282"/>
    <cellStyle name="_적격 _집행갑지 _투찰_설계내역서" xfId="20283"/>
    <cellStyle name="_적격 _집행갑지 _투찰_설계내역서 2" xfId="20284"/>
    <cellStyle name="_적격 _집행갑지 _투찰_설계내역서(2차)" xfId="20285"/>
    <cellStyle name="_적격 _집행갑지 _투찰_설계내역서(2차) 2" xfId="20286"/>
    <cellStyle name="_적격 _집행갑지 _투찰_현리-신팔도로설계" xfId="20287"/>
    <cellStyle name="_적격 _집행갑지 _투찰_현리-신팔도로설계 2" xfId="20288"/>
    <cellStyle name="_적격 _집행갑지 _투찰_현리-신팔도로설계_내역서(최초)" xfId="20289"/>
    <cellStyle name="_적격 _집행갑지 _투찰_현리-신팔도로설계_내역서(최초) 2" xfId="20290"/>
    <cellStyle name="_적격 _집행갑지 _투찰_현리-신팔도로설계_설계내역서" xfId="20291"/>
    <cellStyle name="_적격 _집행갑지 _투찰_현리-신팔도로설계_설계내역서 2" xfId="20292"/>
    <cellStyle name="_적격 _집행갑지 _투찰_현리-신팔도로설계_설계내역서(2차)" xfId="20293"/>
    <cellStyle name="_적격 _집행갑지 _투찰_현리-신팔도로설계_설계내역서(2차) 2" xfId="20294"/>
    <cellStyle name="_적격 _집행갑지 _현리-신팔도로설계" xfId="20295"/>
    <cellStyle name="_적격 _집행갑지 _현리-신팔도로설계 2" xfId="20296"/>
    <cellStyle name="_적격 _집행갑지 _현리-신팔도로설계_내역서(최초)" xfId="20297"/>
    <cellStyle name="_적격 _집행갑지 _현리-신팔도로설계_내역서(최초) 2" xfId="20298"/>
    <cellStyle name="_적격 _집행갑지 _현리-신팔도로설계_설계내역서" xfId="20299"/>
    <cellStyle name="_적격 _집행갑지 _현리-신팔도로설계_설계내역서 2" xfId="20300"/>
    <cellStyle name="_적격 _집행갑지 _현리-신팔도로설계_설계내역서(2차)" xfId="20301"/>
    <cellStyle name="_적격 _집행갑지 _현리-신팔도로설계_설계내역서(2차) 2" xfId="20302"/>
    <cellStyle name="_적격 _집행내역서(Rev.0)" xfId="20303"/>
    <cellStyle name="_적격 _집행내역서(Rev.0) 2" xfId="20304"/>
    <cellStyle name="_적격 _집행내역서(Rev.0)_Book2" xfId="20305"/>
    <cellStyle name="_적격 _집행내역서(Rev.0)_Book2 2" xfId="20306"/>
    <cellStyle name="_적격 _집행내역서(Rev.0)_Book4" xfId="20307"/>
    <cellStyle name="_적격 _집행내역서(Rev.0)_Book4 2" xfId="20308"/>
    <cellStyle name="_적격 _태평동 실행내역서" xfId="20309"/>
    <cellStyle name="_적격 _태평동 실행내역서 2" xfId="20310"/>
    <cellStyle name="_적격 _태평동도급내역(Rev.2)-12.26" xfId="20311"/>
    <cellStyle name="_적격 _태평동도급내역(Rev.2)-12.26 2" xfId="20312"/>
    <cellStyle name="_적격 _통영점공조및위생" xfId="20313"/>
    <cellStyle name="_적격 _통영점공조및위생 2" xfId="20314"/>
    <cellStyle name="_적격 _통영점공조및위생_내역서(건설사)" xfId="20315"/>
    <cellStyle name="_적격 _통영점공조및위생_내역서(건설사) 2" xfId="20316"/>
    <cellStyle name="_적격 _통영점공조및위생_내역서(작업)" xfId="20317"/>
    <cellStyle name="_적격 _통영점공조및위생_내역서(작업) 2" xfId="20318"/>
    <cellStyle name="_적격 _투찰" xfId="20319"/>
    <cellStyle name="_적격 _투찰 2" xfId="20320"/>
    <cellStyle name="_적격 _투찰_Book1" xfId="20321"/>
    <cellStyle name="_적격 _투찰_Book1 2" xfId="20322"/>
    <cellStyle name="_적격 _투찰_Book1_내역서(최초)" xfId="20323"/>
    <cellStyle name="_적격 _투찰_Book1_내역서(최초) 2" xfId="20324"/>
    <cellStyle name="_적격 _투찰_Book1_설계내역서" xfId="20325"/>
    <cellStyle name="_적격 _투찰_Book1_설계내역서 2" xfId="20326"/>
    <cellStyle name="_적격 _투찰_Book1_설계내역서(2차)" xfId="20327"/>
    <cellStyle name="_적격 _투찰_Book1_설계내역서(2차) 2" xfId="20328"/>
    <cellStyle name="_적격 _투찰_P-(현리-신팔)" xfId="20329"/>
    <cellStyle name="_적격 _투찰_P-(현리-신팔) 2" xfId="20330"/>
    <cellStyle name="_적격 _투찰_P-(현리-신팔)_내역서(최초)" xfId="20331"/>
    <cellStyle name="_적격 _투찰_P-(현리-신팔)_내역서(최초) 2" xfId="20332"/>
    <cellStyle name="_적격 _투찰_P-(현리-신팔)_설계내역서" xfId="20333"/>
    <cellStyle name="_적격 _투찰_P-(현리-신팔)_설계내역서 2" xfId="20334"/>
    <cellStyle name="_적격 _투찰_P-(현리-신팔)_설계내역서(2차)" xfId="20335"/>
    <cellStyle name="_적격 _투찰_P-(현리-신팔)_설계내역서(2차) 2" xfId="20336"/>
    <cellStyle name="_적격 _투찰_내역서(최초)" xfId="20337"/>
    <cellStyle name="_적격 _투찰_내역서(최초) 2" xfId="20338"/>
    <cellStyle name="_적격 _투찰_부대결과" xfId="20339"/>
    <cellStyle name="_적격 _투찰_부대결과 2" xfId="20340"/>
    <cellStyle name="_적격 _투찰_부대결과_Book1" xfId="20341"/>
    <cellStyle name="_적격 _투찰_부대결과_Book1 2" xfId="20342"/>
    <cellStyle name="_적격 _투찰_부대결과_Book1_내역서(최초)" xfId="20343"/>
    <cellStyle name="_적격 _투찰_부대결과_Book1_내역서(최초) 2" xfId="20344"/>
    <cellStyle name="_적격 _투찰_부대결과_Book1_설계내역서" xfId="20345"/>
    <cellStyle name="_적격 _투찰_부대결과_Book1_설계내역서 2" xfId="20346"/>
    <cellStyle name="_적격 _투찰_부대결과_Book1_설계내역서(2차)" xfId="20347"/>
    <cellStyle name="_적격 _투찰_부대결과_Book1_설계내역서(2차) 2" xfId="20348"/>
    <cellStyle name="_적격 _투찰_부대결과_P-(현리-신팔)" xfId="20349"/>
    <cellStyle name="_적격 _투찰_부대결과_P-(현리-신팔) 2" xfId="20350"/>
    <cellStyle name="_적격 _투찰_부대결과_P-(현리-신팔)_내역서(최초)" xfId="20351"/>
    <cellStyle name="_적격 _투찰_부대결과_P-(현리-신팔)_내역서(최초) 2" xfId="20352"/>
    <cellStyle name="_적격 _투찰_부대결과_P-(현리-신팔)_설계내역서" xfId="20353"/>
    <cellStyle name="_적격 _투찰_부대결과_P-(현리-신팔)_설계내역서 2" xfId="20354"/>
    <cellStyle name="_적격 _투찰_부대결과_P-(현리-신팔)_설계내역서(2차)" xfId="20355"/>
    <cellStyle name="_적격 _투찰_부대결과_P-(현리-신팔)_설계내역서(2차) 2" xfId="20356"/>
    <cellStyle name="_적격 _투찰_부대결과_내역서(최초)" xfId="20357"/>
    <cellStyle name="_적격 _투찰_부대결과_내역서(최초) 2" xfId="20358"/>
    <cellStyle name="_적격 _투찰_부대결과_설계내역서" xfId="20359"/>
    <cellStyle name="_적격 _투찰_부대결과_설계내역서 2" xfId="20360"/>
    <cellStyle name="_적격 _투찰_부대결과_설계내역서(2차)" xfId="20361"/>
    <cellStyle name="_적격 _투찰_부대결과_설계내역서(2차) 2" xfId="20362"/>
    <cellStyle name="_적격 _투찰_부대결과_현리-신팔도로설계" xfId="20363"/>
    <cellStyle name="_적격 _투찰_부대결과_현리-신팔도로설계 2" xfId="20364"/>
    <cellStyle name="_적격 _투찰_부대결과_현리-신팔도로설계_내역서(최초)" xfId="20365"/>
    <cellStyle name="_적격 _투찰_부대결과_현리-신팔도로설계_내역서(최초) 2" xfId="20366"/>
    <cellStyle name="_적격 _투찰_부대결과_현리-신팔도로설계_설계내역서" xfId="20367"/>
    <cellStyle name="_적격 _투찰_부대결과_현리-신팔도로설계_설계내역서 2" xfId="20368"/>
    <cellStyle name="_적격 _투찰_부대결과_현리-신팔도로설계_설계내역서(2차)" xfId="20369"/>
    <cellStyle name="_적격 _투찰_부대결과_현리-신팔도로설계_설계내역서(2차) 2" xfId="20370"/>
    <cellStyle name="_적격 _투찰_설계내역서" xfId="20371"/>
    <cellStyle name="_적격 _투찰_설계내역서 2" xfId="20372"/>
    <cellStyle name="_적격 _투찰_설계내역서(2차)" xfId="20373"/>
    <cellStyle name="_적격 _투찰_설계내역서(2차) 2" xfId="20374"/>
    <cellStyle name="_적격 _투찰_현리-신팔도로설계" xfId="20375"/>
    <cellStyle name="_적격 _투찰_현리-신팔도로설계 2" xfId="20376"/>
    <cellStyle name="_적격 _투찰_현리-신팔도로설계_내역서(최초)" xfId="20377"/>
    <cellStyle name="_적격 _투찰_현리-신팔도로설계_내역서(최초) 2" xfId="20378"/>
    <cellStyle name="_적격 _투찰_현리-신팔도로설계_설계내역서" xfId="20379"/>
    <cellStyle name="_적격 _투찰_현리-신팔도로설계_설계내역서 2" xfId="20380"/>
    <cellStyle name="_적격 _투찰_현리-신팔도로설계_설계내역서(2차)" xfId="20381"/>
    <cellStyle name="_적격 _투찰_현리-신팔도로설계_설계내역서(2차) 2" xfId="20382"/>
    <cellStyle name="_적격 _파주시금촌(2)지구C2BL풍림APT(1001)-공" xfId="20383"/>
    <cellStyle name="_적격 _파주시금촌(2)지구C2BL풍림APT(1001)-공 2" xfId="20384"/>
    <cellStyle name="_적격 _파주시금촌집행(R2)-상가제외" xfId="20385"/>
    <cellStyle name="_적격 _파주시금촌집행(R2)-상가제외 2" xfId="20386"/>
    <cellStyle name="_적격 _현리-신팔도로설계" xfId="20387"/>
    <cellStyle name="_적격 _현리-신팔도로설계 2" xfId="20388"/>
    <cellStyle name="_적격 _현리-신팔도로설계_내역서(최초)" xfId="20389"/>
    <cellStyle name="_적격 _현리-신팔도로설계_내역서(최초) 2" xfId="20390"/>
    <cellStyle name="_적격 _현리-신팔도로설계_설계내역서" xfId="20391"/>
    <cellStyle name="_적격 _현리-신팔도로설계_설계내역서 2" xfId="20392"/>
    <cellStyle name="_적격 _현리-신팔도로설계_설계내역서(2차)" xfId="20393"/>
    <cellStyle name="_적격 _현리-신팔도로설계_설계내역서(2차) 2" xfId="20394"/>
    <cellStyle name="_적격(화산) " xfId="20395"/>
    <cellStyle name="_적격(화산)  2" xfId="20396"/>
    <cellStyle name="_적격(화산)  2 2" xfId="20397"/>
    <cellStyle name="_적격(화산)  3" xfId="20398"/>
    <cellStyle name="_적격(화산)  3 2" xfId="20399"/>
    <cellStyle name="_적격(화산)  4" xfId="20400"/>
    <cellStyle name="_적격(화산)  4 2" xfId="20401"/>
    <cellStyle name="_적격(화산)  5" xfId="20402"/>
    <cellStyle name="_적격(화산)  5 2" xfId="20403"/>
    <cellStyle name="_적격(화산)  6" xfId="20404"/>
    <cellStyle name="_적격(화산)  6 2" xfId="20405"/>
    <cellStyle name="_적격(화산)  7" xfId="20406"/>
    <cellStyle name="_적격(화산)  7 2" xfId="20407"/>
    <cellStyle name="_적격(화산)  8" xfId="20408"/>
    <cellStyle name="_적격(화산) _1.방수공사" xfId="20409"/>
    <cellStyle name="_적격(화산) _1.방수공사 2" xfId="20410"/>
    <cellStyle name="_적격(화산) _1.방수공사_1.흙막이공사 - 견적대비조서(입찰)" xfId="20411"/>
    <cellStyle name="_적격(화산) _1.방수공사_1.흙막이공사 - 견적대비조서(입찰) 2" xfId="20412"/>
    <cellStyle name="_적격(화산) _1.흙막이공사 - 견적대비조서(입찰)" xfId="20413"/>
    <cellStyle name="_적격(화산) _1.흙막이공사 - 견적대비조서(입찰) 2" xfId="20414"/>
    <cellStyle name="_적격(화산) _2000TMP-POW2" xfId="20415"/>
    <cellStyle name="_적격(화산) _2000TMP-POW2 2" xfId="20416"/>
    <cellStyle name="_적격(화산) _2000TMP-POW2_서초풍림아이원플러스(0723)(2)" xfId="20417"/>
    <cellStyle name="_적격(화산) _2000TMP-POW2_서초풍림아이원플러스(0723)(2) 2" xfId="20418"/>
    <cellStyle name="_적격(화산) _2000TMP-POW2_파주시금촌(2)지구C2BL풍림APT(1001)-공" xfId="20419"/>
    <cellStyle name="_적격(화산) _2000TMP-POW2_파주시금촌(2)지구C2BL풍림APT(1001)-공 2" xfId="20420"/>
    <cellStyle name="_적격(화산) _2001TMP-POW2" xfId="20421"/>
    <cellStyle name="_적격(화산) _2001TMP-POW2 2" xfId="20422"/>
    <cellStyle name="_적격(화산) _2001TMP-POW2_서초풍림아이원플러스(0723)(2)" xfId="20423"/>
    <cellStyle name="_적격(화산) _2001TMP-POW2_서초풍림아이원플러스(0723)(2) 2" xfId="20424"/>
    <cellStyle name="_적격(화산) _2001TMP-POW2_파주시금촌(2)지구C2BL풍림APT(1001)-공" xfId="20425"/>
    <cellStyle name="_적격(화산) _2001TMP-POW2_파주시금촌(2)지구C2BL풍림APT(1001)-공 2" xfId="20426"/>
    <cellStyle name="_적격(화산) _2003TMP-POW0" xfId="20427"/>
    <cellStyle name="_적격(화산) _2003TMP-POW0 2" xfId="20428"/>
    <cellStyle name="_적격(화산) _2003TMP-POW0_2003TMP-POW1" xfId="20429"/>
    <cellStyle name="_적격(화산) _2003TMP-POW0_2003TMP-POW1 2" xfId="20430"/>
    <cellStyle name="_적격(화산) _2003TMP-POW0_2003TMP-POW1_2003TMP-POW1" xfId="20431"/>
    <cellStyle name="_적격(화산) _2003TMP-POW0_2003TMP-POW1_2003TMP-POW1 2" xfId="20432"/>
    <cellStyle name="_적격(화산) _2003TMP-POW0_2003TMP-POW1_2003TMP-POW1_2003TMP-POW1" xfId="20433"/>
    <cellStyle name="_적격(화산) _2003TMP-POW0_2003TMP-POW1_2003TMP-POW1_2003TMP-POW1 2" xfId="20434"/>
    <cellStyle name="_적격(화산) _2003TMP-POW0_2003TMP-POW1_2003TMP-POW1_2003TMP-POW1_2003TMP-POW1" xfId="20435"/>
    <cellStyle name="_적격(화산) _2003TMP-POW0_2003TMP-POW1_2003TMP-POW1_2003TMP-POW1_2003TMP-POW1 2" xfId="20436"/>
    <cellStyle name="_적격(화산) _2003TMP-POW0_2003TMP-POW1_2003TMP-POW1_2003TMP-POW1_2003TMP-POW1_2004TMP-POW0" xfId="20437"/>
    <cellStyle name="_적격(화산) _2003TMP-POW0_2003TMP-POW1_2003TMP-POW1_2003TMP-POW1_2003TMP-POW1_2004TMP-POW0 2" xfId="20438"/>
    <cellStyle name="_적격(화산) _2003TMP-POW0_2003TMP-POW1_2003TMP-POW1_2003TMP-POW1_2003TMP-POW1_2004TMP-POW0_2004TMP-POW0" xfId="20439"/>
    <cellStyle name="_적격(화산) _2003TMP-POW0_2003TMP-POW1_2003TMP-POW1_2003TMP-POW1_2003TMP-POW1_2004TMP-POW0_2004TMP-POW0 2" xfId="20440"/>
    <cellStyle name="_적격(화산) _2003TMP-POW0_2003TMP-POW1_2003TMP-POW1_2003TMP-POW1_2003TMP-POW1_2004TMP-POW0_2004TMP-POW0_2004TMP-POW0" xfId="20441"/>
    <cellStyle name="_적격(화산) _2003TMP-POW0_2003TMP-POW1_2003TMP-POW1_2003TMP-POW1_2003TMP-POW1_2004TMP-POW0_2004TMP-POW0_2004TMP-POW0 2" xfId="20442"/>
    <cellStyle name="_적격(화산) _2003TMP-POW0_2003TMP-POW1_2003TMP-POW1_2003TMP-POW1_2003TMP-POW1_2004TMP-POW0_2004TMP-POW0_2004TMP-POW0_2004TMP-POW0" xfId="20443"/>
    <cellStyle name="_적격(화산) _2003TMP-POW0_2003TMP-POW1_2003TMP-POW1_2003TMP-POW1_2003TMP-POW1_2004TMP-POW0_2004TMP-POW0_2004TMP-POW0_2004TMP-POW0 2" xfId="20444"/>
    <cellStyle name="_적격(화산) _2003TMP-POW0_2003TMP-POW1_2003TMP-POW1_2003TMP-POW1_2004TMP-POW0" xfId="20445"/>
    <cellStyle name="_적격(화산) _2003TMP-POW0_2003TMP-POW1_2003TMP-POW1_2003TMP-POW1_2004TMP-POW0 2" xfId="20446"/>
    <cellStyle name="_적격(화산) _2003TMP-POW0_2003TMP-POW1_2003TMP-POW1_2003TMP-POW1_2004TMP-POW0_2004TMP-POW0" xfId="20447"/>
    <cellStyle name="_적격(화산) _2003TMP-POW0_2003TMP-POW1_2003TMP-POW1_2003TMP-POW1_2004TMP-POW0_2004TMP-POW0 2" xfId="20448"/>
    <cellStyle name="_적격(화산) _2003TMP-POW0_2003TMP-POW1_2003TMP-POW1_2003TMP-POW1_2004TMP-POW0_2004TMP-POW0_2004TMP-POW0" xfId="20449"/>
    <cellStyle name="_적격(화산) _2003TMP-POW0_2003TMP-POW1_2003TMP-POW1_2003TMP-POW1_2004TMP-POW0_2004TMP-POW0_2004TMP-POW0 2" xfId="20450"/>
    <cellStyle name="_적격(화산) _2003TMP-POW0_2003TMP-POW1_2003TMP-POW1_2004TMP-POW0" xfId="20451"/>
    <cellStyle name="_적격(화산) _2003TMP-POW0_2003TMP-POW1_2003TMP-POW1_2004TMP-POW0 2" xfId="20452"/>
    <cellStyle name="_적격(화산) _2003TMP-POW0_2003TMP-POW1_2003TMP-POW1_2004TMP-POW0_2004TMP-POW0" xfId="20453"/>
    <cellStyle name="_적격(화산) _2003TMP-POW0_2003TMP-POW1_2003TMP-POW1_2004TMP-POW0_2004TMP-POW0 2" xfId="20454"/>
    <cellStyle name="_적격(화산) _2003TMP-POW0_2003TMP-POW1_2003TMP-POW1_2004TMP-POW0_2004TMP-POW0_2004TMP-POW0" xfId="20455"/>
    <cellStyle name="_적격(화산) _2003TMP-POW0_2003TMP-POW1_2003TMP-POW1_2004TMP-POW0_2004TMP-POW0_2004TMP-POW0 2" xfId="20456"/>
    <cellStyle name="_적격(화산) _2003TMP-POW0_2003TMP-POW1_2003TMP-POW1_2004TMP-POW0_2004TMP-POW0_2004TMP-POW0_2004TMP-POW0" xfId="20457"/>
    <cellStyle name="_적격(화산) _2003TMP-POW0_2003TMP-POW1_2003TMP-POW1_2004TMP-POW0_2004TMP-POW0_2004TMP-POW0_2004TMP-POW0 2" xfId="20458"/>
    <cellStyle name="_적격(화산) _2003TMP-POW0_2003TMP-POW1_2003TMP-POW1_Book2" xfId="20459"/>
    <cellStyle name="_적격(화산) _2003TMP-POW0_2003TMP-POW1_2003TMP-POW1_Book2 2" xfId="20460"/>
    <cellStyle name="_적격(화산) _2003TMP-POW0_2003TMP-POW1_2003TMP-POW1_Book4" xfId="20461"/>
    <cellStyle name="_적격(화산) _2003TMP-POW0_2003TMP-POW1_2003TMP-POW1_Book4 2" xfId="20462"/>
    <cellStyle name="_적격(화산) _2003TMP-POW0_2003TMP-POW1_2004TMP-POW0" xfId="20463"/>
    <cellStyle name="_적격(화산) _2003TMP-POW0_2003TMP-POW1_2004TMP-POW0 2" xfId="20464"/>
    <cellStyle name="_적격(화산) _2003TMP-POW0_2003TMP-POW1_2004TMP-POW0_2004TMP-POW0" xfId="20465"/>
    <cellStyle name="_적격(화산) _2003TMP-POW0_2003TMP-POW1_2004TMP-POW0_2004TMP-POW0 2" xfId="20466"/>
    <cellStyle name="_적격(화산) _2003TMP-POW0_2003TMP-POW1_2004TMP-POW0_2004TMP-POW0_2004TMP-POW0" xfId="20467"/>
    <cellStyle name="_적격(화산) _2003TMP-POW0_2003TMP-POW1_2004TMP-POW0_2004TMP-POW0_2004TMP-POW0 2" xfId="20468"/>
    <cellStyle name="_적격(화산) _2003TMP-POW0_2003TMP-POW1_Book2" xfId="20469"/>
    <cellStyle name="_적격(화산) _2003TMP-POW0_2003TMP-POW1_Book2 2" xfId="20470"/>
    <cellStyle name="_적격(화산) _2003TMP-POW0_2003TMP-POW1_Book4" xfId="20471"/>
    <cellStyle name="_적격(화산) _2003TMP-POW0_2003TMP-POW1_Book4 2" xfId="20472"/>
    <cellStyle name="_적격(화산) _2003TMP-POW0_2004TMP-POW0" xfId="20473"/>
    <cellStyle name="_적격(화산) _2003TMP-POW0_2004TMP-POW0 2" xfId="20474"/>
    <cellStyle name="_적격(화산) _2003TMP-POW0_2004TMP-POW0_2004TMP-POW0" xfId="20475"/>
    <cellStyle name="_적격(화산) _2003TMP-POW0_2004TMP-POW0_2004TMP-POW0 2" xfId="20476"/>
    <cellStyle name="_적격(화산) _2003TMP-POW0_2004TMP-POW0_2004TMP-POW0_2004TMP-POW0" xfId="20477"/>
    <cellStyle name="_적격(화산) _2003TMP-POW0_2004TMP-POW0_2004TMP-POW0_2004TMP-POW0 2" xfId="20478"/>
    <cellStyle name="_적격(화산) _2003TMP-POW0_2004TMP-POW0_2004TMP-POW0_2004TMP-POW0_2004TMP-POW0" xfId="20479"/>
    <cellStyle name="_적격(화산) _2003TMP-POW0_2004TMP-POW0_2004TMP-POW0_2004TMP-POW0_2004TMP-POW0 2" xfId="20480"/>
    <cellStyle name="_적격(화산) _2003TMP-POW0_Book2" xfId="20481"/>
    <cellStyle name="_적격(화산) _2003TMP-POW0_Book2 2" xfId="20482"/>
    <cellStyle name="_적격(화산) _2003TMP-POW0_Book4" xfId="20483"/>
    <cellStyle name="_적격(화산) _2003TMP-POW0_Book4 2" xfId="20484"/>
    <cellStyle name="_적격(화산) _2003TMP-POW1" xfId="20485"/>
    <cellStyle name="_적격(화산) _2003TMP-POW1 2" xfId="20486"/>
    <cellStyle name="_적격(화산) _2003TMP-POW1_2003TMP-POW1" xfId="20545"/>
    <cellStyle name="_적격(화산) _2003TMP-POW1_2003TMP-POW1 2" xfId="20546"/>
    <cellStyle name="_적격(화산) _2003TMP-POW1_2003TMP-POW1_2003TMP-POW1" xfId="20547"/>
    <cellStyle name="_적격(화산) _2003TMP-POW1_2003TMP-POW1_2003TMP-POW1 2" xfId="20548"/>
    <cellStyle name="_적격(화산) _2003TMP-POW1_2003TMP-POW1_2003TMP-POW1_2003TMP-POW1" xfId="20549"/>
    <cellStyle name="_적격(화산) _2003TMP-POW1_2003TMP-POW1_2003TMP-POW1_2003TMP-POW1 2" xfId="20550"/>
    <cellStyle name="_적격(화산) _2003TMP-POW1_2003TMP-POW1_2003TMP-POW1_2003TMP-POW1_2003TMP-POW1" xfId="20551"/>
    <cellStyle name="_적격(화산) _2003TMP-POW1_2003TMP-POW1_2003TMP-POW1_2003TMP-POW1_2003TMP-POW1 2" xfId="20552"/>
    <cellStyle name="_적격(화산) _2003TMP-POW1_2003TMP-POW1_2003TMP-POW1_2003TMP-POW1_2003TMP-POW1_2004TMP-POW0" xfId="20553"/>
    <cellStyle name="_적격(화산) _2003TMP-POW1_2003TMP-POW1_2003TMP-POW1_2003TMP-POW1_2003TMP-POW1_2004TMP-POW0 2" xfId="20554"/>
    <cellStyle name="_적격(화산) _2003TMP-POW1_2003TMP-POW1_2003TMP-POW1_2003TMP-POW1_2003TMP-POW1_2004TMP-POW0_2004TMP-POW0" xfId="20555"/>
    <cellStyle name="_적격(화산) _2003TMP-POW1_2003TMP-POW1_2003TMP-POW1_2003TMP-POW1_2003TMP-POW1_2004TMP-POW0_2004TMP-POW0 2" xfId="20556"/>
    <cellStyle name="_적격(화산) _2003TMP-POW1_2003TMP-POW1_2003TMP-POW1_2003TMP-POW1_2003TMP-POW1_2004TMP-POW0_2004TMP-POW0_2004TMP-POW0" xfId="20557"/>
    <cellStyle name="_적격(화산) _2003TMP-POW1_2003TMP-POW1_2003TMP-POW1_2003TMP-POW1_2003TMP-POW1_2004TMP-POW0_2004TMP-POW0_2004TMP-POW0 2" xfId="20558"/>
    <cellStyle name="_적격(화산) _2003TMP-POW1_2003TMP-POW1_2003TMP-POW1_2003TMP-POW1_2003TMP-POW1_2004TMP-POW0_2004TMP-POW0_2004TMP-POW0_2004TMP-POW0" xfId="20559"/>
    <cellStyle name="_적격(화산) _2003TMP-POW1_2003TMP-POW1_2003TMP-POW1_2003TMP-POW1_2003TMP-POW1_2004TMP-POW0_2004TMP-POW0_2004TMP-POW0_2004TMP-POW0 2" xfId="20560"/>
    <cellStyle name="_적격(화산) _2003TMP-POW1_2003TMP-POW1_2003TMP-POW1_2003TMP-POW1_2004TMP-POW0" xfId="20561"/>
    <cellStyle name="_적격(화산) _2003TMP-POW1_2003TMP-POW1_2003TMP-POW1_2003TMP-POW1_2004TMP-POW0 2" xfId="20562"/>
    <cellStyle name="_적격(화산) _2003TMP-POW1_2003TMP-POW1_2003TMP-POW1_2003TMP-POW1_2004TMP-POW0_2004TMP-POW0" xfId="20563"/>
    <cellStyle name="_적격(화산) _2003TMP-POW1_2003TMP-POW1_2003TMP-POW1_2003TMP-POW1_2004TMP-POW0_2004TMP-POW0 2" xfId="20564"/>
    <cellStyle name="_적격(화산) _2003TMP-POW1_2003TMP-POW1_2003TMP-POW1_2003TMP-POW1_2004TMP-POW0_2004TMP-POW0_2004TMP-POW0" xfId="20565"/>
    <cellStyle name="_적격(화산) _2003TMP-POW1_2003TMP-POW1_2003TMP-POW1_2003TMP-POW1_2004TMP-POW0_2004TMP-POW0_2004TMP-POW0 2" xfId="20566"/>
    <cellStyle name="_적격(화산) _2003TMP-POW1_2003TMP-POW1_2003TMP-POW1_2004TMP-POW0" xfId="20567"/>
    <cellStyle name="_적격(화산) _2003TMP-POW1_2003TMP-POW1_2003TMP-POW1_2004TMP-POW0 2" xfId="20568"/>
    <cellStyle name="_적격(화산) _2003TMP-POW1_2003TMP-POW1_2003TMP-POW1_2004TMP-POW0_2004TMP-POW0" xfId="20569"/>
    <cellStyle name="_적격(화산) _2003TMP-POW1_2003TMP-POW1_2003TMP-POW1_2004TMP-POW0_2004TMP-POW0 2" xfId="20570"/>
    <cellStyle name="_적격(화산) _2003TMP-POW1_2003TMP-POW1_2003TMP-POW1_2004TMP-POW0_2004TMP-POW0_2004TMP-POW0" xfId="20571"/>
    <cellStyle name="_적격(화산) _2003TMP-POW1_2003TMP-POW1_2003TMP-POW1_2004TMP-POW0_2004TMP-POW0_2004TMP-POW0 2" xfId="20572"/>
    <cellStyle name="_적격(화산) _2003TMP-POW1_2003TMP-POW1_2003TMP-POW1_2004TMP-POW0_2004TMP-POW0_2004TMP-POW0_2004TMP-POW0" xfId="20573"/>
    <cellStyle name="_적격(화산) _2003TMP-POW1_2003TMP-POW1_2003TMP-POW1_2004TMP-POW0_2004TMP-POW0_2004TMP-POW0_2004TMP-POW0 2" xfId="20574"/>
    <cellStyle name="_적격(화산) _2003TMP-POW1_2003TMP-POW1_2003TMP-POW1_Book2" xfId="20575"/>
    <cellStyle name="_적격(화산) _2003TMP-POW1_2003TMP-POW1_2003TMP-POW1_Book2 2" xfId="20576"/>
    <cellStyle name="_적격(화산) _2003TMP-POW1_2003TMP-POW1_2003TMP-POW1_Book4" xfId="20577"/>
    <cellStyle name="_적격(화산) _2003TMP-POW1_2003TMP-POW1_2003TMP-POW1_Book4 2" xfId="20578"/>
    <cellStyle name="_적격(화산) _2003TMP-POW1_2003TMP-POW1_2004TMP-POW0" xfId="20579"/>
    <cellStyle name="_적격(화산) _2003TMP-POW1_2003TMP-POW1_2004TMP-POW0 2" xfId="20580"/>
    <cellStyle name="_적격(화산) _2003TMP-POW1_2003TMP-POW1_2004TMP-POW0_2004TMP-POW0" xfId="20581"/>
    <cellStyle name="_적격(화산) _2003TMP-POW1_2003TMP-POW1_2004TMP-POW0_2004TMP-POW0 2" xfId="20582"/>
    <cellStyle name="_적격(화산) _2003TMP-POW1_2003TMP-POW1_2004TMP-POW0_2004TMP-POW0_2004TMP-POW0" xfId="20583"/>
    <cellStyle name="_적격(화산) _2003TMP-POW1_2003TMP-POW1_2004TMP-POW0_2004TMP-POW0_2004TMP-POW0 2" xfId="20584"/>
    <cellStyle name="_적격(화산) _2003TMP-POW1_2003TMP-POW1_Book2" xfId="20585"/>
    <cellStyle name="_적격(화산) _2003TMP-POW1_2003TMP-POW1_Book2 2" xfId="20586"/>
    <cellStyle name="_적격(화산) _2003TMP-POW1_2003TMP-POW1_Book4" xfId="20587"/>
    <cellStyle name="_적격(화산) _2003TMP-POW1_2003TMP-POW1_Book4 2" xfId="20588"/>
    <cellStyle name="_적격(화산) _2003TMP-POW1_2004TMP-POW0" xfId="20589"/>
    <cellStyle name="_적격(화산) _2003TMP-POW1_2004TMP-POW0 2" xfId="20590"/>
    <cellStyle name="_적격(화산) _2003TMP-POW1_2004TMP-POW0_2004TMP-POW0" xfId="20591"/>
    <cellStyle name="_적격(화산) _2003TMP-POW1_2004TMP-POW0_2004TMP-POW0 2" xfId="20592"/>
    <cellStyle name="_적격(화산) _2003TMP-POW1_2004TMP-POW0_2004TMP-POW0_2004TMP-POW0" xfId="20593"/>
    <cellStyle name="_적격(화산) _2003TMP-POW1_2004TMP-POW0_2004TMP-POW0_2004TMP-POW0 2" xfId="20594"/>
    <cellStyle name="_적격(화산) _2003TMP-POW1_2004TMP-POW0_2004TMP-POW0_2004TMP-POW0_2004TMP-POW0" xfId="20595"/>
    <cellStyle name="_적격(화산) _2003TMP-POW1_2004TMP-POW0_2004TMP-POW0_2004TMP-POW0_2004TMP-POW0 2" xfId="20596"/>
    <cellStyle name="_적격(화산) _2003TMP-POW1_Book2" xfId="20597"/>
    <cellStyle name="_적격(화산) _2003TMP-POW1_Book2 2" xfId="20598"/>
    <cellStyle name="_적격(화산) _2003TMP-POW1_Book4" xfId="20599"/>
    <cellStyle name="_적격(화산) _2003TMP-POW1_Book4 2" xfId="20600"/>
    <cellStyle name="_적격(화산) _2003TMP-POW1-1" xfId="20487"/>
    <cellStyle name="_적격(화산) _2003TMP-POW1-1 2" xfId="20488"/>
    <cellStyle name="_적격(화산) _2003TMP-POW1-1_2003TMP-POW1" xfId="20489"/>
    <cellStyle name="_적격(화산) _2003TMP-POW1-1_2003TMP-POW1 2" xfId="20490"/>
    <cellStyle name="_적격(화산) _2003TMP-POW1-1_2003TMP-POW1_2003TMP-POW1" xfId="20491"/>
    <cellStyle name="_적격(화산) _2003TMP-POW1-1_2003TMP-POW1_2003TMP-POW1 2" xfId="20492"/>
    <cellStyle name="_적격(화산) _2003TMP-POW1-1_2003TMP-POW1_2003TMP-POW1_2003TMP-POW1" xfId="20493"/>
    <cellStyle name="_적격(화산) _2003TMP-POW1-1_2003TMP-POW1_2003TMP-POW1_2003TMP-POW1 2" xfId="20494"/>
    <cellStyle name="_적격(화산) _2003TMP-POW1-1_2003TMP-POW1_2003TMP-POW1_2003TMP-POW1_2003TMP-POW1" xfId="20495"/>
    <cellStyle name="_적격(화산) _2003TMP-POW1-1_2003TMP-POW1_2003TMP-POW1_2003TMP-POW1_2003TMP-POW1 2" xfId="20496"/>
    <cellStyle name="_적격(화산) _2003TMP-POW1-1_2003TMP-POW1_2003TMP-POW1_2003TMP-POW1_2003TMP-POW1_2004TMP-POW0" xfId="20497"/>
    <cellStyle name="_적격(화산) _2003TMP-POW1-1_2003TMP-POW1_2003TMP-POW1_2003TMP-POW1_2003TMP-POW1_2004TMP-POW0 2" xfId="20498"/>
    <cellStyle name="_적격(화산) _2003TMP-POW1-1_2003TMP-POW1_2003TMP-POW1_2003TMP-POW1_2003TMP-POW1_2004TMP-POW0_2004TMP-POW0" xfId="20499"/>
    <cellStyle name="_적격(화산) _2003TMP-POW1-1_2003TMP-POW1_2003TMP-POW1_2003TMP-POW1_2003TMP-POW1_2004TMP-POW0_2004TMP-POW0 2" xfId="20500"/>
    <cellStyle name="_적격(화산) _2003TMP-POW1-1_2003TMP-POW1_2003TMP-POW1_2003TMP-POW1_2003TMP-POW1_2004TMP-POW0_2004TMP-POW0_2004TMP-POW0" xfId="20501"/>
    <cellStyle name="_적격(화산) _2003TMP-POW1-1_2003TMP-POW1_2003TMP-POW1_2003TMP-POW1_2003TMP-POW1_2004TMP-POW0_2004TMP-POW0_2004TMP-POW0 2" xfId="20502"/>
    <cellStyle name="_적격(화산) _2003TMP-POW1-1_2003TMP-POW1_2003TMP-POW1_2003TMP-POW1_2003TMP-POW1_2004TMP-POW0_2004TMP-POW0_2004TMP-POW0_2004TMP-POW0" xfId="20503"/>
    <cellStyle name="_적격(화산) _2003TMP-POW1-1_2003TMP-POW1_2003TMP-POW1_2003TMP-POW1_2003TMP-POW1_2004TMP-POW0_2004TMP-POW0_2004TMP-POW0_2004TMP-POW0 2" xfId="20504"/>
    <cellStyle name="_적격(화산) _2003TMP-POW1-1_2003TMP-POW1_2003TMP-POW1_2003TMP-POW1_2004TMP-POW0" xfId="20505"/>
    <cellStyle name="_적격(화산) _2003TMP-POW1-1_2003TMP-POW1_2003TMP-POW1_2003TMP-POW1_2004TMP-POW0 2" xfId="20506"/>
    <cellStyle name="_적격(화산) _2003TMP-POW1-1_2003TMP-POW1_2003TMP-POW1_2003TMP-POW1_2004TMP-POW0_2004TMP-POW0" xfId="20507"/>
    <cellStyle name="_적격(화산) _2003TMP-POW1-1_2003TMP-POW1_2003TMP-POW1_2003TMP-POW1_2004TMP-POW0_2004TMP-POW0 2" xfId="20508"/>
    <cellStyle name="_적격(화산) _2003TMP-POW1-1_2003TMP-POW1_2003TMP-POW1_2003TMP-POW1_2004TMP-POW0_2004TMP-POW0_2004TMP-POW0" xfId="20509"/>
    <cellStyle name="_적격(화산) _2003TMP-POW1-1_2003TMP-POW1_2003TMP-POW1_2003TMP-POW1_2004TMP-POW0_2004TMP-POW0_2004TMP-POW0 2" xfId="20510"/>
    <cellStyle name="_적격(화산) _2003TMP-POW1-1_2003TMP-POW1_2003TMP-POW1_2004TMP-POW0" xfId="20511"/>
    <cellStyle name="_적격(화산) _2003TMP-POW1-1_2003TMP-POW1_2003TMP-POW1_2004TMP-POW0 2" xfId="20512"/>
    <cellStyle name="_적격(화산) _2003TMP-POW1-1_2003TMP-POW1_2003TMP-POW1_2004TMP-POW0_2004TMP-POW0" xfId="20513"/>
    <cellStyle name="_적격(화산) _2003TMP-POW1-1_2003TMP-POW1_2003TMP-POW1_2004TMP-POW0_2004TMP-POW0 2" xfId="20514"/>
    <cellStyle name="_적격(화산) _2003TMP-POW1-1_2003TMP-POW1_2003TMP-POW1_2004TMP-POW0_2004TMP-POW0_2004TMP-POW0" xfId="20515"/>
    <cellStyle name="_적격(화산) _2003TMP-POW1-1_2003TMP-POW1_2003TMP-POW1_2004TMP-POW0_2004TMP-POW0_2004TMP-POW0 2" xfId="20516"/>
    <cellStyle name="_적격(화산) _2003TMP-POW1-1_2003TMP-POW1_2003TMP-POW1_2004TMP-POW0_2004TMP-POW0_2004TMP-POW0_2004TMP-POW0" xfId="20517"/>
    <cellStyle name="_적격(화산) _2003TMP-POW1-1_2003TMP-POW1_2003TMP-POW1_2004TMP-POW0_2004TMP-POW0_2004TMP-POW0_2004TMP-POW0 2" xfId="20518"/>
    <cellStyle name="_적격(화산) _2003TMP-POW1-1_2003TMP-POW1_2003TMP-POW1_Book2" xfId="20519"/>
    <cellStyle name="_적격(화산) _2003TMP-POW1-1_2003TMP-POW1_2003TMP-POW1_Book2 2" xfId="20520"/>
    <cellStyle name="_적격(화산) _2003TMP-POW1-1_2003TMP-POW1_2003TMP-POW1_Book4" xfId="20521"/>
    <cellStyle name="_적격(화산) _2003TMP-POW1-1_2003TMP-POW1_2003TMP-POW1_Book4 2" xfId="20522"/>
    <cellStyle name="_적격(화산) _2003TMP-POW1-1_2003TMP-POW1_2004TMP-POW0" xfId="20523"/>
    <cellStyle name="_적격(화산) _2003TMP-POW1-1_2003TMP-POW1_2004TMP-POW0 2" xfId="20524"/>
    <cellStyle name="_적격(화산) _2003TMP-POW1-1_2003TMP-POW1_2004TMP-POW0_2004TMP-POW0" xfId="20525"/>
    <cellStyle name="_적격(화산) _2003TMP-POW1-1_2003TMP-POW1_2004TMP-POW0_2004TMP-POW0 2" xfId="20526"/>
    <cellStyle name="_적격(화산) _2003TMP-POW1-1_2003TMP-POW1_2004TMP-POW0_2004TMP-POW0_2004TMP-POW0" xfId="20527"/>
    <cellStyle name="_적격(화산) _2003TMP-POW1-1_2003TMP-POW1_2004TMP-POW0_2004TMP-POW0_2004TMP-POW0 2" xfId="20528"/>
    <cellStyle name="_적격(화산) _2003TMP-POW1-1_2003TMP-POW1_Book2" xfId="20529"/>
    <cellStyle name="_적격(화산) _2003TMP-POW1-1_2003TMP-POW1_Book2 2" xfId="20530"/>
    <cellStyle name="_적격(화산) _2003TMP-POW1-1_2003TMP-POW1_Book4" xfId="20531"/>
    <cellStyle name="_적격(화산) _2003TMP-POW1-1_2003TMP-POW1_Book4 2" xfId="20532"/>
    <cellStyle name="_적격(화산) _2003TMP-POW1-1_2004TMP-POW0" xfId="20533"/>
    <cellStyle name="_적격(화산) _2003TMP-POW1-1_2004TMP-POW0 2" xfId="20534"/>
    <cellStyle name="_적격(화산) _2003TMP-POW1-1_2004TMP-POW0_2004TMP-POW0" xfId="20535"/>
    <cellStyle name="_적격(화산) _2003TMP-POW1-1_2004TMP-POW0_2004TMP-POW0 2" xfId="20536"/>
    <cellStyle name="_적격(화산) _2003TMP-POW1-1_2004TMP-POW0_2004TMP-POW0_2004TMP-POW0" xfId="20537"/>
    <cellStyle name="_적격(화산) _2003TMP-POW1-1_2004TMP-POW0_2004TMP-POW0_2004TMP-POW0 2" xfId="20538"/>
    <cellStyle name="_적격(화산) _2003TMP-POW1-1_2004TMP-POW0_2004TMP-POW0_2004TMP-POW0_2004TMP-POW0" xfId="20539"/>
    <cellStyle name="_적격(화산) _2003TMP-POW1-1_2004TMP-POW0_2004TMP-POW0_2004TMP-POW0_2004TMP-POW0 2" xfId="20540"/>
    <cellStyle name="_적격(화산) _2003TMP-POW1-1_Book2" xfId="20541"/>
    <cellStyle name="_적격(화산) _2003TMP-POW1-1_Book2 2" xfId="20542"/>
    <cellStyle name="_적격(화산) _2003TMP-POW1-1_Book4" xfId="20543"/>
    <cellStyle name="_적격(화산) _2003TMP-POW1-1_Book4 2" xfId="20544"/>
    <cellStyle name="_적격(화산) _2003TMP-POWER" xfId="20601"/>
    <cellStyle name="_적격(화산) _2003TMP-POWER 2" xfId="20602"/>
    <cellStyle name="_적격(화산) _2003TMP-POWER_2003TMP-POW1" xfId="20603"/>
    <cellStyle name="_적격(화산) _2003TMP-POWER_2003TMP-POW1 2" xfId="20604"/>
    <cellStyle name="_적격(화산) _2003TMP-POWER_2003TMP-POW1_2003TMP-POW1" xfId="20605"/>
    <cellStyle name="_적격(화산) _2003TMP-POWER_2003TMP-POW1_2003TMP-POW1 2" xfId="20606"/>
    <cellStyle name="_적격(화산) _2003TMP-POWER_2003TMP-POW1_2003TMP-POW1_2003TMP-POW1" xfId="20607"/>
    <cellStyle name="_적격(화산) _2003TMP-POWER_2003TMP-POW1_2003TMP-POW1_2003TMP-POW1 2" xfId="20608"/>
    <cellStyle name="_적격(화산) _2003TMP-POWER_2003TMP-POW1_2003TMP-POW1_2003TMP-POW1_2003TMP-POW1" xfId="20609"/>
    <cellStyle name="_적격(화산) _2003TMP-POWER_2003TMP-POW1_2003TMP-POW1_2003TMP-POW1_2003TMP-POW1 2" xfId="20610"/>
    <cellStyle name="_적격(화산) _2003TMP-POWER_2003TMP-POW1_2003TMP-POW1_2003TMP-POW1_2003TMP-POW1_2004TMP-POW0" xfId="20611"/>
    <cellStyle name="_적격(화산) _2003TMP-POWER_2003TMP-POW1_2003TMP-POW1_2003TMP-POW1_2003TMP-POW1_2004TMP-POW0 2" xfId="20612"/>
    <cellStyle name="_적격(화산) _2003TMP-POWER_2003TMP-POW1_2003TMP-POW1_2003TMP-POW1_2003TMP-POW1_2004TMP-POW0_2004TMP-POW0" xfId="20613"/>
    <cellStyle name="_적격(화산) _2003TMP-POWER_2003TMP-POW1_2003TMP-POW1_2003TMP-POW1_2003TMP-POW1_2004TMP-POW0_2004TMP-POW0 2" xfId="20614"/>
    <cellStyle name="_적격(화산) _2003TMP-POWER_2003TMP-POW1_2003TMP-POW1_2003TMP-POW1_2003TMP-POW1_2004TMP-POW0_2004TMP-POW0_2004TMP-POW0" xfId="20615"/>
    <cellStyle name="_적격(화산) _2003TMP-POWER_2003TMP-POW1_2003TMP-POW1_2003TMP-POW1_2003TMP-POW1_2004TMP-POW0_2004TMP-POW0_2004TMP-POW0 2" xfId="20616"/>
    <cellStyle name="_적격(화산) _2003TMP-POWER_2003TMP-POW1_2003TMP-POW1_2003TMP-POW1_2003TMP-POW1_2004TMP-POW0_2004TMP-POW0_2004TMP-POW0_2004TMP-POW0" xfId="20617"/>
    <cellStyle name="_적격(화산) _2003TMP-POWER_2003TMP-POW1_2003TMP-POW1_2003TMP-POW1_2003TMP-POW1_2004TMP-POW0_2004TMP-POW0_2004TMP-POW0_2004TMP-POW0 2" xfId="20618"/>
    <cellStyle name="_적격(화산) _2003TMP-POWER_2003TMP-POW1_2003TMP-POW1_2003TMP-POW1_2004TMP-POW0" xfId="20619"/>
    <cellStyle name="_적격(화산) _2003TMP-POWER_2003TMP-POW1_2003TMP-POW1_2003TMP-POW1_2004TMP-POW0 2" xfId="20620"/>
    <cellStyle name="_적격(화산) _2003TMP-POWER_2003TMP-POW1_2003TMP-POW1_2003TMP-POW1_2004TMP-POW0_2004TMP-POW0" xfId="20621"/>
    <cellStyle name="_적격(화산) _2003TMP-POWER_2003TMP-POW1_2003TMP-POW1_2003TMP-POW1_2004TMP-POW0_2004TMP-POW0 2" xfId="20622"/>
    <cellStyle name="_적격(화산) _2003TMP-POWER_2003TMP-POW1_2003TMP-POW1_2003TMP-POW1_2004TMP-POW0_2004TMP-POW0_2004TMP-POW0" xfId="20623"/>
    <cellStyle name="_적격(화산) _2003TMP-POWER_2003TMP-POW1_2003TMP-POW1_2003TMP-POW1_2004TMP-POW0_2004TMP-POW0_2004TMP-POW0 2" xfId="20624"/>
    <cellStyle name="_적격(화산) _2003TMP-POWER_2003TMP-POW1_2003TMP-POW1_2004TMP-POW0" xfId="20625"/>
    <cellStyle name="_적격(화산) _2003TMP-POWER_2003TMP-POW1_2003TMP-POW1_2004TMP-POW0 2" xfId="20626"/>
    <cellStyle name="_적격(화산) _2003TMP-POWER_2003TMP-POW1_2003TMP-POW1_2004TMP-POW0_2004TMP-POW0" xfId="20627"/>
    <cellStyle name="_적격(화산) _2003TMP-POWER_2003TMP-POW1_2003TMP-POW1_2004TMP-POW0_2004TMP-POW0 2" xfId="20628"/>
    <cellStyle name="_적격(화산) _2003TMP-POWER_2003TMP-POW1_2003TMP-POW1_2004TMP-POW0_2004TMP-POW0_2004TMP-POW0" xfId="20629"/>
    <cellStyle name="_적격(화산) _2003TMP-POWER_2003TMP-POW1_2003TMP-POW1_2004TMP-POW0_2004TMP-POW0_2004TMP-POW0 2" xfId="20630"/>
    <cellStyle name="_적격(화산) _2003TMP-POWER_2003TMP-POW1_2003TMP-POW1_2004TMP-POW0_2004TMP-POW0_2004TMP-POW0_2004TMP-POW0" xfId="20631"/>
    <cellStyle name="_적격(화산) _2003TMP-POWER_2003TMP-POW1_2003TMP-POW1_2004TMP-POW0_2004TMP-POW0_2004TMP-POW0_2004TMP-POW0 2" xfId="20632"/>
    <cellStyle name="_적격(화산) _2003TMP-POWER_2003TMP-POW1_2003TMP-POW1_Book2" xfId="20633"/>
    <cellStyle name="_적격(화산) _2003TMP-POWER_2003TMP-POW1_2003TMP-POW1_Book2 2" xfId="20634"/>
    <cellStyle name="_적격(화산) _2003TMP-POWER_2003TMP-POW1_2003TMP-POW1_Book4" xfId="20635"/>
    <cellStyle name="_적격(화산) _2003TMP-POWER_2003TMP-POW1_2003TMP-POW1_Book4 2" xfId="20636"/>
    <cellStyle name="_적격(화산) _2003TMP-POWER_2003TMP-POW1_2004TMP-POW0" xfId="20637"/>
    <cellStyle name="_적격(화산) _2003TMP-POWER_2003TMP-POW1_2004TMP-POW0 2" xfId="20638"/>
    <cellStyle name="_적격(화산) _2003TMP-POWER_2003TMP-POW1_2004TMP-POW0_2004TMP-POW0" xfId="20639"/>
    <cellStyle name="_적격(화산) _2003TMP-POWER_2003TMP-POW1_2004TMP-POW0_2004TMP-POW0 2" xfId="20640"/>
    <cellStyle name="_적격(화산) _2003TMP-POWER_2003TMP-POW1_2004TMP-POW0_2004TMP-POW0_2004TMP-POW0" xfId="20641"/>
    <cellStyle name="_적격(화산) _2003TMP-POWER_2003TMP-POW1_2004TMP-POW0_2004TMP-POW0_2004TMP-POW0 2" xfId="20642"/>
    <cellStyle name="_적격(화산) _2003TMP-POWER_2003TMP-POW1_Book2" xfId="20643"/>
    <cellStyle name="_적격(화산) _2003TMP-POWER_2003TMP-POW1_Book2 2" xfId="20644"/>
    <cellStyle name="_적격(화산) _2003TMP-POWER_2003TMP-POW1_Book4" xfId="20645"/>
    <cellStyle name="_적격(화산) _2003TMP-POWER_2003TMP-POW1_Book4 2" xfId="20646"/>
    <cellStyle name="_적격(화산) _2003TMP-POWER_2004TMP-POW0" xfId="20647"/>
    <cellStyle name="_적격(화산) _2003TMP-POWER_2004TMP-POW0 2" xfId="20648"/>
    <cellStyle name="_적격(화산) _2003TMP-POWER_2004TMP-POW0_2004TMP-POW0" xfId="20649"/>
    <cellStyle name="_적격(화산) _2003TMP-POWER_2004TMP-POW0_2004TMP-POW0 2" xfId="20650"/>
    <cellStyle name="_적격(화산) _2003TMP-POWER_2004TMP-POW0_2004TMP-POW0_2004TMP-POW0" xfId="20651"/>
    <cellStyle name="_적격(화산) _2003TMP-POWER_2004TMP-POW0_2004TMP-POW0_2004TMP-POW0 2" xfId="20652"/>
    <cellStyle name="_적격(화산) _2003TMP-POWER_2004TMP-POW0_2004TMP-POW0_2004TMP-POW0_2004TMP-POW0" xfId="20653"/>
    <cellStyle name="_적격(화산) _2003TMP-POWER_2004TMP-POW0_2004TMP-POW0_2004TMP-POW0_2004TMP-POW0 2" xfId="20654"/>
    <cellStyle name="_적격(화산) _2003TMP-POWER_Book2" xfId="20655"/>
    <cellStyle name="_적격(화산) _2003TMP-POWER_Book2 2" xfId="20656"/>
    <cellStyle name="_적격(화산) _2003TMP-POWER_Book4" xfId="20657"/>
    <cellStyle name="_적격(화산) _2003TMP-POWER_Book4 2" xfId="20658"/>
    <cellStyle name="_적격(화산) _2004TMP-POW0" xfId="20659"/>
    <cellStyle name="_적격(화산) _2004TMP-POW0 2" xfId="20660"/>
    <cellStyle name="_적격(화산) _2004TMP-POW0_2004TMP-POW0" xfId="20661"/>
    <cellStyle name="_적격(화산) _2004TMP-POW0_2004TMP-POW0 2" xfId="20662"/>
    <cellStyle name="_적격(화산) _2004TMP-POW0_2004TMP-POW0_2004TMP-POW0" xfId="20663"/>
    <cellStyle name="_적격(화산) _2004TMP-POW0_2004TMP-POW0_2004TMP-POW0 2" xfId="20664"/>
    <cellStyle name="_적격(화산) _2007현황보고양식" xfId="20665"/>
    <cellStyle name="_적격(화산) _2007현황보고양식 2" xfId="20666"/>
    <cellStyle name="_적격(화산) _3-1(금강)-여의도 세우회관 철거공사" xfId="20667"/>
    <cellStyle name="_적격(화산) _3-1(금강)-여의도 세우회관 철거공사_24-1(동부)-두능-연곡 도로건설공사 중 기존교량철거" xfId="20668"/>
    <cellStyle name="_적격(화산) _3-1(금강)-여의도 세우회관 철거공사_견적1" xfId="20669"/>
    <cellStyle name="_적격(화산) _3-1(금강)-여의도 세우회관 철거공사_견적1_28-3-2 삼환-대한생명 63빌딩 현장 철거공사 (재노경)" xfId="20670"/>
    <cellStyle name="_적격(화산) _35호(기숙사)" xfId="20671"/>
    <cellStyle name="_적격(화산) _35호(기숙사) 2" xfId="20672"/>
    <cellStyle name="_적격(화산) _35호(기숙사)_53호견적최종" xfId="20673"/>
    <cellStyle name="_적격(화산) _35호(기숙사)_53호견적최종 2" xfId="20674"/>
    <cellStyle name="_적격(화산) _35호(기숙사)_R-0053" xfId="20675"/>
    <cellStyle name="_적격(화산) _35호(기숙사)_R-0053 2" xfId="20676"/>
    <cellStyle name="_적격(화산) _35호(기숙사)_R-0053ELEC대" xfId="20677"/>
    <cellStyle name="_적격(화산) _35호(기숙사)_R-0053ELEC대 2" xfId="20678"/>
    <cellStyle name="_적격(화산) _35호(기숙사)_R-0053SITE" xfId="20679"/>
    <cellStyle name="_적격(화산) _35호(기숙사)_R-0053SITE 2" xfId="20680"/>
    <cellStyle name="_적격(화산) _35호(기숙사)POO" xfId="20681"/>
    <cellStyle name="_적격(화산) _35호(기숙사)POO 2" xfId="20682"/>
    <cellStyle name="_적격(화산) _35호(기숙사)POO_53호견적최종" xfId="20683"/>
    <cellStyle name="_적격(화산) _35호(기숙사)POO_53호견적최종 2" xfId="20684"/>
    <cellStyle name="_적격(화산) _35호(기숙사)POO_R-0053" xfId="20685"/>
    <cellStyle name="_적격(화산) _35호(기숙사)POO_R-0053 2" xfId="20686"/>
    <cellStyle name="_적격(화산) _35호(기숙사)POO_R-0053ELEC대" xfId="20687"/>
    <cellStyle name="_적격(화산) _35호(기숙사)POO_R-0053ELEC대 2" xfId="20688"/>
    <cellStyle name="_적격(화산) _35호(기숙사)POO_R-0053SITE" xfId="20689"/>
    <cellStyle name="_적격(화산) _35호(기숙사)POO_R-0053SITE 2" xfId="20690"/>
    <cellStyle name="_적격(화산) _38고대리" xfId="20691"/>
    <cellStyle name="_적격(화산) _38고대리 2" xfId="20692"/>
    <cellStyle name="_적격(화산) _38고대리_53호견적최종" xfId="20693"/>
    <cellStyle name="_적격(화산) _38고대리_53호견적최종 2" xfId="20694"/>
    <cellStyle name="_적격(화산) _38고대리_R-0053" xfId="20695"/>
    <cellStyle name="_적격(화산) _38고대리_R-0053 2" xfId="20696"/>
    <cellStyle name="_적격(화산) _38고대리_R-0053ELEC대" xfId="20697"/>
    <cellStyle name="_적격(화산) _38고대리_R-0053ELEC대 2" xfId="20698"/>
    <cellStyle name="_적격(화산) _38고대리_R-0053SITE" xfId="20699"/>
    <cellStyle name="_적격(화산) _38고대리_R-0053SITE 2" xfId="20700"/>
    <cellStyle name="_적격(화산) _38호" xfId="20701"/>
    <cellStyle name="_적격(화산) _38호 2" xfId="20702"/>
    <cellStyle name="_적격(화산) _38호_53호견적최종" xfId="20703"/>
    <cellStyle name="_적격(화산) _38호_53호견적최종 2" xfId="20704"/>
    <cellStyle name="_적격(화산) _38호_R-0053" xfId="20705"/>
    <cellStyle name="_적격(화산) _38호_R-0053 2" xfId="20706"/>
    <cellStyle name="_적격(화산) _38호_R-0053ELEC대" xfId="20707"/>
    <cellStyle name="_적격(화산) _38호_R-0053ELEC대 2" xfId="20708"/>
    <cellStyle name="_적격(화산) _38호_R-0053SITE" xfId="20709"/>
    <cellStyle name="_적격(화산) _38호_R-0053SITE 2" xfId="20710"/>
    <cellStyle name="_적격(화산) _53호견적최종" xfId="20711"/>
    <cellStyle name="_적격(화산) _53호견적최종 2" xfId="20712"/>
    <cellStyle name="_적격(화산) _8-2(삼성)-김해공항 국제청 화물청사 세관창고철거" xfId="20713"/>
    <cellStyle name="_적격(화산) _8-2(삼성)-김해공항 국제청 화물청사 세관창고철거_24-1(동부)-두능-연곡 도로건설공사 중 기존교량철거" xfId="20714"/>
    <cellStyle name="_적격(화산) _8-2(삼성)-김해공항 국제청 화물청사 세관창고철거_견적1" xfId="20715"/>
    <cellStyle name="_적격(화산) _8-2(삼성)-김해공항 국제청 화물청사 세관창고철거_견적1_28-3-2 삼환-대한생명 63빌딩 현장 철거공사 (재노경)" xfId="20716"/>
    <cellStyle name="_적격(화산) _B-2-b(1).부대입찰 공내역" xfId="20717"/>
    <cellStyle name="_적격(화산) _B-2-b(1).부대입찰 공내역 2" xfId="20718"/>
    <cellStyle name="_적격(화산) _Book1" xfId="20719"/>
    <cellStyle name="_적격(화산) _Book1 2" xfId="20720"/>
    <cellStyle name="_적격(화산) _Book1_내역서(최초)" xfId="20721"/>
    <cellStyle name="_적격(화산) _Book1_내역서(최초) 2" xfId="20722"/>
    <cellStyle name="_적격(화산) _Book1_설계내역서" xfId="20723"/>
    <cellStyle name="_적격(화산) _Book1_설계내역서 2" xfId="20724"/>
    <cellStyle name="_적격(화산) _Book1_설계내역서(2차)" xfId="20725"/>
    <cellStyle name="_적격(화산) _Book1_설계내역서(2차) 2" xfId="20726"/>
    <cellStyle name="_적격(화산) _Book2" xfId="20727"/>
    <cellStyle name="_적격(화산) _Book2 2" xfId="20728"/>
    <cellStyle name="_적격(화산) _Book2_Book2" xfId="20729"/>
    <cellStyle name="_적격(화산) _Book2_Book2 2" xfId="20730"/>
    <cellStyle name="_적격(화산) _Book2_Book4" xfId="20731"/>
    <cellStyle name="_적격(화산) _Book2_Book4 2" xfId="20732"/>
    <cellStyle name="_적격(화산) _IMSI-POW1" xfId="20733"/>
    <cellStyle name="_적격(화산) _IMSI-POW1 2" xfId="20734"/>
    <cellStyle name="_적격(화산) _IMSI-POW1_서초풍림아이원플러스(0723)(2)" xfId="20735"/>
    <cellStyle name="_적격(화산) _IMSI-POW1_서초풍림아이원플러스(0723)(2) 2" xfId="20736"/>
    <cellStyle name="_적격(화산) _IMSI-POW1_파주시금촌(2)지구C2BL풍림APT(1001)-공" xfId="20737"/>
    <cellStyle name="_적격(화산) _IMSI-POW1_파주시금촌(2)지구C2BL풍림APT(1001)-공 2" xfId="20738"/>
    <cellStyle name="_적격(화산) _nafkp5-02-r-0014" xfId="20739"/>
    <cellStyle name="_적격(화산) _nafkp5-02-r-0014 2" xfId="20740"/>
    <cellStyle name="_적격(화산) _nafkp5-02-r-0014_53호견적최종" xfId="20741"/>
    <cellStyle name="_적격(화산) _nafkp5-02-r-0014_53호견적최종 2" xfId="20742"/>
    <cellStyle name="_적격(화산) _nafkp5-02-r-0014_R-0053" xfId="20743"/>
    <cellStyle name="_적격(화산) _nafkp5-02-r-0014_R-0053 2" xfId="20744"/>
    <cellStyle name="_적격(화산) _nafkp5-02-r-0014_R-0053ELEC대" xfId="20745"/>
    <cellStyle name="_적격(화산) _nafkp5-02-r-0014_R-0053ELEC대 2" xfId="20746"/>
    <cellStyle name="_적격(화산) _nafkp5-02-r-0014_R-0053SITE" xfId="20747"/>
    <cellStyle name="_적격(화산) _nafkp5-02-r-0014_R-0053SITE 2" xfId="20748"/>
    <cellStyle name="_적격(화산) _P-(현리-신팔)" xfId="20749"/>
    <cellStyle name="_적격(화산) _P-(현리-신팔) 2" xfId="20750"/>
    <cellStyle name="_적격(화산) _P-(현리-신팔)_내역서(최초)" xfId="20751"/>
    <cellStyle name="_적격(화산) _P-(현리-신팔)_내역서(최초) 2" xfId="20752"/>
    <cellStyle name="_적격(화산) _P-(현리-신팔)_설계내역서" xfId="20753"/>
    <cellStyle name="_적격(화산) _P-(현리-신팔)_설계내역서 2" xfId="20754"/>
    <cellStyle name="_적격(화산) _P-(현리-신팔)_설계내역서(2차)" xfId="20755"/>
    <cellStyle name="_적격(화산) _P-(현리-신팔)_설계내역서(2차) 2" xfId="20756"/>
    <cellStyle name="_적격(화산) _p-하남강일1" xfId="20757"/>
    <cellStyle name="_적격(화산) _p-하남강일1 2" xfId="20758"/>
    <cellStyle name="_적격(화산) _p-하남강일1_내역서(최초)" xfId="20759"/>
    <cellStyle name="_적격(화산) _p-하남강일1_내역서(최초) 2" xfId="20760"/>
    <cellStyle name="_적격(화산) _p-하남강일1_설계내역서" xfId="20761"/>
    <cellStyle name="_적격(화산) _p-하남강일1_설계내역서 2" xfId="20762"/>
    <cellStyle name="_적격(화산) _p-하남강일1_설계내역서(2차)" xfId="20763"/>
    <cellStyle name="_적격(화산) _p-하남강일1_설계내역서(2차) 2" xfId="20764"/>
    <cellStyle name="_적격(화산) _R0003CostBD원본261" xfId="20801"/>
    <cellStyle name="_적격(화산) _R0003CostBD원본261 2" xfId="20802"/>
    <cellStyle name="_적격(화산) _R0003CostBD원본261_53호견적최종" xfId="20803"/>
    <cellStyle name="_적격(화산) _R0003CostBD원본261_53호견적최종 2" xfId="20804"/>
    <cellStyle name="_적격(화산) _R0003CostBD원본261_R-0053" xfId="20805"/>
    <cellStyle name="_적격(화산) _R0003CostBD원본261_R-0053 2" xfId="20806"/>
    <cellStyle name="_적격(화산) _R0003CostBD원본261_R-0053ELEC대" xfId="20807"/>
    <cellStyle name="_적격(화산) _R0003CostBD원본261_R-0053ELEC대 2" xfId="20808"/>
    <cellStyle name="_적격(화산) _R0003CostBD원본261_R-0053SITE" xfId="20809"/>
    <cellStyle name="_적격(화산) _R0003CostBD원본261_R-0053SITE 2" xfId="20810"/>
    <cellStyle name="_적격(화산) _R-0003입찰내역" xfId="20765"/>
    <cellStyle name="_적격(화산) _R-0003입찰내역 2" xfId="20766"/>
    <cellStyle name="_적격(화산) _R-0003입찰내역_53호견적최종" xfId="20767"/>
    <cellStyle name="_적격(화산) _R-0003입찰내역_53호견적최종 2" xfId="20768"/>
    <cellStyle name="_적격(화산) _R-0003입찰내역_R-0053" xfId="20769"/>
    <cellStyle name="_적격(화산) _R-0003입찰내역_R-0053 2" xfId="20770"/>
    <cellStyle name="_적격(화산) _R-0003입찰내역_R-0053ELEC대" xfId="20771"/>
    <cellStyle name="_적격(화산) _R-0003입찰내역_R-0053ELEC대 2" xfId="20772"/>
    <cellStyle name="_적격(화산) _R-0003입찰내역_R-0053SITE" xfId="20773"/>
    <cellStyle name="_적격(화산) _R-0003입찰내역_R-0053SITE 2" xfId="20774"/>
    <cellStyle name="_적격(화산) _R0038CostBD(version2)" xfId="20811"/>
    <cellStyle name="_적격(화산) _R0038CostBD(version2) 2" xfId="20812"/>
    <cellStyle name="_적격(화산) _R0038CostBD(version2)_53호견적최종" xfId="20813"/>
    <cellStyle name="_적격(화산) _R0038CostBD(version2)_53호견적최종 2" xfId="20814"/>
    <cellStyle name="_적격(화산) _R0038CostBD(version2)_R-0053" xfId="20815"/>
    <cellStyle name="_적격(화산) _R0038CostBD(version2)_R-0053 2" xfId="20816"/>
    <cellStyle name="_적격(화산) _R0038CostBD(version2)_R-0053ELEC대" xfId="20817"/>
    <cellStyle name="_적격(화산) _R0038CostBD(version2)_R-0053ELEC대 2" xfId="20818"/>
    <cellStyle name="_적격(화산) _R0038CostBD(version2)_R-0053SITE" xfId="20819"/>
    <cellStyle name="_적격(화산) _R0038CostBD(version2)_R-0053SITE 2" xfId="20820"/>
    <cellStyle name="_적격(화산) _R0038CostBD(화인)" xfId="20821"/>
    <cellStyle name="_적격(화산) _R0038CostBD(화인) 2" xfId="20822"/>
    <cellStyle name="_적격(화산) _R0038CostBD(화인)_53호견적최종" xfId="20823"/>
    <cellStyle name="_적격(화산) _R0038CostBD(화인)_53호견적최종 2" xfId="20824"/>
    <cellStyle name="_적격(화산) _R0038CostBD(화인)_R-0053" xfId="20825"/>
    <cellStyle name="_적격(화산) _R0038CostBD(화인)_R-0053 2" xfId="20826"/>
    <cellStyle name="_적격(화산) _R0038CostBD(화인)_R-0053ELEC대" xfId="20827"/>
    <cellStyle name="_적격(화산) _R0038CostBD(화인)_R-0053ELEC대 2" xfId="20828"/>
    <cellStyle name="_적격(화산) _R0038CostBD(화인)_R-0053SITE" xfId="20829"/>
    <cellStyle name="_적격(화산) _R0038CostBD(화인)_R-0053SITE 2" xfId="20830"/>
    <cellStyle name="_적격(화산) _R-0053" xfId="20775"/>
    <cellStyle name="_적격(화산) _R-0053 2" xfId="20776"/>
    <cellStyle name="_적격(화산) _R0053CostBD-건축-김이사님" xfId="20831"/>
    <cellStyle name="_적격(화산) _R0053CostBD-건축-김이사님 2" xfId="20832"/>
    <cellStyle name="_적격(화산) _R0053CostBD-건축-김이사님_53호견적최종" xfId="20833"/>
    <cellStyle name="_적격(화산) _R0053CostBD-건축-김이사님_53호견적최종 2" xfId="20834"/>
    <cellStyle name="_적격(화산) _R0053CostBD-건축-김이사님_R-0053" xfId="20835"/>
    <cellStyle name="_적격(화산) _R0053CostBD-건축-김이사님_R-0053 2" xfId="20836"/>
    <cellStyle name="_적격(화산) _R0053CostBD-건축-김이사님_R-0053ELEC대" xfId="20837"/>
    <cellStyle name="_적격(화산) _R0053CostBD-건축-김이사님_R-0053ELEC대 2" xfId="20838"/>
    <cellStyle name="_적격(화산) _R0053CostBD-건축-김이사님_R-0053SITE" xfId="20839"/>
    <cellStyle name="_적격(화산) _R0053CostBD-건축-김이사님_R-0053SITE 2" xfId="20840"/>
    <cellStyle name="_적격(화산) _R-0053ELEC대" xfId="20777"/>
    <cellStyle name="_적격(화산) _R-0053ELEC대 2" xfId="20778"/>
    <cellStyle name="_적격(화산) _R-0053SITE" xfId="20779"/>
    <cellStyle name="_적격(화산) _R-0053SITE 2" xfId="20780"/>
    <cellStyle name="_적격(화산) _R-0053건축" xfId="20781"/>
    <cellStyle name="_적격(화산) _R-0053건축 2" xfId="20782"/>
    <cellStyle name="_적격(화산) _R-0053건축_53호견적최종" xfId="20783"/>
    <cellStyle name="_적격(화산) _R-0053건축_53호견적최종 2" xfId="20784"/>
    <cellStyle name="_적격(화산) _R-0053건축_R-0053" xfId="20785"/>
    <cellStyle name="_적격(화산) _R-0053건축_R-0053 2" xfId="20786"/>
    <cellStyle name="_적격(화산) _R-0053건축_R-0053ELEC대" xfId="20787"/>
    <cellStyle name="_적격(화산) _R-0053건축_R-0053ELEC대 2" xfId="20788"/>
    <cellStyle name="_적격(화산) _R-0053건축_R-0053SITE" xfId="20789"/>
    <cellStyle name="_적격(화산) _R-0053건축_R-0053SITE 2" xfId="20790"/>
    <cellStyle name="_적격(화산) _R-0053입찰내역" xfId="20791"/>
    <cellStyle name="_적격(화산) _R-0053입찰내역 2" xfId="20792"/>
    <cellStyle name="_적격(화산) _R-0053입찰내역_53호견적최종" xfId="20793"/>
    <cellStyle name="_적격(화산) _R-0053입찰내역_53호견적최종 2" xfId="20794"/>
    <cellStyle name="_적격(화산) _R-0053입찰내역_R-0053" xfId="20795"/>
    <cellStyle name="_적격(화산) _R-0053입찰내역_R-0053 2" xfId="20796"/>
    <cellStyle name="_적격(화산) _R-0053입찰내역_R-0053ELEC대" xfId="20797"/>
    <cellStyle name="_적격(화산) _R-0053입찰내역_R-0053ELEC대 2" xfId="20798"/>
    <cellStyle name="_적격(화산) _R-0053입찰내역_R-0053SITE" xfId="20799"/>
    <cellStyle name="_적격(화산) _R-0053입찰내역_R-0053SITE 2" xfId="20800"/>
    <cellStyle name="_적격(화산) _TMP-POW1" xfId="20841"/>
    <cellStyle name="_적격(화산) _TMP-POW1 2" xfId="20842"/>
    <cellStyle name="_적격(화산) _TMP-POW1_서초풍림아이원플러스(0723)(2)" xfId="20843"/>
    <cellStyle name="_적격(화산) _TMP-POW1_서초풍림아이원플러스(0723)(2) 2" xfId="20844"/>
    <cellStyle name="_적격(화산) _TMP-POW1_파주시금촌(2)지구C2BL풍림APT(1001)-공" xfId="20845"/>
    <cellStyle name="_적격(화산) _TMP-POW1_파주시금촌(2)지구C2BL풍림APT(1001)-공 2" xfId="20846"/>
    <cellStyle name="_적격(화산) _TMP-POW2" xfId="20847"/>
    <cellStyle name="_적격(화산) _TMP-POW2 2" xfId="20848"/>
    <cellStyle name="_적격(화산) _TMP-POW2_서초풍림아이원플러스(0723)(2)" xfId="20849"/>
    <cellStyle name="_적격(화산) _TMP-POW2_서초풍림아이원플러스(0723)(2) 2" xfId="20850"/>
    <cellStyle name="_적격(화산) _TMP-POW2_파주시금촌(2)지구C2BL풍림APT(1001)-공" xfId="20851"/>
    <cellStyle name="_적격(화산) _TMP-POW2_파주시금촌(2)지구C2BL풍림APT(1001)-공 2" xfId="20852"/>
    <cellStyle name="_적격(화산) _V-M-0001AB1216" xfId="20853"/>
    <cellStyle name="_적격(화산) _V-M-0001AB1216 2" xfId="20854"/>
    <cellStyle name="_적격(화산) _V-M-0001AB1216_53호견적최종" xfId="20855"/>
    <cellStyle name="_적격(화산) _V-M-0001AB1216_53호견적최종 2" xfId="20856"/>
    <cellStyle name="_적격(화산) _V-M-0001AB1216_R-0053" xfId="20857"/>
    <cellStyle name="_적격(화산) _V-M-0001AB1216_R-0053 2" xfId="20858"/>
    <cellStyle name="_적격(화산) _V-M-0001AB1216_R-0053ELEC대" xfId="20859"/>
    <cellStyle name="_적격(화산) _V-M-0001AB1216_R-0053ELEC대 2" xfId="20860"/>
    <cellStyle name="_적격(화산) _V-M-0001AB1216_R-0053SITE" xfId="20861"/>
    <cellStyle name="_적격(화산) _V-M-0001AB1216_R-0053SITE 2" xfId="20862"/>
    <cellStyle name="_적격(화산) _V-M-0001AC1217" xfId="20863"/>
    <cellStyle name="_적격(화산) _V-M-0001AC1217 2" xfId="20864"/>
    <cellStyle name="_적격(화산) _V-M-0001AC1217_53호견적최종" xfId="20865"/>
    <cellStyle name="_적격(화산) _V-M-0001AC1217_53호견적최종 2" xfId="20866"/>
    <cellStyle name="_적격(화산) _V-M-0001AC1217_R-0053" xfId="20867"/>
    <cellStyle name="_적격(화산) _V-M-0001AC1217_R-0053 2" xfId="20868"/>
    <cellStyle name="_적격(화산) _V-M-0001AC1217_R-0053ELEC대" xfId="20869"/>
    <cellStyle name="_적격(화산) _V-M-0001AC1217_R-0053ELEC대 2" xfId="20870"/>
    <cellStyle name="_적격(화산) _V-M-0001AC1217_R-0053SITE" xfId="20871"/>
    <cellStyle name="_적격(화산) _V-M-0001AC1217_R-0053SITE 2" xfId="20872"/>
    <cellStyle name="_적격(화산) _V-M-0001AD2460" xfId="20873"/>
    <cellStyle name="_적격(화산) _V-M-0001AD2460 2" xfId="20874"/>
    <cellStyle name="_적격(화산) _V-M-0001AD2460_53호견적최종" xfId="20875"/>
    <cellStyle name="_적격(화산) _V-M-0001AD2460_53호견적최종 2" xfId="20876"/>
    <cellStyle name="_적격(화산) _V-M-0001AD2460_R-0053" xfId="20877"/>
    <cellStyle name="_적격(화산) _V-M-0001AD2460_R-0053 2" xfId="20878"/>
    <cellStyle name="_적격(화산) _V-M-0001AD2460_R-0053ELEC대" xfId="20879"/>
    <cellStyle name="_적격(화산) _V-M-0001AD2460_R-0053ELEC대 2" xfId="20880"/>
    <cellStyle name="_적격(화산) _V-M-0001AD2460_R-0053SITE" xfId="20881"/>
    <cellStyle name="_적격(화산) _V-M-0001AD2460_R-0053SITE 2" xfId="20882"/>
    <cellStyle name="_적격(화산) _V-M-0001AE RENOVATE BLDG1216" xfId="20883"/>
    <cellStyle name="_적격(화산) _V-M-0001AE RENOVATE BLDG1216 2" xfId="20884"/>
    <cellStyle name="_적격(화산) _V-M-0001AE RENOVATE BLDG1216_53호견적최종" xfId="20885"/>
    <cellStyle name="_적격(화산) _V-M-0001AE RENOVATE BLDG1216_53호견적최종 2" xfId="20886"/>
    <cellStyle name="_적격(화산) _V-M-0001AE RENOVATE BLDG1216_R-0053" xfId="20887"/>
    <cellStyle name="_적격(화산) _V-M-0001AE RENOVATE BLDG1216_R-0053 2" xfId="20888"/>
    <cellStyle name="_적격(화산) _V-M-0001AE RENOVATE BLDG1216_R-0053ELEC대" xfId="20889"/>
    <cellStyle name="_적격(화산) _V-M-0001AE RENOVATE BLDG1216_R-0053ELEC대 2" xfId="20890"/>
    <cellStyle name="_적격(화산) _V-M-0001AE RENOVATE BLDG1216_R-0053SITE" xfId="20891"/>
    <cellStyle name="_적격(화산) _V-M-0001AE RENOVATE BLDG1216_R-0053SITE 2" xfId="20892"/>
    <cellStyle name="_적격(화산) _V-M-0002" xfId="20893"/>
    <cellStyle name="_적격(화산) _V-M-0002 2" xfId="20894"/>
    <cellStyle name="_적격(화산) _V-M-0002_53호견적최종" xfId="20895"/>
    <cellStyle name="_적격(화산) _V-M-0002_53호견적최종 2" xfId="20896"/>
    <cellStyle name="_적격(화산) _V-M-0002_R-0053" xfId="20897"/>
    <cellStyle name="_적격(화산) _V-M-0002_R-0053 2" xfId="20898"/>
    <cellStyle name="_적격(화산) _V-M-0002_R-0053ELEC대" xfId="20899"/>
    <cellStyle name="_적격(화산) _V-M-0002_R-0053ELEC대 2" xfId="20900"/>
    <cellStyle name="_적격(화산) _V-M-0002_R-0053SITE" xfId="20901"/>
    <cellStyle name="_적격(화산) _V-M-0002_R-0053SITE 2" xfId="20902"/>
    <cellStyle name="_적격(화산) _V-M-0004" xfId="20903"/>
    <cellStyle name="_적격(화산) _V-M-0004 2" xfId="20904"/>
    <cellStyle name="_적격(화산) _V-M-0004_53호견적최종" xfId="20905"/>
    <cellStyle name="_적격(화산) _V-M-0004_53호견적최종 2" xfId="20906"/>
    <cellStyle name="_적격(화산) _V-M-0004_R-0053" xfId="20907"/>
    <cellStyle name="_적격(화산) _V-M-0004_R-0053 2" xfId="20908"/>
    <cellStyle name="_적격(화산) _V-M-0004_R-0053ELEC대" xfId="20909"/>
    <cellStyle name="_적격(화산) _V-M-0004_R-0053ELEC대 2" xfId="20910"/>
    <cellStyle name="_적격(화산) _V-M-0004_R-0053SITE" xfId="20911"/>
    <cellStyle name="_적격(화산) _V-M-0004_R-0053SITE 2" xfId="20912"/>
    <cellStyle name="_적격(화산) _V-M-0005" xfId="20913"/>
    <cellStyle name="_적격(화산) _V-M-0005 2" xfId="20914"/>
    <cellStyle name="_적격(화산) _V-M-0005_53호견적최종" xfId="20915"/>
    <cellStyle name="_적격(화산) _V-M-0005_53호견적최종 2" xfId="20916"/>
    <cellStyle name="_적격(화산) _V-M-0005_R-0053" xfId="20917"/>
    <cellStyle name="_적격(화산) _V-M-0005_R-0053 2" xfId="20918"/>
    <cellStyle name="_적격(화산) _V-M-0005_R-0053ELEC대" xfId="20919"/>
    <cellStyle name="_적격(화산) _V-M-0005_R-0053ELEC대 2" xfId="20920"/>
    <cellStyle name="_적격(화산) _V-M-0005_R-0053SITE" xfId="20921"/>
    <cellStyle name="_적격(화산) _V-M-0005_R-0053SITE 2" xfId="20922"/>
    <cellStyle name="_적격(화산) _V-O-0007" xfId="20923"/>
    <cellStyle name="_적격(화산) _V-O-0007 2" xfId="20924"/>
    <cellStyle name="_적격(화산) _V-O-0007_53호견적최종" xfId="20925"/>
    <cellStyle name="_적격(화산) _V-O-0007_53호견적최종 2" xfId="20926"/>
    <cellStyle name="_적격(화산) _V-O-0007_R-0053" xfId="20927"/>
    <cellStyle name="_적격(화산) _V-O-0007_R-0053 2" xfId="20928"/>
    <cellStyle name="_적격(화산) _V-O-0007_R-0053ELEC대" xfId="20929"/>
    <cellStyle name="_적격(화산) _V-O-0007_R-0053ELEC대 2" xfId="20930"/>
    <cellStyle name="_적격(화산) _V-O-0007_R-0053SITE" xfId="20931"/>
    <cellStyle name="_적격(화산) _V-O-0007_R-0053SITE 2" xfId="20932"/>
    <cellStyle name="_적격(화산) _V-O-0009" xfId="20933"/>
    <cellStyle name="_적격(화산) _V-O-0009 2" xfId="20934"/>
    <cellStyle name="_적격(화산) _V-O-0009_53호견적최종" xfId="20935"/>
    <cellStyle name="_적격(화산) _V-O-0009_53호견적최종 2" xfId="20936"/>
    <cellStyle name="_적격(화산) _V-O-0009_R-0053" xfId="20937"/>
    <cellStyle name="_적격(화산) _V-O-0009_R-0053 2" xfId="20938"/>
    <cellStyle name="_적격(화산) _V-O-0009_R-0053ELEC대" xfId="20939"/>
    <cellStyle name="_적격(화산) _V-O-0009_R-0053ELEC대 2" xfId="20940"/>
    <cellStyle name="_적격(화산) _V-O-0009_R-0053SITE" xfId="20941"/>
    <cellStyle name="_적격(화산) _V-O-0009_R-0053SITE 2" xfId="20942"/>
    <cellStyle name="_적격(화산) _가구공사" xfId="20943"/>
    <cellStyle name="_적격(화산) _가구공사 2" xfId="20944"/>
    <cellStyle name="_적격(화산) _가구공사_2007현황보고양식" xfId="20945"/>
    <cellStyle name="_적격(화산) _가구공사_2007현황보고양식 2" xfId="20946"/>
    <cellStyle name="_적격(화산) _가구공사_두산산업개발 입찰견적" xfId="20947"/>
    <cellStyle name="_적격(화산) _가구공사_두산산업개발 입찰견적 2" xfId="20948"/>
    <cellStyle name="_적격(화산) _가구공사_두산중공업 입찰견적" xfId="20949"/>
    <cellStyle name="_적격(화산) _가구공사_두산중공업 입찰견적 2" xfId="20950"/>
    <cellStyle name="_적격(화산) _가구공사_추가일위대가표 총괄" xfId="20951"/>
    <cellStyle name="_적격(화산) _가구공사_추가일위대가표 총괄 2" xfId="20952"/>
    <cellStyle name="_적격(화산) _가구공사_현대건설 대구대천" xfId="20953"/>
    <cellStyle name="_적격(화산) _가구공사_현대건설 대구대천 2" xfId="20954"/>
    <cellStyle name="_적격(화산) _검암2차사전공사(본사검토) " xfId="20955"/>
    <cellStyle name="_적격(화산) _검암2차사전공사(본사검토)  2" xfId="20956"/>
    <cellStyle name="_적격(화산) _검암2차사전공사(본사검토)  2 2" xfId="20957"/>
    <cellStyle name="_적격(화산) _검암2차사전공사(본사검토)  3" xfId="20958"/>
    <cellStyle name="_적격(화산) _검암2차사전공사(본사검토)  3 2" xfId="20959"/>
    <cellStyle name="_적격(화산) _검암2차사전공사(본사검토)  4" xfId="20960"/>
    <cellStyle name="_적격(화산) _검암2차사전공사(본사검토)  4 2" xfId="20961"/>
    <cellStyle name="_적격(화산) _검암2차사전공사(본사검토)  5" xfId="20962"/>
    <cellStyle name="_적격(화산) _검암2차사전공사(본사검토)  5 2" xfId="20963"/>
    <cellStyle name="_적격(화산) _검암2차사전공사(본사검토)  6" xfId="20964"/>
    <cellStyle name="_적격(화산) _검암2차사전공사(본사검토)  6 2" xfId="20965"/>
    <cellStyle name="_적격(화산) _검암2차사전공사(본사검토)  7" xfId="20966"/>
    <cellStyle name="_적격(화산) _검암2차사전공사(본사검토)  7 2" xfId="20967"/>
    <cellStyle name="_적격(화산) _검암2차사전공사(본사검토)  8" xfId="20968"/>
    <cellStyle name="_적격(화산) _검암2차사전공사(본사검토) _Book2" xfId="20969"/>
    <cellStyle name="_적격(화산) _검암2차사전공사(본사검토) _Book2 2" xfId="20970"/>
    <cellStyle name="_적격(화산) _검암2차사전공사(본사검토) _Book4" xfId="20971"/>
    <cellStyle name="_적격(화산) _검암2차사전공사(본사검토) _Book4 2" xfId="20972"/>
    <cellStyle name="_적격(화산) _견적1" xfId="20973"/>
    <cellStyle name="_적격(화산) _견적1_28-3-2 삼환-대한생명 63빌딩 현장 철거공사 (재노경)" xfId="20974"/>
    <cellStyle name="_적격(화산) _견적서" xfId="20975"/>
    <cellStyle name="_적격(화산) _견적서_24-1(동부)-두능-연곡 도로건설공사 중 기존교량철거" xfId="20976"/>
    <cellStyle name="_적격(화산) _견적서_견적1" xfId="20977"/>
    <cellStyle name="_적격(화산) _견적서_견적1_28-3-2 삼환-대한생명 63빌딩 현장 철거공사 (재노경)" xfId="20978"/>
    <cellStyle name="_적격(화산) _공내역서" xfId="20979"/>
    <cellStyle name="_적격(화산) _공내역서 2" xfId="20980"/>
    <cellStyle name="_적격(화산) _공내역서_사본 - ☆태평동  도급내역" xfId="21113"/>
    <cellStyle name="_적격(화산) _공내역서_사본 - ☆태평동  도급내역 2" xfId="21114"/>
    <cellStyle name="_적격(화산) _공내역서_성남태평동설비공사" xfId="21115"/>
    <cellStyle name="_적격(화산) _공내역서_성남태평동설비공사 2" xfId="21116"/>
    <cellStyle name="_적격(화산) _공내역서_수원율전 실행내역" xfId="21117"/>
    <cellStyle name="_적격(화산) _공내역서_수원율전 실행내역 2" xfId="21118"/>
    <cellStyle name="_적격(화산) _공내역서_수원율전 실행내역 검토안" xfId="21119"/>
    <cellStyle name="_적격(화산) _공내역서_수원율전 실행내역 검토안 2" xfId="21120"/>
    <cellStyle name="_적격(화산) _공내역서_수원율전 실행내역 검토안_사본 - ☆태평동  도급내역" xfId="21121"/>
    <cellStyle name="_적격(화산) _공내역서_수원율전 실행내역 검토안_사본 - ☆태평동  도급내역 2" xfId="21122"/>
    <cellStyle name="_적격(화산) _공내역서_수원율전 실행내역 검토안_성남태평동설비공사" xfId="21123"/>
    <cellStyle name="_적격(화산) _공내역서_수원율전 실행내역 검토안_성남태평동설비공사 2" xfId="21124"/>
    <cellStyle name="_적격(화산) _공내역서_수원율전 실행내역 검토안_수원율전 실행내역" xfId="21125"/>
    <cellStyle name="_적격(화산) _공내역서_수원율전 실행내역 검토안_수원율전 실행내역 2" xfId="21126"/>
    <cellStyle name="_적격(화산) _공내역서_수원율전 실행내역 검토안_수원율전 실행내역 검토안" xfId="21127"/>
    <cellStyle name="_적격(화산) _공내역서_수원율전 실행내역 검토안_수원율전 실행내역 검토안 2" xfId="21128"/>
    <cellStyle name="_적격(화산) _공내역서_수원율전 실행내역 검토안_수원율전 실행내역 검토안_사본 - ☆태평동  도급내역" xfId="21129"/>
    <cellStyle name="_적격(화산) _공내역서_수원율전 실행내역 검토안_수원율전 실행내역 검토안_사본 - ☆태평동  도급내역 2" xfId="21130"/>
    <cellStyle name="_적격(화산) _공내역서_수원율전 실행내역 검토안_수원율전 실행내역 검토안_성남태평동설비공사" xfId="21131"/>
    <cellStyle name="_적격(화산) _공내역서_수원율전 실행내역 검토안_수원율전 실행내역 검토안_성남태평동설비공사 2" xfId="21132"/>
    <cellStyle name="_적격(화산) _공내역서_수원율전 실행내역 검토안_수원율전 실행내역 검토안_수정구 태평동 주상복합 실행내역 검토안" xfId="21133"/>
    <cellStyle name="_적격(화산) _공내역서_수원율전 실행내역 검토안_수원율전 실행내역 검토안_수정구 태평동 주상복합 실행내역 검토안 2" xfId="21134"/>
    <cellStyle name="_적격(화산) _공내역서_수원율전 실행내역 검토안_수원율전 실행내역 검토안_태평동 실행내역서" xfId="21135"/>
    <cellStyle name="_적격(화산) _공내역서_수원율전 실행내역 검토안_수원율전 실행내역 검토안_태평동 실행내역서 2" xfId="21136"/>
    <cellStyle name="_적격(화산) _공내역서_수원율전 실행내역 검토안_수원율전 실행내역 검토안_태평동도급내역(Rev.2)-12.26" xfId="21137"/>
    <cellStyle name="_적격(화산) _공내역서_수원율전 실행내역 검토안_수원율전 실행내역 검토안_태평동도급내역(Rev.2)-12.26 2" xfId="21138"/>
    <cellStyle name="_적격(화산) _공내역서_수원율전 실행내역 검토안_수정구 태평동 주상복합 실행내역 검토안" xfId="21139"/>
    <cellStyle name="_적격(화산) _공내역서_수원율전 실행내역 검토안_수정구 태평동 주상복합 실행내역 검토안 2" xfId="21140"/>
    <cellStyle name="_적격(화산) _공내역서_수원율전 실행내역 검토안_태평동 실행내역서" xfId="21141"/>
    <cellStyle name="_적격(화산) _공내역서_수원율전 실행내역 검토안_태평동 실행내역서 2" xfId="21142"/>
    <cellStyle name="_적격(화산) _공내역서_수원율전 실행내역 검토안_태평동도급내역(Rev.2)-12.26" xfId="21143"/>
    <cellStyle name="_적격(화산) _공내역서_수원율전 실행내역 검토안_태평동도급내역(Rev.2)-12.26 2" xfId="21144"/>
    <cellStyle name="_적격(화산) _공내역서_수원율전조합" xfId="21145"/>
    <cellStyle name="_적격(화산) _공내역서_수원율전조합 2" xfId="21146"/>
    <cellStyle name="_적격(화산) _공내역서_수원율전조합_사본 - ☆태평동  도급내역" xfId="21147"/>
    <cellStyle name="_적격(화산) _공내역서_수원율전조합_사본 - ☆태평동  도급내역 2" xfId="21148"/>
    <cellStyle name="_적격(화산) _공내역서_수원율전조합_성남태평동설비공사" xfId="21149"/>
    <cellStyle name="_적격(화산) _공내역서_수원율전조합_성남태평동설비공사 2" xfId="21150"/>
    <cellStyle name="_적격(화산) _공내역서_수원율전조합_수원율전 실행내역" xfId="21151"/>
    <cellStyle name="_적격(화산) _공내역서_수원율전조합_수원율전 실행내역 2" xfId="21152"/>
    <cellStyle name="_적격(화산) _공내역서_수원율전조합_수원율전 실행내역 검토안" xfId="21153"/>
    <cellStyle name="_적격(화산) _공내역서_수원율전조합_수원율전 실행내역 검토안 2" xfId="21154"/>
    <cellStyle name="_적격(화산) _공내역서_수원율전조합_수원율전 실행내역 검토안_사본 - ☆태평동  도급내역" xfId="21155"/>
    <cellStyle name="_적격(화산) _공내역서_수원율전조합_수원율전 실행내역 검토안_사본 - ☆태평동  도급내역 2" xfId="21156"/>
    <cellStyle name="_적격(화산) _공내역서_수원율전조합_수원율전 실행내역 검토안_성남태평동설비공사" xfId="21157"/>
    <cellStyle name="_적격(화산) _공내역서_수원율전조합_수원율전 실행내역 검토안_성남태평동설비공사 2" xfId="21158"/>
    <cellStyle name="_적격(화산) _공내역서_수원율전조합_수원율전 실행내역 검토안_수정구 태평동 주상복합 실행내역 검토안" xfId="21159"/>
    <cellStyle name="_적격(화산) _공내역서_수원율전조합_수원율전 실행내역 검토안_수정구 태평동 주상복합 실행내역 검토안 2" xfId="21160"/>
    <cellStyle name="_적격(화산) _공내역서_수원율전조합_수원율전 실행내역 검토안_태평동 실행내역서" xfId="21161"/>
    <cellStyle name="_적격(화산) _공내역서_수원율전조합_수원율전 실행내역 검토안_태평동 실행내역서 2" xfId="21162"/>
    <cellStyle name="_적격(화산) _공내역서_수원율전조합_수원율전 실행내역 검토안_태평동도급내역(Rev.2)-12.26" xfId="21163"/>
    <cellStyle name="_적격(화산) _공내역서_수원율전조합_수원율전 실행내역 검토안_태평동도급내역(Rev.2)-12.26 2" xfId="21164"/>
    <cellStyle name="_적격(화산) _공내역서_수원율전조합_수정구 태평동 주상복합 실행내역 검토안" xfId="21165"/>
    <cellStyle name="_적격(화산) _공내역서_수원율전조합_수정구 태평동 주상복합 실행내역 검토안 2" xfId="21166"/>
    <cellStyle name="_적격(화산) _공내역서_수원율전조합_태평동 실행내역서" xfId="21167"/>
    <cellStyle name="_적격(화산) _공내역서_수원율전조합_태평동 실행내역서 2" xfId="21168"/>
    <cellStyle name="_적격(화산) _공내역서_수원율전조합_태평동도급내역(Rev.2)-12.26" xfId="21169"/>
    <cellStyle name="_적격(화산) _공내역서_수원율전조합_태평동도급내역(Rev.2)-12.26 2" xfId="21170"/>
    <cellStyle name="_적격(화산) _공내역서_수정구 태평동 주상복합 실행내역 검토안" xfId="21171"/>
    <cellStyle name="_적격(화산) _공내역서_수정구 태평동 주상복합 실행내역 검토안 2" xfId="21172"/>
    <cellStyle name="_적격(화산) _공내역서_태평동 실행내역서" xfId="21173"/>
    <cellStyle name="_적격(화산) _공내역서_태평동 실행내역서 2" xfId="21174"/>
    <cellStyle name="_적격(화산) _공내역서_태평동도급내역(Rev.2)-12.26" xfId="21175"/>
    <cellStyle name="_적격(화산) _공내역서_태평동도급내역(Rev.2)-12.26 2" xfId="21176"/>
    <cellStyle name="_적격(화산) _공내역서-창호" xfId="20981"/>
    <cellStyle name="_적격(화산) _공내역서-창호 2" xfId="20982"/>
    <cellStyle name="_적격(화산) _공내역서-창호_사본 - ☆태평동  도급내역" xfId="20983"/>
    <cellStyle name="_적격(화산) _공내역서-창호_사본 - ☆태평동  도급내역 2" xfId="20984"/>
    <cellStyle name="_적격(화산) _공내역서-창호_성남태평동설비공사" xfId="20985"/>
    <cellStyle name="_적격(화산) _공내역서-창호_성남태평동설비공사 2" xfId="20986"/>
    <cellStyle name="_적격(화산) _공내역서-창호_수원율전 실행내역" xfId="20987"/>
    <cellStyle name="_적격(화산) _공내역서-창호_수원율전 실행내역 2" xfId="20988"/>
    <cellStyle name="_적격(화산) _공내역서-창호_수원율전 실행내역 검토안" xfId="20989"/>
    <cellStyle name="_적격(화산) _공내역서-창호_수원율전 실행내역 검토안 2" xfId="20990"/>
    <cellStyle name="_적격(화산) _공내역서-창호_수원율전 실행내역 검토안_사본 - ☆태평동  도급내역" xfId="20991"/>
    <cellStyle name="_적격(화산) _공내역서-창호_수원율전 실행내역 검토안_사본 - ☆태평동  도급내역 2" xfId="20992"/>
    <cellStyle name="_적격(화산) _공내역서-창호_수원율전 실행내역 검토안_성남태평동설비공사" xfId="20993"/>
    <cellStyle name="_적격(화산) _공내역서-창호_수원율전 실행내역 검토안_성남태평동설비공사 2" xfId="20994"/>
    <cellStyle name="_적격(화산) _공내역서-창호_수원율전 실행내역 검토안_수원율전 실행내역" xfId="20995"/>
    <cellStyle name="_적격(화산) _공내역서-창호_수원율전 실행내역 검토안_수원율전 실행내역 2" xfId="20996"/>
    <cellStyle name="_적격(화산) _공내역서-창호_수원율전 실행내역 검토안_수원율전 실행내역 검토안" xfId="20997"/>
    <cellStyle name="_적격(화산) _공내역서-창호_수원율전 실행내역 검토안_수원율전 실행내역 검토안 2" xfId="20998"/>
    <cellStyle name="_적격(화산) _공내역서-창호_수원율전 실행내역 검토안_수원율전 실행내역 검토안_사본 - ☆태평동  도급내역" xfId="20999"/>
    <cellStyle name="_적격(화산) _공내역서-창호_수원율전 실행내역 검토안_수원율전 실행내역 검토안_사본 - ☆태평동  도급내역 2" xfId="21000"/>
    <cellStyle name="_적격(화산) _공내역서-창호_수원율전 실행내역 검토안_수원율전 실행내역 검토안_성남태평동설비공사" xfId="21001"/>
    <cellStyle name="_적격(화산) _공내역서-창호_수원율전 실행내역 검토안_수원율전 실행내역 검토안_성남태평동설비공사 2" xfId="21002"/>
    <cellStyle name="_적격(화산) _공내역서-창호_수원율전 실행내역 검토안_수원율전 실행내역 검토안_수정구 태평동 주상복합 실행내역 검토안" xfId="21003"/>
    <cellStyle name="_적격(화산) _공내역서-창호_수원율전 실행내역 검토안_수원율전 실행내역 검토안_수정구 태평동 주상복합 실행내역 검토안 2" xfId="21004"/>
    <cellStyle name="_적격(화산) _공내역서-창호_수원율전 실행내역 검토안_수원율전 실행내역 검토안_태평동 실행내역서" xfId="21005"/>
    <cellStyle name="_적격(화산) _공내역서-창호_수원율전 실행내역 검토안_수원율전 실행내역 검토안_태평동 실행내역서 2" xfId="21006"/>
    <cellStyle name="_적격(화산) _공내역서-창호_수원율전 실행내역 검토안_수원율전 실행내역 검토안_태평동도급내역(Rev.2)-12.26" xfId="21007"/>
    <cellStyle name="_적격(화산) _공내역서-창호_수원율전 실행내역 검토안_수원율전 실행내역 검토안_태평동도급내역(Rev.2)-12.26 2" xfId="21008"/>
    <cellStyle name="_적격(화산) _공내역서-창호_수원율전 실행내역 검토안_수정구 태평동 주상복합 실행내역 검토안" xfId="21009"/>
    <cellStyle name="_적격(화산) _공내역서-창호_수원율전 실행내역 검토안_수정구 태평동 주상복합 실행내역 검토안 2" xfId="21010"/>
    <cellStyle name="_적격(화산) _공내역서-창호_수원율전 실행내역 검토안_태평동 실행내역서" xfId="21011"/>
    <cellStyle name="_적격(화산) _공내역서-창호_수원율전 실행내역 검토안_태평동 실행내역서 2" xfId="21012"/>
    <cellStyle name="_적격(화산) _공내역서-창호_수원율전 실행내역 검토안_태평동도급내역(Rev.2)-12.26" xfId="21013"/>
    <cellStyle name="_적격(화산) _공내역서-창호_수원율전 실행내역 검토안_태평동도급내역(Rev.2)-12.26 2" xfId="21014"/>
    <cellStyle name="_적격(화산) _공내역서-창호_수원율전조합" xfId="21015"/>
    <cellStyle name="_적격(화산) _공내역서-창호_수원율전조합 2" xfId="21016"/>
    <cellStyle name="_적격(화산) _공내역서-창호_수원율전조합_사본 - ☆태평동  도급내역" xfId="21017"/>
    <cellStyle name="_적격(화산) _공내역서-창호_수원율전조합_사본 - ☆태평동  도급내역 2" xfId="21018"/>
    <cellStyle name="_적격(화산) _공내역서-창호_수원율전조합_성남태평동설비공사" xfId="21019"/>
    <cellStyle name="_적격(화산) _공내역서-창호_수원율전조합_성남태평동설비공사 2" xfId="21020"/>
    <cellStyle name="_적격(화산) _공내역서-창호_수원율전조합_수원율전 실행내역" xfId="21021"/>
    <cellStyle name="_적격(화산) _공내역서-창호_수원율전조합_수원율전 실행내역 2" xfId="21022"/>
    <cellStyle name="_적격(화산) _공내역서-창호_수원율전조합_수원율전 실행내역 검토안" xfId="21023"/>
    <cellStyle name="_적격(화산) _공내역서-창호_수원율전조합_수원율전 실행내역 검토안 2" xfId="21024"/>
    <cellStyle name="_적격(화산) _공내역서-창호_수원율전조합_수원율전 실행내역 검토안_사본 - ☆태평동  도급내역" xfId="21025"/>
    <cellStyle name="_적격(화산) _공내역서-창호_수원율전조합_수원율전 실행내역 검토안_사본 - ☆태평동  도급내역 2" xfId="21026"/>
    <cellStyle name="_적격(화산) _공내역서-창호_수원율전조합_수원율전 실행내역 검토안_성남태평동설비공사" xfId="21027"/>
    <cellStyle name="_적격(화산) _공내역서-창호_수원율전조합_수원율전 실행내역 검토안_성남태평동설비공사 2" xfId="21028"/>
    <cellStyle name="_적격(화산) _공내역서-창호_수원율전조합_수원율전 실행내역 검토안_수정구 태평동 주상복합 실행내역 검토안" xfId="21029"/>
    <cellStyle name="_적격(화산) _공내역서-창호_수원율전조합_수원율전 실행내역 검토안_수정구 태평동 주상복합 실행내역 검토안 2" xfId="21030"/>
    <cellStyle name="_적격(화산) _공내역서-창호_수원율전조합_수원율전 실행내역 검토안_태평동 실행내역서" xfId="21031"/>
    <cellStyle name="_적격(화산) _공내역서-창호_수원율전조합_수원율전 실행내역 검토안_태평동 실행내역서 2" xfId="21032"/>
    <cellStyle name="_적격(화산) _공내역서-창호_수원율전조합_수원율전 실행내역 검토안_태평동도급내역(Rev.2)-12.26" xfId="21033"/>
    <cellStyle name="_적격(화산) _공내역서-창호_수원율전조합_수원율전 실행내역 검토안_태평동도급내역(Rev.2)-12.26 2" xfId="21034"/>
    <cellStyle name="_적격(화산) _공내역서-창호_수원율전조합_수정구 태평동 주상복합 실행내역 검토안" xfId="21035"/>
    <cellStyle name="_적격(화산) _공내역서-창호_수원율전조합_수정구 태평동 주상복합 실행내역 검토안 2" xfId="21036"/>
    <cellStyle name="_적격(화산) _공내역서-창호_수원율전조합_태평동 실행내역서" xfId="21037"/>
    <cellStyle name="_적격(화산) _공내역서-창호_수원율전조합_태평동 실행내역서 2" xfId="21038"/>
    <cellStyle name="_적격(화산) _공내역서-창호_수원율전조합_태평동도급내역(Rev.2)-12.26" xfId="21039"/>
    <cellStyle name="_적격(화산) _공내역서-창호_수원율전조합_태평동도급내역(Rev.2)-12.26 2" xfId="21040"/>
    <cellStyle name="_적격(화산) _공내역서-창호_수정구 태평동 주상복합 실행내역 검토안" xfId="21041"/>
    <cellStyle name="_적격(화산) _공내역서-창호_수정구 태평동 주상복합 실행내역 검토안 2" xfId="21042"/>
    <cellStyle name="_적격(화산) _공내역서-창호_태평동 실행내역서" xfId="21043"/>
    <cellStyle name="_적격(화산) _공내역서-창호_태평동 실행내역서 2" xfId="21044"/>
    <cellStyle name="_적격(화산) _공내역서-창호_태평동도급내역(Rev.2)-12.26" xfId="21045"/>
    <cellStyle name="_적격(화산) _공내역서-창호_태평동도급내역(Rev.2)-12.26 2" xfId="21046"/>
    <cellStyle name="_적격(화산) _공내역서-창호분개" xfId="21047"/>
    <cellStyle name="_적격(화산) _공내역서-창호분개 2" xfId="21048"/>
    <cellStyle name="_적격(화산) _공내역서-창호분개_사본 - ☆태평동  도급내역" xfId="21049"/>
    <cellStyle name="_적격(화산) _공내역서-창호분개_사본 - ☆태평동  도급내역 2" xfId="21050"/>
    <cellStyle name="_적격(화산) _공내역서-창호분개_성남태평동설비공사" xfId="21051"/>
    <cellStyle name="_적격(화산) _공내역서-창호분개_성남태평동설비공사 2" xfId="21052"/>
    <cellStyle name="_적격(화산) _공내역서-창호분개_수원율전 실행내역" xfId="21053"/>
    <cellStyle name="_적격(화산) _공내역서-창호분개_수원율전 실행내역 2" xfId="21054"/>
    <cellStyle name="_적격(화산) _공내역서-창호분개_수원율전 실행내역 검토안" xfId="21055"/>
    <cellStyle name="_적격(화산) _공내역서-창호분개_수원율전 실행내역 검토안 2" xfId="21056"/>
    <cellStyle name="_적격(화산) _공내역서-창호분개_수원율전 실행내역 검토안_사본 - ☆태평동  도급내역" xfId="21057"/>
    <cellStyle name="_적격(화산) _공내역서-창호분개_수원율전 실행내역 검토안_사본 - ☆태평동  도급내역 2" xfId="21058"/>
    <cellStyle name="_적격(화산) _공내역서-창호분개_수원율전 실행내역 검토안_성남태평동설비공사" xfId="21059"/>
    <cellStyle name="_적격(화산) _공내역서-창호분개_수원율전 실행내역 검토안_성남태평동설비공사 2" xfId="21060"/>
    <cellStyle name="_적격(화산) _공내역서-창호분개_수원율전 실행내역 검토안_수원율전 실행내역" xfId="21061"/>
    <cellStyle name="_적격(화산) _공내역서-창호분개_수원율전 실행내역 검토안_수원율전 실행내역 2" xfId="21062"/>
    <cellStyle name="_적격(화산) _공내역서-창호분개_수원율전 실행내역 검토안_수원율전 실행내역 검토안" xfId="21063"/>
    <cellStyle name="_적격(화산) _공내역서-창호분개_수원율전 실행내역 검토안_수원율전 실행내역 검토안 2" xfId="21064"/>
    <cellStyle name="_적격(화산) _공내역서-창호분개_수원율전 실행내역 검토안_수원율전 실행내역 검토안_사본 - ☆태평동  도급내역" xfId="21065"/>
    <cellStyle name="_적격(화산) _공내역서-창호분개_수원율전 실행내역 검토안_수원율전 실행내역 검토안_사본 - ☆태평동  도급내역 2" xfId="21066"/>
    <cellStyle name="_적격(화산) _공내역서-창호분개_수원율전 실행내역 검토안_수원율전 실행내역 검토안_성남태평동설비공사" xfId="21067"/>
    <cellStyle name="_적격(화산) _공내역서-창호분개_수원율전 실행내역 검토안_수원율전 실행내역 검토안_성남태평동설비공사 2" xfId="21068"/>
    <cellStyle name="_적격(화산) _공내역서-창호분개_수원율전 실행내역 검토안_수원율전 실행내역 검토안_수정구 태평동 주상복합 실행내역 검토안" xfId="21069"/>
    <cellStyle name="_적격(화산) _공내역서-창호분개_수원율전 실행내역 검토안_수원율전 실행내역 검토안_수정구 태평동 주상복합 실행내역 검토안 2" xfId="21070"/>
    <cellStyle name="_적격(화산) _공내역서-창호분개_수원율전 실행내역 검토안_수원율전 실행내역 검토안_태평동 실행내역서" xfId="21071"/>
    <cellStyle name="_적격(화산) _공내역서-창호분개_수원율전 실행내역 검토안_수원율전 실행내역 검토안_태평동 실행내역서 2" xfId="21072"/>
    <cellStyle name="_적격(화산) _공내역서-창호분개_수원율전 실행내역 검토안_수원율전 실행내역 검토안_태평동도급내역(Rev.2)-12.26" xfId="21073"/>
    <cellStyle name="_적격(화산) _공내역서-창호분개_수원율전 실행내역 검토안_수원율전 실행내역 검토안_태평동도급내역(Rev.2)-12.26 2" xfId="21074"/>
    <cellStyle name="_적격(화산) _공내역서-창호분개_수원율전 실행내역 검토안_수정구 태평동 주상복합 실행내역 검토안" xfId="21075"/>
    <cellStyle name="_적격(화산) _공내역서-창호분개_수원율전 실행내역 검토안_수정구 태평동 주상복합 실행내역 검토안 2" xfId="21076"/>
    <cellStyle name="_적격(화산) _공내역서-창호분개_수원율전 실행내역 검토안_태평동 실행내역서" xfId="21077"/>
    <cellStyle name="_적격(화산) _공내역서-창호분개_수원율전 실행내역 검토안_태평동 실행내역서 2" xfId="21078"/>
    <cellStyle name="_적격(화산) _공내역서-창호분개_수원율전 실행내역 검토안_태평동도급내역(Rev.2)-12.26" xfId="21079"/>
    <cellStyle name="_적격(화산) _공내역서-창호분개_수원율전 실행내역 검토안_태평동도급내역(Rev.2)-12.26 2" xfId="21080"/>
    <cellStyle name="_적격(화산) _공내역서-창호분개_수원율전조합" xfId="21081"/>
    <cellStyle name="_적격(화산) _공내역서-창호분개_수원율전조합 2" xfId="21082"/>
    <cellStyle name="_적격(화산) _공내역서-창호분개_수원율전조합_사본 - ☆태평동  도급내역" xfId="21083"/>
    <cellStyle name="_적격(화산) _공내역서-창호분개_수원율전조합_사본 - ☆태평동  도급내역 2" xfId="21084"/>
    <cellStyle name="_적격(화산) _공내역서-창호분개_수원율전조합_성남태평동설비공사" xfId="21085"/>
    <cellStyle name="_적격(화산) _공내역서-창호분개_수원율전조합_성남태평동설비공사 2" xfId="21086"/>
    <cellStyle name="_적격(화산) _공내역서-창호분개_수원율전조합_수원율전 실행내역" xfId="21087"/>
    <cellStyle name="_적격(화산) _공내역서-창호분개_수원율전조합_수원율전 실행내역 2" xfId="21088"/>
    <cellStyle name="_적격(화산) _공내역서-창호분개_수원율전조합_수원율전 실행내역 검토안" xfId="21089"/>
    <cellStyle name="_적격(화산) _공내역서-창호분개_수원율전조합_수원율전 실행내역 검토안 2" xfId="21090"/>
    <cellStyle name="_적격(화산) _공내역서-창호분개_수원율전조합_수원율전 실행내역 검토안_사본 - ☆태평동  도급내역" xfId="21091"/>
    <cellStyle name="_적격(화산) _공내역서-창호분개_수원율전조합_수원율전 실행내역 검토안_사본 - ☆태평동  도급내역 2" xfId="21092"/>
    <cellStyle name="_적격(화산) _공내역서-창호분개_수원율전조합_수원율전 실행내역 검토안_성남태평동설비공사" xfId="21093"/>
    <cellStyle name="_적격(화산) _공내역서-창호분개_수원율전조합_수원율전 실행내역 검토안_성남태평동설비공사 2" xfId="21094"/>
    <cellStyle name="_적격(화산) _공내역서-창호분개_수원율전조합_수원율전 실행내역 검토안_수정구 태평동 주상복합 실행내역 검토안" xfId="21095"/>
    <cellStyle name="_적격(화산) _공내역서-창호분개_수원율전조합_수원율전 실행내역 검토안_수정구 태평동 주상복합 실행내역 검토안 2" xfId="21096"/>
    <cellStyle name="_적격(화산) _공내역서-창호분개_수원율전조합_수원율전 실행내역 검토안_태평동 실행내역서" xfId="21097"/>
    <cellStyle name="_적격(화산) _공내역서-창호분개_수원율전조합_수원율전 실행내역 검토안_태평동 실행내역서 2" xfId="21098"/>
    <cellStyle name="_적격(화산) _공내역서-창호분개_수원율전조합_수원율전 실행내역 검토안_태평동도급내역(Rev.2)-12.26" xfId="21099"/>
    <cellStyle name="_적격(화산) _공내역서-창호분개_수원율전조합_수원율전 실행내역 검토안_태평동도급내역(Rev.2)-12.26 2" xfId="21100"/>
    <cellStyle name="_적격(화산) _공내역서-창호분개_수원율전조합_수정구 태평동 주상복합 실행내역 검토안" xfId="21101"/>
    <cellStyle name="_적격(화산) _공내역서-창호분개_수원율전조합_수정구 태평동 주상복합 실행내역 검토안 2" xfId="21102"/>
    <cellStyle name="_적격(화산) _공내역서-창호분개_수원율전조합_태평동 실행내역서" xfId="21103"/>
    <cellStyle name="_적격(화산) _공내역서-창호분개_수원율전조합_태평동 실행내역서 2" xfId="21104"/>
    <cellStyle name="_적격(화산) _공내역서-창호분개_수원율전조합_태평동도급내역(Rev.2)-12.26" xfId="21105"/>
    <cellStyle name="_적격(화산) _공내역서-창호분개_수원율전조합_태평동도급내역(Rev.2)-12.26 2" xfId="21106"/>
    <cellStyle name="_적격(화산) _공내역서-창호분개_수정구 태평동 주상복합 실행내역 검토안" xfId="21107"/>
    <cellStyle name="_적격(화산) _공내역서-창호분개_수정구 태평동 주상복합 실행내역 검토안 2" xfId="21108"/>
    <cellStyle name="_적격(화산) _공내역서-창호분개_태평동 실행내역서" xfId="21109"/>
    <cellStyle name="_적격(화산) _공내역서-창호분개_태평동 실행내역서 2" xfId="21110"/>
    <cellStyle name="_적격(화산) _공내역서-창호분개_태평동도급내역(Rev.2)-12.26" xfId="21111"/>
    <cellStyle name="_적격(화산) _공내역서-창호분개_태평동도급내역(Rev.2)-12.26 2" xfId="21112"/>
    <cellStyle name="_적격(화산) _공사개요" xfId="21177"/>
    <cellStyle name="_적격(화산) _공사개요 2" xfId="21178"/>
    <cellStyle name="_적격(화산) _공사개요_Book2" xfId="21179"/>
    <cellStyle name="_적격(화산) _공사개요_Book2 2" xfId="21180"/>
    <cellStyle name="_적격(화산) _공사개요_Book4" xfId="21181"/>
    <cellStyle name="_적격(화산) _공사개요_Book4 2" xfId="21182"/>
    <cellStyle name="_적격(화산) _내역(02.04.16)선우대교" xfId="21183"/>
    <cellStyle name="_적격(화산) _내역(02.04.16)선우대교_☆남악2-3공구가실행" xfId="21192"/>
    <cellStyle name="_적격(화산) _내역(02.04.16)선우대교_☆남악2-3공구가실행_3-1(금강)-여의도 세우회관 철거공사" xfId="21193"/>
    <cellStyle name="_적격(화산) _내역(02.04.16)선우대교_☆남악2-3공구가실행_3-1(금강)-여의도 세우회관 철거공사_24-1(동부)-두능-연곡 도로건설공사 중 기존교량철거" xfId="21194"/>
    <cellStyle name="_적격(화산) _내역(02.04.16)선우대교_☆남악2-3공구가실행_3-1(금강)-여의도 세우회관 철거공사_견적1" xfId="21195"/>
    <cellStyle name="_적격(화산) _내역(02.04.16)선우대교_☆남악2-3공구가실행_3-1(금강)-여의도 세우회관 철거공사_견적1_28-3-2 삼환-대한생명 63빌딩 현장 철거공사 (재노경)" xfId="21196"/>
    <cellStyle name="_적격(화산) _내역(02.04.16)선우대교_☆남악2-3공구가실행_8-2(삼성)-김해공항 국제청 화물청사 세관창고철거" xfId="21197"/>
    <cellStyle name="_적격(화산) _내역(02.04.16)선우대교_☆남악2-3공구가실행_8-2(삼성)-김해공항 국제청 화물청사 세관창고철거_24-1(동부)-두능-연곡 도로건설공사 중 기존교량철거" xfId="21198"/>
    <cellStyle name="_적격(화산) _내역(02.04.16)선우대교_☆남악2-3공구가실행_8-2(삼성)-김해공항 국제청 화물청사 세관창고철거_견적1" xfId="21199"/>
    <cellStyle name="_적격(화산) _내역(02.04.16)선우대교_☆남악2-3공구가실행_8-2(삼성)-김해공항 국제청 화물청사 세관창고철거_견적1_28-3-2 삼환-대한생명 63빌딩 현장 철거공사 (재노경)" xfId="21200"/>
    <cellStyle name="_적격(화산) _내역(02.04.16)선우대교_☆남악2-3공구가실행_견적1" xfId="21201"/>
    <cellStyle name="_적격(화산) _내역(02.04.16)선우대교_☆남악2-3공구가실행_견적1_28-3-2 삼환-대한생명 63빌딩 현장 철거공사 (재노경)" xfId="21202"/>
    <cellStyle name="_적격(화산) _내역(02.04.16)선우대교_☆남악2-3공구가실행_견적서" xfId="21203"/>
    <cellStyle name="_적격(화산) _내역(02.04.16)선우대교_☆남악2-3공구가실행_견적서_24-1(동부)-두능-연곡 도로건설공사 중 기존교량철거" xfId="21204"/>
    <cellStyle name="_적격(화산) _내역(02.04.16)선우대교_☆남악2-3공구가실행_견적서_견적1" xfId="21205"/>
    <cellStyle name="_적격(화산) _내역(02.04.16)선우대교_☆남악2-3공구가실행_견적서_견적1_28-3-2 삼환-대한생명 63빌딩 현장 철거공사 (재노경)" xfId="21206"/>
    <cellStyle name="_적격(화산) _내역(02.04.16)선우대교_3-1(금강)-여의도 세우회관 철거공사" xfId="21184"/>
    <cellStyle name="_적격(화산) _내역(02.04.16)선우대교_3-1(금강)-여의도 세우회관 철거공사_24-1(동부)-두능-연곡 도로건설공사 중 기존교량철거" xfId="21185"/>
    <cellStyle name="_적격(화산) _내역(02.04.16)선우대교_3-1(금강)-여의도 세우회관 철거공사_견적1" xfId="21186"/>
    <cellStyle name="_적격(화산) _내역(02.04.16)선우대교_3-1(금강)-여의도 세우회관 철거공사_견적1_28-3-2 삼환-대한생명 63빌딩 현장 철거공사 (재노경)" xfId="21187"/>
    <cellStyle name="_적격(화산) _내역(02.04.16)선우대교_8-2(삼성)-김해공항 국제청 화물청사 세관창고철거" xfId="21188"/>
    <cellStyle name="_적격(화산) _내역(02.04.16)선우대교_8-2(삼성)-김해공항 국제청 화물청사 세관창고철거_24-1(동부)-두능-연곡 도로건설공사 중 기존교량철거" xfId="21189"/>
    <cellStyle name="_적격(화산) _내역(02.04.16)선우대교_8-2(삼성)-김해공항 국제청 화물청사 세관창고철거_견적1" xfId="21190"/>
    <cellStyle name="_적격(화산) _내역(02.04.16)선우대교_8-2(삼성)-김해공항 국제청 화물청사 세관창고철거_견적1_28-3-2 삼환-대한생명 63빌딩 현장 철거공사 (재노경)" xfId="21191"/>
    <cellStyle name="_적격(화산) _내역(02.04.16)선우대교_견적1" xfId="21207"/>
    <cellStyle name="_적격(화산) _내역(02.04.16)선우대교_견적1_28-3-2 삼환-대한생명 63빌딩 현장 철거공사 (재노경)" xfId="21208"/>
    <cellStyle name="_적격(화산) _내역(02.04.16)선우대교_견적서" xfId="21209"/>
    <cellStyle name="_적격(화산) _내역(02.04.16)선우대교_견적서_24-1(동부)-두능-연곡 도로건설공사 중 기존교량철거" xfId="21210"/>
    <cellStyle name="_적격(화산) _내역(02.04.16)선우대교_견적서_견적1" xfId="21211"/>
    <cellStyle name="_적격(화산) _내역(02.04.16)선우대교_견적서_견적1_28-3-2 삼환-대한생명 63빌딩 현장 철거공사 (재노경)" xfId="21212"/>
    <cellStyle name="_적격(화산) _내역(02.04.17)선우대교" xfId="21213"/>
    <cellStyle name="_적격(화산) _내역(02.04.17)선우대교_☆남악2-3공구가실행" xfId="21222"/>
    <cellStyle name="_적격(화산) _내역(02.04.17)선우대교_☆남악2-3공구가실행_3-1(금강)-여의도 세우회관 철거공사" xfId="21223"/>
    <cellStyle name="_적격(화산) _내역(02.04.17)선우대교_☆남악2-3공구가실행_3-1(금강)-여의도 세우회관 철거공사_24-1(동부)-두능-연곡 도로건설공사 중 기존교량철거" xfId="21224"/>
    <cellStyle name="_적격(화산) _내역(02.04.17)선우대교_☆남악2-3공구가실행_3-1(금강)-여의도 세우회관 철거공사_견적1" xfId="21225"/>
    <cellStyle name="_적격(화산) _내역(02.04.17)선우대교_☆남악2-3공구가실행_3-1(금강)-여의도 세우회관 철거공사_견적1_28-3-2 삼환-대한생명 63빌딩 현장 철거공사 (재노경)" xfId="21226"/>
    <cellStyle name="_적격(화산) _내역(02.04.17)선우대교_☆남악2-3공구가실행_8-2(삼성)-김해공항 국제청 화물청사 세관창고철거" xfId="21227"/>
    <cellStyle name="_적격(화산) _내역(02.04.17)선우대교_☆남악2-3공구가실행_8-2(삼성)-김해공항 국제청 화물청사 세관창고철거_24-1(동부)-두능-연곡 도로건설공사 중 기존교량철거" xfId="21228"/>
    <cellStyle name="_적격(화산) _내역(02.04.17)선우대교_☆남악2-3공구가실행_8-2(삼성)-김해공항 국제청 화물청사 세관창고철거_견적1" xfId="21229"/>
    <cellStyle name="_적격(화산) _내역(02.04.17)선우대교_☆남악2-3공구가실행_8-2(삼성)-김해공항 국제청 화물청사 세관창고철거_견적1_28-3-2 삼환-대한생명 63빌딩 현장 철거공사 (재노경)" xfId="21230"/>
    <cellStyle name="_적격(화산) _내역(02.04.17)선우대교_☆남악2-3공구가실행_견적1" xfId="21231"/>
    <cellStyle name="_적격(화산) _내역(02.04.17)선우대교_☆남악2-3공구가실행_견적1_28-3-2 삼환-대한생명 63빌딩 현장 철거공사 (재노경)" xfId="21232"/>
    <cellStyle name="_적격(화산) _내역(02.04.17)선우대교_☆남악2-3공구가실행_견적서" xfId="21233"/>
    <cellStyle name="_적격(화산) _내역(02.04.17)선우대교_☆남악2-3공구가실행_견적서_24-1(동부)-두능-연곡 도로건설공사 중 기존교량철거" xfId="21234"/>
    <cellStyle name="_적격(화산) _내역(02.04.17)선우대교_☆남악2-3공구가실행_견적서_견적1" xfId="21235"/>
    <cellStyle name="_적격(화산) _내역(02.04.17)선우대교_☆남악2-3공구가실행_견적서_견적1_28-3-2 삼환-대한생명 63빌딩 현장 철거공사 (재노경)" xfId="21236"/>
    <cellStyle name="_적격(화산) _내역(02.04.17)선우대교_3-1(금강)-여의도 세우회관 철거공사" xfId="21214"/>
    <cellStyle name="_적격(화산) _내역(02.04.17)선우대교_3-1(금강)-여의도 세우회관 철거공사_24-1(동부)-두능-연곡 도로건설공사 중 기존교량철거" xfId="21215"/>
    <cellStyle name="_적격(화산) _내역(02.04.17)선우대교_3-1(금강)-여의도 세우회관 철거공사_견적1" xfId="21216"/>
    <cellStyle name="_적격(화산) _내역(02.04.17)선우대교_3-1(금강)-여의도 세우회관 철거공사_견적1_28-3-2 삼환-대한생명 63빌딩 현장 철거공사 (재노경)" xfId="21217"/>
    <cellStyle name="_적격(화산) _내역(02.04.17)선우대교_8-2(삼성)-김해공항 국제청 화물청사 세관창고철거" xfId="21218"/>
    <cellStyle name="_적격(화산) _내역(02.04.17)선우대교_8-2(삼성)-김해공항 국제청 화물청사 세관창고철거_24-1(동부)-두능-연곡 도로건설공사 중 기존교량철거" xfId="21219"/>
    <cellStyle name="_적격(화산) _내역(02.04.17)선우대교_8-2(삼성)-김해공항 국제청 화물청사 세관창고철거_견적1" xfId="21220"/>
    <cellStyle name="_적격(화산) _내역(02.04.17)선우대교_8-2(삼성)-김해공항 국제청 화물청사 세관창고철거_견적1_28-3-2 삼환-대한생명 63빌딩 현장 철거공사 (재노경)" xfId="21221"/>
    <cellStyle name="_적격(화산) _내역(02.04.17)선우대교_견적1" xfId="21237"/>
    <cellStyle name="_적격(화산) _내역(02.04.17)선우대교_견적1_28-3-2 삼환-대한생명 63빌딩 현장 철거공사 (재노경)" xfId="21238"/>
    <cellStyle name="_적격(화산) _내역(02.04.17)선우대교_견적서" xfId="21239"/>
    <cellStyle name="_적격(화산) _내역(02.04.17)선우대교_견적서_24-1(동부)-두능-연곡 도로건설공사 중 기존교량철거" xfId="21240"/>
    <cellStyle name="_적격(화산) _내역(02.04.17)선우대교_견적서_견적1" xfId="21241"/>
    <cellStyle name="_적격(화산) _내역(02.04.17)선우대교_견적서_견적1_28-3-2 삼환-대한생명 63빌딩 현장 철거공사 (재노경)" xfId="21242"/>
    <cellStyle name="_적격(화산) _내역(02.04.17)추모공원" xfId="21243"/>
    <cellStyle name="_적격(화산) _내역(02.04.17)추모공원_☆남악2-3공구가실행" xfId="21252"/>
    <cellStyle name="_적격(화산) _내역(02.04.17)추모공원_☆남악2-3공구가실행_3-1(금강)-여의도 세우회관 철거공사" xfId="21253"/>
    <cellStyle name="_적격(화산) _내역(02.04.17)추모공원_☆남악2-3공구가실행_3-1(금강)-여의도 세우회관 철거공사_24-1(동부)-두능-연곡 도로건설공사 중 기존교량철거" xfId="21254"/>
    <cellStyle name="_적격(화산) _내역(02.04.17)추모공원_☆남악2-3공구가실행_3-1(금강)-여의도 세우회관 철거공사_견적1" xfId="21255"/>
    <cellStyle name="_적격(화산) _내역(02.04.17)추모공원_☆남악2-3공구가실행_3-1(금강)-여의도 세우회관 철거공사_견적1_28-3-2 삼환-대한생명 63빌딩 현장 철거공사 (재노경)" xfId="21256"/>
    <cellStyle name="_적격(화산) _내역(02.04.17)추모공원_☆남악2-3공구가실행_8-2(삼성)-김해공항 국제청 화물청사 세관창고철거" xfId="21257"/>
    <cellStyle name="_적격(화산) _내역(02.04.17)추모공원_☆남악2-3공구가실행_8-2(삼성)-김해공항 국제청 화물청사 세관창고철거_24-1(동부)-두능-연곡 도로건설공사 중 기존교량철거" xfId="21258"/>
    <cellStyle name="_적격(화산) _내역(02.04.17)추모공원_☆남악2-3공구가실행_8-2(삼성)-김해공항 국제청 화물청사 세관창고철거_견적1" xfId="21259"/>
    <cellStyle name="_적격(화산) _내역(02.04.17)추모공원_☆남악2-3공구가실행_8-2(삼성)-김해공항 국제청 화물청사 세관창고철거_견적1_28-3-2 삼환-대한생명 63빌딩 현장 철거공사 (재노경)" xfId="21260"/>
    <cellStyle name="_적격(화산) _내역(02.04.17)추모공원_☆남악2-3공구가실행_견적1" xfId="21261"/>
    <cellStyle name="_적격(화산) _내역(02.04.17)추모공원_☆남악2-3공구가실행_견적1_28-3-2 삼환-대한생명 63빌딩 현장 철거공사 (재노경)" xfId="21262"/>
    <cellStyle name="_적격(화산) _내역(02.04.17)추모공원_☆남악2-3공구가실행_견적서" xfId="21263"/>
    <cellStyle name="_적격(화산) _내역(02.04.17)추모공원_☆남악2-3공구가실행_견적서_24-1(동부)-두능-연곡 도로건설공사 중 기존교량철거" xfId="21264"/>
    <cellStyle name="_적격(화산) _내역(02.04.17)추모공원_☆남악2-3공구가실행_견적서_견적1" xfId="21265"/>
    <cellStyle name="_적격(화산) _내역(02.04.17)추모공원_☆남악2-3공구가실행_견적서_견적1_28-3-2 삼환-대한생명 63빌딩 현장 철거공사 (재노경)" xfId="21266"/>
    <cellStyle name="_적격(화산) _내역(02.04.17)추모공원_3-1(금강)-여의도 세우회관 철거공사" xfId="21244"/>
    <cellStyle name="_적격(화산) _내역(02.04.17)추모공원_3-1(금강)-여의도 세우회관 철거공사_24-1(동부)-두능-연곡 도로건설공사 중 기존교량철거" xfId="21245"/>
    <cellStyle name="_적격(화산) _내역(02.04.17)추모공원_3-1(금강)-여의도 세우회관 철거공사_견적1" xfId="21246"/>
    <cellStyle name="_적격(화산) _내역(02.04.17)추모공원_3-1(금강)-여의도 세우회관 철거공사_견적1_28-3-2 삼환-대한생명 63빌딩 현장 철거공사 (재노경)" xfId="21247"/>
    <cellStyle name="_적격(화산) _내역(02.04.17)추모공원_8-2(삼성)-김해공항 국제청 화물청사 세관창고철거" xfId="21248"/>
    <cellStyle name="_적격(화산) _내역(02.04.17)추모공원_8-2(삼성)-김해공항 국제청 화물청사 세관창고철거_24-1(동부)-두능-연곡 도로건설공사 중 기존교량철거" xfId="21249"/>
    <cellStyle name="_적격(화산) _내역(02.04.17)추모공원_8-2(삼성)-김해공항 국제청 화물청사 세관창고철거_견적1" xfId="21250"/>
    <cellStyle name="_적격(화산) _내역(02.04.17)추모공원_8-2(삼성)-김해공항 국제청 화물청사 세관창고철거_견적1_28-3-2 삼환-대한생명 63빌딩 현장 철거공사 (재노경)" xfId="21251"/>
    <cellStyle name="_적격(화산) _내역(02.04.17)추모공원_견적1" xfId="21267"/>
    <cellStyle name="_적격(화산) _내역(02.04.17)추모공원_견적1_28-3-2 삼환-대한생명 63빌딩 현장 철거공사 (재노경)" xfId="21268"/>
    <cellStyle name="_적격(화산) _내역(02.04.17)추모공원_견적서" xfId="21269"/>
    <cellStyle name="_적격(화산) _내역(02.04.17)추모공원_견적서_24-1(동부)-두능-연곡 도로건설공사 중 기존교량철거" xfId="21270"/>
    <cellStyle name="_적격(화산) _내역(02.04.17)추모공원_견적서_견적1" xfId="21271"/>
    <cellStyle name="_적격(화산) _내역(02.04.17)추모공원_견적서_견적1_28-3-2 삼환-대한생명 63빌딩 현장 철거공사 (재노경)" xfId="21272"/>
    <cellStyle name="_적격(화산) _내역(02.09.30)신령-영천(2공구)" xfId="21273"/>
    <cellStyle name="_적격(화산) _내역(02.09.30)신령-영천(2공구)_☆남악2-3공구가실행" xfId="21282"/>
    <cellStyle name="_적격(화산) _내역(02.09.30)신령-영천(2공구)_☆남악2-3공구가실행_3-1(금강)-여의도 세우회관 철거공사" xfId="21283"/>
    <cellStyle name="_적격(화산) _내역(02.09.30)신령-영천(2공구)_☆남악2-3공구가실행_3-1(금강)-여의도 세우회관 철거공사_24-1(동부)-두능-연곡 도로건설공사 중 기존교량철거" xfId="21284"/>
    <cellStyle name="_적격(화산) _내역(02.09.30)신령-영천(2공구)_☆남악2-3공구가실행_3-1(금강)-여의도 세우회관 철거공사_견적1" xfId="21285"/>
    <cellStyle name="_적격(화산) _내역(02.09.30)신령-영천(2공구)_☆남악2-3공구가실행_3-1(금강)-여의도 세우회관 철거공사_견적1_28-3-2 삼환-대한생명 63빌딩 현장 철거공사 (재노경)" xfId="21286"/>
    <cellStyle name="_적격(화산) _내역(02.09.30)신령-영천(2공구)_☆남악2-3공구가실행_8-2(삼성)-김해공항 국제청 화물청사 세관창고철거" xfId="21287"/>
    <cellStyle name="_적격(화산) _내역(02.09.30)신령-영천(2공구)_☆남악2-3공구가실행_8-2(삼성)-김해공항 국제청 화물청사 세관창고철거_24-1(동부)-두능-연곡 도로건설공사 중 기존교량철거" xfId="21288"/>
    <cellStyle name="_적격(화산) _내역(02.09.30)신령-영천(2공구)_☆남악2-3공구가실행_8-2(삼성)-김해공항 국제청 화물청사 세관창고철거_견적1" xfId="21289"/>
    <cellStyle name="_적격(화산) _내역(02.09.30)신령-영천(2공구)_☆남악2-3공구가실행_8-2(삼성)-김해공항 국제청 화물청사 세관창고철거_견적1_28-3-2 삼환-대한생명 63빌딩 현장 철거공사 (재노경)" xfId="21290"/>
    <cellStyle name="_적격(화산) _내역(02.09.30)신령-영천(2공구)_☆남악2-3공구가실행_견적1" xfId="21291"/>
    <cellStyle name="_적격(화산) _내역(02.09.30)신령-영천(2공구)_☆남악2-3공구가실행_견적1_28-3-2 삼환-대한생명 63빌딩 현장 철거공사 (재노경)" xfId="21292"/>
    <cellStyle name="_적격(화산) _내역(02.09.30)신령-영천(2공구)_☆남악2-3공구가실행_견적서" xfId="21293"/>
    <cellStyle name="_적격(화산) _내역(02.09.30)신령-영천(2공구)_☆남악2-3공구가실행_견적서_24-1(동부)-두능-연곡 도로건설공사 중 기존교량철거" xfId="21294"/>
    <cellStyle name="_적격(화산) _내역(02.09.30)신령-영천(2공구)_☆남악2-3공구가실행_견적서_견적1" xfId="21295"/>
    <cellStyle name="_적격(화산) _내역(02.09.30)신령-영천(2공구)_☆남악2-3공구가실행_견적서_견적1_28-3-2 삼환-대한생명 63빌딩 현장 철거공사 (재노경)" xfId="21296"/>
    <cellStyle name="_적격(화산) _내역(02.09.30)신령-영천(2공구)_3-1(금강)-여의도 세우회관 철거공사" xfId="21274"/>
    <cellStyle name="_적격(화산) _내역(02.09.30)신령-영천(2공구)_3-1(금강)-여의도 세우회관 철거공사_24-1(동부)-두능-연곡 도로건설공사 중 기존교량철거" xfId="21275"/>
    <cellStyle name="_적격(화산) _내역(02.09.30)신령-영천(2공구)_3-1(금강)-여의도 세우회관 철거공사_견적1" xfId="21276"/>
    <cellStyle name="_적격(화산) _내역(02.09.30)신령-영천(2공구)_3-1(금강)-여의도 세우회관 철거공사_견적1_28-3-2 삼환-대한생명 63빌딩 현장 철거공사 (재노경)" xfId="21277"/>
    <cellStyle name="_적격(화산) _내역(02.09.30)신령-영천(2공구)_8-2(삼성)-김해공항 국제청 화물청사 세관창고철거" xfId="21278"/>
    <cellStyle name="_적격(화산) _내역(02.09.30)신령-영천(2공구)_8-2(삼성)-김해공항 국제청 화물청사 세관창고철거_24-1(동부)-두능-연곡 도로건설공사 중 기존교량철거" xfId="21279"/>
    <cellStyle name="_적격(화산) _내역(02.09.30)신령-영천(2공구)_8-2(삼성)-김해공항 국제청 화물청사 세관창고철거_견적1" xfId="21280"/>
    <cellStyle name="_적격(화산) _내역(02.09.30)신령-영천(2공구)_8-2(삼성)-김해공항 국제청 화물청사 세관창고철거_견적1_28-3-2 삼환-대한생명 63빌딩 현장 철거공사 (재노경)" xfId="21281"/>
    <cellStyle name="_적격(화산) _내역(02.09.30)신령-영천(2공구)_견적1" xfId="21297"/>
    <cellStyle name="_적격(화산) _내역(02.09.30)신령-영천(2공구)_견적1_28-3-2 삼환-대한생명 63빌딩 현장 철거공사 (재노경)" xfId="21298"/>
    <cellStyle name="_적격(화산) _내역(02.09.30)신령-영천(2공구)_견적서" xfId="21299"/>
    <cellStyle name="_적격(화산) _내역(02.09.30)신령-영천(2공구)_견적서_24-1(동부)-두능-연곡 도로건설공사 중 기존교량철거" xfId="21300"/>
    <cellStyle name="_적격(화산) _내역(02.09.30)신령-영천(2공구)_견적서_견적1" xfId="21301"/>
    <cellStyle name="_적격(화산) _내역(02.09.30)신령-영천(2공구)_견적서_견적1_28-3-2 삼환-대한생명 63빌딩 현장 철거공사 (재노경)" xfId="21302"/>
    <cellStyle name="_적격(화산) _내역(02.10.14)신령-영천(2공구)-0.3312" xfId="21303"/>
    <cellStyle name="_적격(화산) _내역(02.10.14)신령-영천(2공구)-0.3312_☆남악2-3공구가실행" xfId="21312"/>
    <cellStyle name="_적격(화산) _내역(02.10.14)신령-영천(2공구)-0.3312_☆남악2-3공구가실행_3-1(금강)-여의도 세우회관 철거공사" xfId="21313"/>
    <cellStyle name="_적격(화산) _내역(02.10.14)신령-영천(2공구)-0.3312_☆남악2-3공구가실행_3-1(금강)-여의도 세우회관 철거공사_24-1(동부)-두능-연곡 도로건설공사 중 기존교량철거" xfId="21314"/>
    <cellStyle name="_적격(화산) _내역(02.10.14)신령-영천(2공구)-0.3312_☆남악2-3공구가실행_3-1(금강)-여의도 세우회관 철거공사_견적1" xfId="21315"/>
    <cellStyle name="_적격(화산) _내역(02.10.14)신령-영천(2공구)-0.3312_☆남악2-3공구가실행_3-1(금강)-여의도 세우회관 철거공사_견적1_28-3-2 삼환-대한생명 63빌딩 현장 철거공사 (재노경)" xfId="21316"/>
    <cellStyle name="_적격(화산) _내역(02.10.14)신령-영천(2공구)-0.3312_☆남악2-3공구가실행_8-2(삼성)-김해공항 국제청 화물청사 세관창고철거" xfId="21317"/>
    <cellStyle name="_적격(화산) _내역(02.10.14)신령-영천(2공구)-0.3312_☆남악2-3공구가실행_8-2(삼성)-김해공항 국제청 화물청사 세관창고철거_24-1(동부)-두능-연곡 도로건설공사 중 기존교량철거" xfId="21318"/>
    <cellStyle name="_적격(화산) _내역(02.10.14)신령-영천(2공구)-0.3312_☆남악2-3공구가실행_8-2(삼성)-김해공항 국제청 화물청사 세관창고철거_견적1" xfId="21319"/>
    <cellStyle name="_적격(화산) _내역(02.10.14)신령-영천(2공구)-0.3312_☆남악2-3공구가실행_8-2(삼성)-김해공항 국제청 화물청사 세관창고철거_견적1_28-3-2 삼환-대한생명 63빌딩 현장 철거공사 (재노경)" xfId="21320"/>
    <cellStyle name="_적격(화산) _내역(02.10.14)신령-영천(2공구)-0.3312_☆남악2-3공구가실행_견적1" xfId="21321"/>
    <cellStyle name="_적격(화산) _내역(02.10.14)신령-영천(2공구)-0.3312_☆남악2-3공구가실행_견적1_28-3-2 삼환-대한생명 63빌딩 현장 철거공사 (재노경)" xfId="21322"/>
    <cellStyle name="_적격(화산) _내역(02.10.14)신령-영천(2공구)-0.3312_☆남악2-3공구가실행_견적서" xfId="21323"/>
    <cellStyle name="_적격(화산) _내역(02.10.14)신령-영천(2공구)-0.3312_☆남악2-3공구가실행_견적서_24-1(동부)-두능-연곡 도로건설공사 중 기존교량철거" xfId="21324"/>
    <cellStyle name="_적격(화산) _내역(02.10.14)신령-영천(2공구)-0.3312_☆남악2-3공구가실행_견적서_견적1" xfId="21325"/>
    <cellStyle name="_적격(화산) _내역(02.10.14)신령-영천(2공구)-0.3312_☆남악2-3공구가실행_견적서_견적1_28-3-2 삼환-대한생명 63빌딩 현장 철거공사 (재노경)" xfId="21326"/>
    <cellStyle name="_적격(화산) _내역(02.10.14)신령-영천(2공구)-0.3312_3-1(금강)-여의도 세우회관 철거공사" xfId="21304"/>
    <cellStyle name="_적격(화산) _내역(02.10.14)신령-영천(2공구)-0.3312_3-1(금강)-여의도 세우회관 철거공사_24-1(동부)-두능-연곡 도로건설공사 중 기존교량철거" xfId="21305"/>
    <cellStyle name="_적격(화산) _내역(02.10.14)신령-영천(2공구)-0.3312_3-1(금강)-여의도 세우회관 철거공사_견적1" xfId="21306"/>
    <cellStyle name="_적격(화산) _내역(02.10.14)신령-영천(2공구)-0.3312_3-1(금강)-여의도 세우회관 철거공사_견적1_28-3-2 삼환-대한생명 63빌딩 현장 철거공사 (재노경)" xfId="21307"/>
    <cellStyle name="_적격(화산) _내역(02.10.14)신령-영천(2공구)-0.3312_8-2(삼성)-김해공항 국제청 화물청사 세관창고철거" xfId="21308"/>
    <cellStyle name="_적격(화산) _내역(02.10.14)신령-영천(2공구)-0.3312_8-2(삼성)-김해공항 국제청 화물청사 세관창고철거_24-1(동부)-두능-연곡 도로건설공사 중 기존교량철거" xfId="21309"/>
    <cellStyle name="_적격(화산) _내역(02.10.14)신령-영천(2공구)-0.3312_8-2(삼성)-김해공항 국제청 화물청사 세관창고철거_견적1" xfId="21310"/>
    <cellStyle name="_적격(화산) _내역(02.10.14)신령-영천(2공구)-0.3312_8-2(삼성)-김해공항 국제청 화물청사 세관창고철거_견적1_28-3-2 삼환-대한생명 63빌딩 현장 철거공사 (재노경)" xfId="21311"/>
    <cellStyle name="_적격(화산) _내역(02.10.14)신령-영천(2공구)-0.3312_견적1" xfId="21327"/>
    <cellStyle name="_적격(화산) _내역(02.10.14)신령-영천(2공구)-0.3312_견적1_28-3-2 삼환-대한생명 63빌딩 현장 철거공사 (재노경)" xfId="21328"/>
    <cellStyle name="_적격(화산) _내역(02.10.14)신령-영천(2공구)-0.3312_견적서" xfId="21329"/>
    <cellStyle name="_적격(화산) _내역(02.10.14)신령-영천(2공구)-0.3312_견적서_24-1(동부)-두능-연곡 도로건설공사 중 기존교량철거" xfId="21330"/>
    <cellStyle name="_적격(화산) _내역(02.10.14)신령-영천(2공구)-0.3312_견적서_견적1" xfId="21331"/>
    <cellStyle name="_적격(화산) _내역(02.10.14)신령-영천(2공구)-0.3312_견적서_견적1_28-3-2 삼환-대한생명 63빌딩 현장 철거공사 (재노경)" xfId="21332"/>
    <cellStyle name="_적격(화산) _내역(02.11.07)강변북로(청담대교-성수대교)확장공사" xfId="21333"/>
    <cellStyle name="_적격(화산) _내역(02.11.07)강변북로(청담대교-성수대교)확장공사_☆남악2-3공구가실행" xfId="21342"/>
    <cellStyle name="_적격(화산) _내역(02.11.07)강변북로(청담대교-성수대교)확장공사_☆남악2-3공구가실행_3-1(금강)-여의도 세우회관 철거공사" xfId="21343"/>
    <cellStyle name="_적격(화산) _내역(02.11.07)강변북로(청담대교-성수대교)확장공사_☆남악2-3공구가실행_3-1(금강)-여의도 세우회관 철거공사_24-1(동부)-두능-연곡 도로건설공사 중 기존교량철거" xfId="21344"/>
    <cellStyle name="_적격(화산) _내역(02.11.07)강변북로(청담대교-성수대교)확장공사_☆남악2-3공구가실행_3-1(금강)-여의도 세우회관 철거공사_견적1" xfId="21345"/>
    <cellStyle name="_적격(화산) _내역(02.11.07)강변북로(청담대교-성수대교)확장공사_☆남악2-3공구가실행_3-1(금강)-여의도 세우회관 철거공사_견적1_28-3-2 삼환-대한생명 63빌딩 현장 철거공사 (재노경)" xfId="21346"/>
    <cellStyle name="_적격(화산) _내역(02.11.07)강변북로(청담대교-성수대교)확장공사_☆남악2-3공구가실행_8-2(삼성)-김해공항 국제청 화물청사 세관창고철거" xfId="21347"/>
    <cellStyle name="_적격(화산) _내역(02.11.07)강변북로(청담대교-성수대교)확장공사_☆남악2-3공구가실행_8-2(삼성)-김해공항 국제청 화물청사 세관창고철거_24-1(동부)-두능-연곡 도로건설공사 중 기존교량철거" xfId="21348"/>
    <cellStyle name="_적격(화산) _내역(02.11.07)강변북로(청담대교-성수대교)확장공사_☆남악2-3공구가실행_8-2(삼성)-김해공항 국제청 화물청사 세관창고철거_견적1" xfId="21349"/>
    <cellStyle name="_적격(화산) _내역(02.11.07)강변북로(청담대교-성수대교)확장공사_☆남악2-3공구가실행_8-2(삼성)-김해공항 국제청 화물청사 세관창고철거_견적1_28-3-2 삼환-대한생명 63빌딩 현장 철거공사 (재노경)" xfId="21350"/>
    <cellStyle name="_적격(화산) _내역(02.11.07)강변북로(청담대교-성수대교)확장공사_☆남악2-3공구가실행_견적1" xfId="21351"/>
    <cellStyle name="_적격(화산) _내역(02.11.07)강변북로(청담대교-성수대교)확장공사_☆남악2-3공구가실행_견적1_28-3-2 삼환-대한생명 63빌딩 현장 철거공사 (재노경)" xfId="21352"/>
    <cellStyle name="_적격(화산) _내역(02.11.07)강변북로(청담대교-성수대교)확장공사_☆남악2-3공구가실행_견적서" xfId="21353"/>
    <cellStyle name="_적격(화산) _내역(02.11.07)강변북로(청담대교-성수대교)확장공사_☆남악2-3공구가실행_견적서_24-1(동부)-두능-연곡 도로건설공사 중 기존교량철거" xfId="21354"/>
    <cellStyle name="_적격(화산) _내역(02.11.07)강변북로(청담대교-성수대교)확장공사_☆남악2-3공구가실행_견적서_견적1" xfId="21355"/>
    <cellStyle name="_적격(화산) _내역(02.11.07)강변북로(청담대교-성수대교)확장공사_☆남악2-3공구가실행_견적서_견적1_28-3-2 삼환-대한생명 63빌딩 현장 철거공사 (재노경)" xfId="21356"/>
    <cellStyle name="_적격(화산) _내역(02.11.07)강변북로(청담대교-성수대교)확장공사_3-1(금강)-여의도 세우회관 철거공사" xfId="21334"/>
    <cellStyle name="_적격(화산) _내역(02.11.07)강변북로(청담대교-성수대교)확장공사_3-1(금강)-여의도 세우회관 철거공사_24-1(동부)-두능-연곡 도로건설공사 중 기존교량철거" xfId="21335"/>
    <cellStyle name="_적격(화산) _내역(02.11.07)강변북로(청담대교-성수대교)확장공사_3-1(금강)-여의도 세우회관 철거공사_견적1" xfId="21336"/>
    <cellStyle name="_적격(화산) _내역(02.11.07)강변북로(청담대교-성수대교)확장공사_3-1(금강)-여의도 세우회관 철거공사_견적1_28-3-2 삼환-대한생명 63빌딩 현장 철거공사 (재노경)" xfId="21337"/>
    <cellStyle name="_적격(화산) _내역(02.11.07)강변북로(청담대교-성수대교)확장공사_8-2(삼성)-김해공항 국제청 화물청사 세관창고철거" xfId="21338"/>
    <cellStyle name="_적격(화산) _내역(02.11.07)강변북로(청담대교-성수대교)확장공사_8-2(삼성)-김해공항 국제청 화물청사 세관창고철거_24-1(동부)-두능-연곡 도로건설공사 중 기존교량철거" xfId="21339"/>
    <cellStyle name="_적격(화산) _내역(02.11.07)강변북로(청담대교-성수대교)확장공사_8-2(삼성)-김해공항 국제청 화물청사 세관창고철거_견적1" xfId="21340"/>
    <cellStyle name="_적격(화산) _내역(02.11.07)강변북로(청담대교-성수대교)확장공사_8-2(삼성)-김해공항 국제청 화물청사 세관창고철거_견적1_28-3-2 삼환-대한생명 63빌딩 현장 철거공사 (재노경)" xfId="21341"/>
    <cellStyle name="_적격(화산) _내역(02.11.07)강변북로(청담대교-성수대교)확장공사_견적1" xfId="21357"/>
    <cellStyle name="_적격(화산) _내역(02.11.07)강변북로(청담대교-성수대교)확장공사_견적1_28-3-2 삼환-대한생명 63빌딩 현장 철거공사 (재노경)" xfId="21358"/>
    <cellStyle name="_적격(화산) _내역(02.11.07)강변북로(청담대교-성수대교)확장공사_견적서" xfId="21359"/>
    <cellStyle name="_적격(화산) _내역(02.11.07)강변북로(청담대교-성수대교)확장공사_견적서_24-1(동부)-두능-연곡 도로건설공사 중 기존교량철거" xfId="21360"/>
    <cellStyle name="_적격(화산) _내역(02.11.07)강변북로(청담대교-성수대교)확장공사_견적서_견적1" xfId="21361"/>
    <cellStyle name="_적격(화산) _내역(02.11.07)강변북로(청담대교-성수대교)확장공사_견적서_견적1_28-3-2 삼환-대한생명 63빌딩 현장 철거공사 (재노경)" xfId="21362"/>
    <cellStyle name="_적격(화산) _내역(02.11.27)무안~광주간 건설공사(제2공구)투찰" xfId="21363"/>
    <cellStyle name="_적격(화산) _내역(02.11.27)무안~광주간 건설공사(제2공구)투찰_☆남악2-3공구가실행" xfId="21372"/>
    <cellStyle name="_적격(화산) _내역(02.11.27)무안~광주간 건설공사(제2공구)투찰_☆남악2-3공구가실행_3-1(금강)-여의도 세우회관 철거공사" xfId="21373"/>
    <cellStyle name="_적격(화산) _내역(02.11.27)무안~광주간 건설공사(제2공구)투찰_☆남악2-3공구가실행_3-1(금강)-여의도 세우회관 철거공사_24-1(동부)-두능-연곡 도로건설공사 중 기존교량철거" xfId="21374"/>
    <cellStyle name="_적격(화산) _내역(02.11.27)무안~광주간 건설공사(제2공구)투찰_☆남악2-3공구가실행_3-1(금강)-여의도 세우회관 철거공사_견적1" xfId="21375"/>
    <cellStyle name="_적격(화산) _내역(02.11.27)무안~광주간 건설공사(제2공구)투찰_☆남악2-3공구가실행_3-1(금강)-여의도 세우회관 철거공사_견적1_28-3-2 삼환-대한생명 63빌딩 현장 철거공사 (재노경)" xfId="21376"/>
    <cellStyle name="_적격(화산) _내역(02.11.27)무안~광주간 건설공사(제2공구)투찰_☆남악2-3공구가실행_8-2(삼성)-김해공항 국제청 화물청사 세관창고철거" xfId="21377"/>
    <cellStyle name="_적격(화산) _내역(02.11.27)무안~광주간 건설공사(제2공구)투찰_☆남악2-3공구가실행_8-2(삼성)-김해공항 국제청 화물청사 세관창고철거_24-1(동부)-두능-연곡 도로건설공사 중 기존교량철거" xfId="21378"/>
    <cellStyle name="_적격(화산) _내역(02.11.27)무안~광주간 건설공사(제2공구)투찰_☆남악2-3공구가실행_8-2(삼성)-김해공항 국제청 화물청사 세관창고철거_견적1" xfId="21379"/>
    <cellStyle name="_적격(화산) _내역(02.11.27)무안~광주간 건설공사(제2공구)투찰_☆남악2-3공구가실행_8-2(삼성)-김해공항 국제청 화물청사 세관창고철거_견적1_28-3-2 삼환-대한생명 63빌딩 현장 철거공사 (재노경)" xfId="21380"/>
    <cellStyle name="_적격(화산) _내역(02.11.27)무안~광주간 건설공사(제2공구)투찰_☆남악2-3공구가실행_견적1" xfId="21381"/>
    <cellStyle name="_적격(화산) _내역(02.11.27)무안~광주간 건설공사(제2공구)투찰_☆남악2-3공구가실행_견적1_28-3-2 삼환-대한생명 63빌딩 현장 철거공사 (재노경)" xfId="21382"/>
    <cellStyle name="_적격(화산) _내역(02.11.27)무안~광주간 건설공사(제2공구)투찰_☆남악2-3공구가실행_견적서" xfId="21383"/>
    <cellStyle name="_적격(화산) _내역(02.11.27)무안~광주간 건설공사(제2공구)투찰_☆남악2-3공구가실행_견적서_24-1(동부)-두능-연곡 도로건설공사 중 기존교량철거" xfId="21384"/>
    <cellStyle name="_적격(화산) _내역(02.11.27)무안~광주간 건설공사(제2공구)투찰_☆남악2-3공구가실행_견적서_견적1" xfId="21385"/>
    <cellStyle name="_적격(화산) _내역(02.11.27)무안~광주간 건설공사(제2공구)투찰_☆남악2-3공구가실행_견적서_견적1_28-3-2 삼환-대한생명 63빌딩 현장 철거공사 (재노경)" xfId="21386"/>
    <cellStyle name="_적격(화산) _내역(02.11.27)무안~광주간 건설공사(제2공구)투찰_3-1(금강)-여의도 세우회관 철거공사" xfId="21364"/>
    <cellStyle name="_적격(화산) _내역(02.11.27)무안~광주간 건설공사(제2공구)투찰_3-1(금강)-여의도 세우회관 철거공사_24-1(동부)-두능-연곡 도로건설공사 중 기존교량철거" xfId="21365"/>
    <cellStyle name="_적격(화산) _내역(02.11.27)무안~광주간 건설공사(제2공구)투찰_3-1(금강)-여의도 세우회관 철거공사_견적1" xfId="21366"/>
    <cellStyle name="_적격(화산) _내역(02.11.27)무안~광주간 건설공사(제2공구)투찰_3-1(금강)-여의도 세우회관 철거공사_견적1_28-3-2 삼환-대한생명 63빌딩 현장 철거공사 (재노경)" xfId="21367"/>
    <cellStyle name="_적격(화산) _내역(02.11.27)무안~광주간 건설공사(제2공구)투찰_8-2(삼성)-김해공항 국제청 화물청사 세관창고철거" xfId="21368"/>
    <cellStyle name="_적격(화산) _내역(02.11.27)무안~광주간 건설공사(제2공구)투찰_8-2(삼성)-김해공항 국제청 화물청사 세관창고철거_24-1(동부)-두능-연곡 도로건설공사 중 기존교량철거" xfId="21369"/>
    <cellStyle name="_적격(화산) _내역(02.11.27)무안~광주간 건설공사(제2공구)투찰_8-2(삼성)-김해공항 국제청 화물청사 세관창고철거_견적1" xfId="21370"/>
    <cellStyle name="_적격(화산) _내역(02.11.27)무안~광주간 건설공사(제2공구)투찰_8-2(삼성)-김해공항 국제청 화물청사 세관창고철거_견적1_28-3-2 삼환-대한생명 63빌딩 현장 철거공사 (재노경)" xfId="21371"/>
    <cellStyle name="_적격(화산) _내역(02.11.27)무안~광주간 건설공사(제2공구)투찰_견적1" xfId="21387"/>
    <cellStyle name="_적격(화산) _내역(02.11.27)무안~광주간 건설공사(제2공구)투찰_견적1_28-3-2 삼환-대한생명 63빌딩 현장 철거공사 (재노경)" xfId="21388"/>
    <cellStyle name="_적격(화산) _내역(02.11.27)무안~광주간 건설공사(제2공구)투찰_견적서" xfId="21389"/>
    <cellStyle name="_적격(화산) _내역(02.11.27)무안~광주간 건설공사(제2공구)투찰_견적서_24-1(동부)-두능-연곡 도로건설공사 중 기존교량철거" xfId="21390"/>
    <cellStyle name="_적격(화산) _내역(02.11.27)무안~광주간 건설공사(제2공구)투찰_견적서_견적1" xfId="21391"/>
    <cellStyle name="_적격(화산) _내역(02.11.27)무안~광주간 건설공사(제2공구)투찰_견적서_견적1_28-3-2 삼환-대한생명 63빌딩 현장 철거공사 (재노경)" xfId="21392"/>
    <cellStyle name="_적격(화산) _내역서(건설사)" xfId="21393"/>
    <cellStyle name="_적격(화산) _내역서(건설사) 2" xfId="21394"/>
    <cellStyle name="_적격(화산) _내역서(작업)" xfId="21395"/>
    <cellStyle name="_적격(화산) _내역서(작업) 2" xfId="21396"/>
    <cellStyle name="_적격(화산) _내역서(최초)" xfId="21397"/>
    <cellStyle name="_적격(화산) _내역서(최초) 2" xfId="21398"/>
    <cellStyle name="_적격(화산) _대안투찰내역(0221)" xfId="21399"/>
    <cellStyle name="_적격(화산) _대안투찰내역(0221)_3-1(금강)-여의도 세우회관 철거공사" xfId="21400"/>
    <cellStyle name="_적격(화산) _대안투찰내역(0221)_3-1(금강)-여의도 세우회관 철거공사_24-1(동부)-두능-연곡 도로건설공사 중 기존교량철거" xfId="21401"/>
    <cellStyle name="_적격(화산) _대안투찰내역(0221)_3-1(금강)-여의도 세우회관 철거공사_견적1" xfId="21402"/>
    <cellStyle name="_적격(화산) _대안투찰내역(0221)_3-1(금강)-여의도 세우회관 철거공사_견적1_28-3-2 삼환-대한생명 63빌딩 현장 철거공사 (재노경)" xfId="21403"/>
    <cellStyle name="_적격(화산) _대안투찰내역(0221)_8-2(삼성)-김해공항 국제청 화물청사 세관창고철거" xfId="21404"/>
    <cellStyle name="_적격(화산) _대안투찰내역(0221)_8-2(삼성)-김해공항 국제청 화물청사 세관창고철거_24-1(동부)-두능-연곡 도로건설공사 중 기존교량철거" xfId="21405"/>
    <cellStyle name="_적격(화산) _대안투찰내역(0221)_8-2(삼성)-김해공항 국제청 화물청사 세관창고철거_견적1" xfId="21406"/>
    <cellStyle name="_적격(화산) _대안투찰내역(0221)_8-2(삼성)-김해공항 국제청 화물청사 세관창고철거_견적1_28-3-2 삼환-대한생명 63빌딩 현장 철거공사 (재노경)" xfId="21407"/>
    <cellStyle name="_적격(화산) _대안투찰내역(0221)_견적1" xfId="21408"/>
    <cellStyle name="_적격(화산) _대안투찰내역(0221)_견적1_28-3-2 삼환-대한생명 63빌딩 현장 철거공사 (재노경)" xfId="21409"/>
    <cellStyle name="_적격(화산) _대안투찰내역(0221)_견적서" xfId="21410"/>
    <cellStyle name="_적격(화산) _대안투찰내역(0221)_견적서_24-1(동부)-두능-연곡 도로건설공사 중 기존교량철거" xfId="21411"/>
    <cellStyle name="_적격(화산) _대안투찰내역(0221)_견적서_견적1" xfId="21412"/>
    <cellStyle name="_적격(화산) _대안투찰내역(0221)_견적서_견적1_28-3-2 삼환-대한생명 63빌딩 현장 철거공사 (재노경)" xfId="21413"/>
    <cellStyle name="_적격(화산) _대안투찰내역(0223)" xfId="21414"/>
    <cellStyle name="_적격(화산) _대안투찰내역(0223)_3-1(금강)-여의도 세우회관 철거공사" xfId="21415"/>
    <cellStyle name="_적격(화산) _대안투찰내역(0223)_3-1(금강)-여의도 세우회관 철거공사_24-1(동부)-두능-연곡 도로건설공사 중 기존교량철거" xfId="21416"/>
    <cellStyle name="_적격(화산) _대안투찰내역(0223)_3-1(금강)-여의도 세우회관 철거공사_견적1" xfId="21417"/>
    <cellStyle name="_적격(화산) _대안투찰내역(0223)_3-1(금강)-여의도 세우회관 철거공사_견적1_28-3-2 삼환-대한생명 63빌딩 현장 철거공사 (재노경)" xfId="21418"/>
    <cellStyle name="_적격(화산) _대안투찰내역(0223)_8-2(삼성)-김해공항 국제청 화물청사 세관창고철거" xfId="21419"/>
    <cellStyle name="_적격(화산) _대안투찰내역(0223)_8-2(삼성)-김해공항 국제청 화물청사 세관창고철거_24-1(동부)-두능-연곡 도로건설공사 중 기존교량철거" xfId="21420"/>
    <cellStyle name="_적격(화산) _대안투찰내역(0223)_8-2(삼성)-김해공항 국제청 화물청사 세관창고철거_견적1" xfId="21421"/>
    <cellStyle name="_적격(화산) _대안투찰내역(0223)_8-2(삼성)-김해공항 국제청 화물청사 세관창고철거_견적1_28-3-2 삼환-대한생명 63빌딩 현장 철거공사 (재노경)" xfId="21422"/>
    <cellStyle name="_적격(화산) _대안투찰내역(0223)_견적1" xfId="21423"/>
    <cellStyle name="_적격(화산) _대안투찰내역(0223)_견적1_28-3-2 삼환-대한생명 63빌딩 현장 철거공사 (재노경)" xfId="21424"/>
    <cellStyle name="_적격(화산) _대안투찰내역(0223)_견적서" xfId="21425"/>
    <cellStyle name="_적격(화산) _대안투찰내역(0223)_견적서_24-1(동부)-두능-연곡 도로건설공사 중 기존교량철거" xfId="21426"/>
    <cellStyle name="_적격(화산) _대안투찰내역(0223)_견적서_견적1" xfId="21427"/>
    <cellStyle name="_적격(화산) _대안투찰내역(0223)_견적서_견적1_28-3-2 삼환-대한생명 63빌딩 현장 철거공사 (재노경)" xfId="21428"/>
    <cellStyle name="_적격(화산) _대안투찰내역(확정본0226)" xfId="21429"/>
    <cellStyle name="_적격(화산) _대안투찰내역(확정본0226)_3-1(금강)-여의도 세우회관 철거공사" xfId="21430"/>
    <cellStyle name="_적격(화산) _대안투찰내역(확정본0226)_3-1(금강)-여의도 세우회관 철거공사_24-1(동부)-두능-연곡 도로건설공사 중 기존교량철거" xfId="21431"/>
    <cellStyle name="_적격(화산) _대안투찰내역(확정본0226)_3-1(금강)-여의도 세우회관 철거공사_견적1" xfId="21432"/>
    <cellStyle name="_적격(화산) _대안투찰내역(확정본0226)_3-1(금강)-여의도 세우회관 철거공사_견적1_28-3-2 삼환-대한생명 63빌딩 현장 철거공사 (재노경)" xfId="21433"/>
    <cellStyle name="_적격(화산) _대안투찰내역(확정본0226)_8-2(삼성)-김해공항 국제청 화물청사 세관창고철거" xfId="21434"/>
    <cellStyle name="_적격(화산) _대안투찰내역(확정본0226)_8-2(삼성)-김해공항 국제청 화물청사 세관창고철거_24-1(동부)-두능-연곡 도로건설공사 중 기존교량철거" xfId="21435"/>
    <cellStyle name="_적격(화산) _대안투찰내역(확정본0226)_8-2(삼성)-김해공항 국제청 화물청사 세관창고철거_견적1" xfId="21436"/>
    <cellStyle name="_적격(화산) _대안투찰내역(확정본0226)_8-2(삼성)-김해공항 국제청 화물청사 세관창고철거_견적1_28-3-2 삼환-대한생명 63빌딩 현장 철거공사 (재노경)" xfId="21437"/>
    <cellStyle name="_적격(화산) _대안투찰내역(확정본0226)_견적1" xfId="21438"/>
    <cellStyle name="_적격(화산) _대안투찰내역(확정본0226)_견적1_28-3-2 삼환-대한생명 63빌딩 현장 철거공사 (재노경)" xfId="21439"/>
    <cellStyle name="_적격(화산) _대안투찰내역(확정본0226)_견적서" xfId="21440"/>
    <cellStyle name="_적격(화산) _대안투찰내역(확정본0226)_견적서_24-1(동부)-두능-연곡 도로건설공사 중 기존교량철거" xfId="21441"/>
    <cellStyle name="_적격(화산) _대안투찰내역(확정본0226)_견적서_견적1" xfId="21442"/>
    <cellStyle name="_적격(화산) _대안투찰내역(확정본0226)_견적서_견적1_28-3-2 삼환-대한생명 63빌딩 현장 철거공사 (재노경)" xfId="21443"/>
    <cellStyle name="_적격(화산) _도급내역서(01년1월)" xfId="21444"/>
    <cellStyle name="_적격(화산) _도급내역서(01년1월) 2" xfId="21445"/>
    <cellStyle name="_적격(화산) _도급내역서(최종)" xfId="21446"/>
    <cellStyle name="_적격(화산) _도급내역서(최종) 2" xfId="21447"/>
    <cellStyle name="_적격(화산) _도급실행0211" xfId="21448"/>
    <cellStyle name="_적격(화산) _도급실행0211_3-1(금강)-여의도 세우회관 철거공사" xfId="21449"/>
    <cellStyle name="_적격(화산) _도급실행0211_3-1(금강)-여의도 세우회관 철거공사_24-1(동부)-두능-연곡 도로건설공사 중 기존교량철거" xfId="21450"/>
    <cellStyle name="_적격(화산) _도급실행0211_3-1(금강)-여의도 세우회관 철거공사_견적1" xfId="21451"/>
    <cellStyle name="_적격(화산) _도급실행0211_3-1(금강)-여의도 세우회관 철거공사_견적1_28-3-2 삼환-대한생명 63빌딩 현장 철거공사 (재노경)" xfId="21452"/>
    <cellStyle name="_적격(화산) _도급실행0211_8-2(삼성)-김해공항 국제청 화물청사 세관창고철거" xfId="21453"/>
    <cellStyle name="_적격(화산) _도급실행0211_8-2(삼성)-김해공항 국제청 화물청사 세관창고철거_24-1(동부)-두능-연곡 도로건설공사 중 기존교량철거" xfId="21454"/>
    <cellStyle name="_적격(화산) _도급실행0211_8-2(삼성)-김해공항 국제청 화물청사 세관창고철거_견적1" xfId="21455"/>
    <cellStyle name="_적격(화산) _도급실행0211_8-2(삼성)-김해공항 국제청 화물청사 세관창고철거_견적1_28-3-2 삼환-대한생명 63빌딩 현장 철거공사 (재노경)" xfId="21456"/>
    <cellStyle name="_적격(화산) _도급실행0211_견적1" xfId="21457"/>
    <cellStyle name="_적격(화산) _도급실행0211_견적1_28-3-2 삼환-대한생명 63빌딩 현장 철거공사 (재노경)" xfId="21458"/>
    <cellStyle name="_적격(화산) _도급실행0211_견적서" xfId="21459"/>
    <cellStyle name="_적격(화산) _도급실행0211_견적서_24-1(동부)-두능-연곡 도로건설공사 중 기존교량철거" xfId="21460"/>
    <cellStyle name="_적격(화산) _도급실행0211_견적서_견적1" xfId="21461"/>
    <cellStyle name="_적격(화산) _도급실행0211_견적서_견적1_28-3-2 삼환-대한생명 63빌딩 현장 철거공사 (재노경)" xfId="21462"/>
    <cellStyle name="_적격(화산) _두산산업개발 입찰견적" xfId="21463"/>
    <cellStyle name="_적격(화산) _두산산업개발 입찰견적 2" xfId="21464"/>
    <cellStyle name="_적격(화산) _두산중공업 입찰견적" xfId="21465"/>
    <cellStyle name="_적격(화산) _두산중공업 입찰견적 2" xfId="21466"/>
    <cellStyle name="_적격(화산) _롯데마그넷(오산점)" xfId="21467"/>
    <cellStyle name="_적격(화산) _롯데마그넷(오산점) 2" xfId="21468"/>
    <cellStyle name="_적격(화산) _롯데마그넷(오산점)_내역서(건설사)" xfId="21469"/>
    <cellStyle name="_적격(화산) _롯데마그넷(오산점)_내역서(건설사) 2" xfId="21470"/>
    <cellStyle name="_적격(화산) _롯데마그넷(오산점)_내역서(작업)" xfId="21471"/>
    <cellStyle name="_적격(화산) _롯데마그넷(오산점)_내역서(작업) 2" xfId="21472"/>
    <cellStyle name="_적격(화산) _롯데마그넷(오산점)_통영점공조및위생" xfId="21473"/>
    <cellStyle name="_적격(화산) _롯데마그넷(오산점)_통영점공조및위생 2" xfId="21474"/>
    <cellStyle name="_적격(화산) _롯데마그넷(오산점)_통영점공조및위생_내역서(건설사)" xfId="21475"/>
    <cellStyle name="_적격(화산) _롯데마그넷(오산점)_통영점공조및위생_내역서(건설사) 2" xfId="21476"/>
    <cellStyle name="_적격(화산) _롯데마그넷(오산점)_통영점공조및위생_내역서(작업)" xfId="21477"/>
    <cellStyle name="_적격(화산) _롯데마그넷(오산점)_통영점공조및위생_내역서(작업) 2" xfId="21478"/>
    <cellStyle name="_적격(화산) _마그넷오산점내역(020320)" xfId="21479"/>
    <cellStyle name="_적격(화산) _마그넷오산점내역(020320) 2" xfId="21480"/>
    <cellStyle name="_적격(화산) _마그넷오산점내역(020320)_내역서(건설사)" xfId="21481"/>
    <cellStyle name="_적격(화산) _마그넷오산점내역(020320)_내역서(건설사) 2" xfId="21482"/>
    <cellStyle name="_적격(화산) _마그넷오산점내역(020320)_내역서(작업)" xfId="21483"/>
    <cellStyle name="_적격(화산) _마그넷오산점내역(020320)_내역서(작업) 2" xfId="21484"/>
    <cellStyle name="_적격(화산) _마그넷오산점내역(020320)_통영점공조및위생" xfId="21485"/>
    <cellStyle name="_적격(화산) _마그넷오산점내역(020320)_통영점공조및위생 2" xfId="21486"/>
    <cellStyle name="_적격(화산) _마그넷오산점내역(020320)_통영점공조및위생_내역서(건설사)" xfId="21487"/>
    <cellStyle name="_적격(화산) _마그넷오산점내역(020320)_통영점공조및위생_내역서(건설사) 2" xfId="21488"/>
    <cellStyle name="_적격(화산) _마그넷오산점내역(020320)_통영점공조및위생_내역서(작업)" xfId="21489"/>
    <cellStyle name="_적격(화산) _마그넷오산점내역(020320)_통영점공조및위생_내역서(작업) 2" xfId="21490"/>
    <cellStyle name="_적격(화산) _부대결과" xfId="21491"/>
    <cellStyle name="_적격(화산) _부대결과 2" xfId="21492"/>
    <cellStyle name="_적격(화산) _부대결과_Book1" xfId="21493"/>
    <cellStyle name="_적격(화산) _부대결과_Book1 2" xfId="21494"/>
    <cellStyle name="_적격(화산) _부대결과_Book1_내역서(최초)" xfId="21495"/>
    <cellStyle name="_적격(화산) _부대결과_Book1_내역서(최초) 2" xfId="21496"/>
    <cellStyle name="_적격(화산) _부대결과_Book1_설계내역서" xfId="21497"/>
    <cellStyle name="_적격(화산) _부대결과_Book1_설계내역서 2" xfId="21498"/>
    <cellStyle name="_적격(화산) _부대결과_Book1_설계내역서(2차)" xfId="21499"/>
    <cellStyle name="_적격(화산) _부대결과_Book1_설계내역서(2차) 2" xfId="21500"/>
    <cellStyle name="_적격(화산) _부대결과_P-(현리-신팔)" xfId="21501"/>
    <cellStyle name="_적격(화산) _부대결과_P-(현리-신팔) 2" xfId="21502"/>
    <cellStyle name="_적격(화산) _부대결과_P-(현리-신팔)_내역서(최초)" xfId="21503"/>
    <cellStyle name="_적격(화산) _부대결과_P-(현리-신팔)_내역서(최초) 2" xfId="21504"/>
    <cellStyle name="_적격(화산) _부대결과_P-(현리-신팔)_설계내역서" xfId="21505"/>
    <cellStyle name="_적격(화산) _부대결과_P-(현리-신팔)_설계내역서 2" xfId="21506"/>
    <cellStyle name="_적격(화산) _부대결과_P-(현리-신팔)_설계내역서(2차)" xfId="21507"/>
    <cellStyle name="_적격(화산) _부대결과_P-(현리-신팔)_설계내역서(2차) 2" xfId="21508"/>
    <cellStyle name="_적격(화산) _부대결과_내역서(최초)" xfId="21509"/>
    <cellStyle name="_적격(화산) _부대결과_내역서(최초) 2" xfId="21510"/>
    <cellStyle name="_적격(화산) _부대결과_설계내역서" xfId="21511"/>
    <cellStyle name="_적격(화산) _부대결과_설계내역서 2" xfId="21512"/>
    <cellStyle name="_적격(화산) _부대결과_설계내역서(2차)" xfId="21513"/>
    <cellStyle name="_적격(화산) _부대결과_설계내역서(2차) 2" xfId="21514"/>
    <cellStyle name="_적격(화산) _부대결과_현리-신팔도로설계" xfId="21515"/>
    <cellStyle name="_적격(화산) _부대결과_현리-신팔도로설계 2" xfId="21516"/>
    <cellStyle name="_적격(화산) _부대결과_현리-신팔도로설계_내역서(최초)" xfId="21517"/>
    <cellStyle name="_적격(화산) _부대결과_현리-신팔도로설계_내역서(최초) 2" xfId="21518"/>
    <cellStyle name="_적격(화산) _부대결과_현리-신팔도로설계_설계내역서" xfId="21519"/>
    <cellStyle name="_적격(화산) _부대결과_현리-신팔도로설계_설계내역서 2" xfId="21520"/>
    <cellStyle name="_적격(화산) _부대결과_현리-신팔도로설계_설계내역서(2차)" xfId="21521"/>
    <cellStyle name="_적격(화산) _부대결과_현리-신팔도로설계_설계내역서(2차) 2" xfId="21522"/>
    <cellStyle name="_적격(화산) _부대입찰특별조건및내역송부(최저가)" xfId="21523"/>
    <cellStyle name="_적격(화산) _부대입찰특별조건및내역송부(최저가) 2" xfId="21524"/>
    <cellStyle name="_적격(화산) _부대입찰특별조건및내역송부(최저가)_Book1" xfId="21525"/>
    <cellStyle name="_적격(화산) _부대입찰특별조건및내역송부(최저가)_Book1 2" xfId="21526"/>
    <cellStyle name="_적격(화산) _부대입찰특별조건및내역송부(최저가)_Book1_내역서(최초)" xfId="21527"/>
    <cellStyle name="_적격(화산) _부대입찰특별조건및내역송부(최저가)_Book1_내역서(최초) 2" xfId="21528"/>
    <cellStyle name="_적격(화산) _부대입찰특별조건및내역송부(최저가)_Book1_설계내역서" xfId="21529"/>
    <cellStyle name="_적격(화산) _부대입찰특별조건및내역송부(최저가)_Book1_설계내역서 2" xfId="21530"/>
    <cellStyle name="_적격(화산) _부대입찰특별조건및내역송부(최저가)_Book1_설계내역서(2차)" xfId="21531"/>
    <cellStyle name="_적격(화산) _부대입찰특별조건및내역송부(최저가)_Book1_설계내역서(2차) 2" xfId="21532"/>
    <cellStyle name="_적격(화산) _부대입찰특별조건및내역송부(최저가)_P-(현리-신팔)" xfId="21533"/>
    <cellStyle name="_적격(화산) _부대입찰특별조건및내역송부(최저가)_P-(현리-신팔) 2" xfId="21534"/>
    <cellStyle name="_적격(화산) _부대입찰특별조건및내역송부(최저가)_P-(현리-신팔)_내역서(최초)" xfId="21535"/>
    <cellStyle name="_적격(화산) _부대입찰특별조건및내역송부(최저가)_P-(현리-신팔)_내역서(최초) 2" xfId="21536"/>
    <cellStyle name="_적격(화산) _부대입찰특별조건및내역송부(최저가)_P-(현리-신팔)_설계내역서" xfId="21537"/>
    <cellStyle name="_적격(화산) _부대입찰특별조건및내역송부(최저가)_P-(현리-신팔)_설계내역서 2" xfId="21538"/>
    <cellStyle name="_적격(화산) _부대입찰특별조건및내역송부(최저가)_P-(현리-신팔)_설계내역서(2차)" xfId="21539"/>
    <cellStyle name="_적격(화산) _부대입찰특별조건및내역송부(최저가)_P-(현리-신팔)_설계내역서(2차) 2" xfId="21540"/>
    <cellStyle name="_적격(화산) _부대입찰특별조건및내역송부(최저가)_내역서(최초)" xfId="21541"/>
    <cellStyle name="_적격(화산) _부대입찰특별조건및내역송부(최저가)_내역서(최초) 2" xfId="21542"/>
    <cellStyle name="_적격(화산) _부대입찰특별조건및내역송부(최저가)_부대결과" xfId="21543"/>
    <cellStyle name="_적격(화산) _부대입찰특별조건및내역송부(최저가)_부대결과 2" xfId="21544"/>
    <cellStyle name="_적격(화산) _부대입찰특별조건및내역송부(최저가)_부대결과_Book1" xfId="21545"/>
    <cellStyle name="_적격(화산) _부대입찰특별조건및내역송부(최저가)_부대결과_Book1 2" xfId="21546"/>
    <cellStyle name="_적격(화산) _부대입찰특별조건및내역송부(최저가)_부대결과_Book1_내역서(최초)" xfId="21547"/>
    <cellStyle name="_적격(화산) _부대입찰특별조건및내역송부(최저가)_부대결과_Book1_내역서(최초) 2" xfId="21548"/>
    <cellStyle name="_적격(화산) _부대입찰특별조건및내역송부(최저가)_부대결과_Book1_설계내역서" xfId="21549"/>
    <cellStyle name="_적격(화산) _부대입찰특별조건및내역송부(최저가)_부대결과_Book1_설계내역서 2" xfId="21550"/>
    <cellStyle name="_적격(화산) _부대입찰특별조건및내역송부(최저가)_부대결과_Book1_설계내역서(2차)" xfId="21551"/>
    <cellStyle name="_적격(화산) _부대입찰특별조건및내역송부(최저가)_부대결과_Book1_설계내역서(2차) 2" xfId="21552"/>
    <cellStyle name="_적격(화산) _부대입찰특별조건및내역송부(최저가)_부대결과_P-(현리-신팔)" xfId="21553"/>
    <cellStyle name="_적격(화산) _부대입찰특별조건및내역송부(최저가)_부대결과_P-(현리-신팔) 2" xfId="21554"/>
    <cellStyle name="_적격(화산) _부대입찰특별조건및내역송부(최저가)_부대결과_P-(현리-신팔)_내역서(최초)" xfId="21555"/>
    <cellStyle name="_적격(화산) _부대입찰특별조건및내역송부(최저가)_부대결과_P-(현리-신팔)_내역서(최초) 2" xfId="21556"/>
    <cellStyle name="_적격(화산) _부대입찰특별조건및내역송부(최저가)_부대결과_P-(현리-신팔)_설계내역서" xfId="21557"/>
    <cellStyle name="_적격(화산) _부대입찰특별조건및내역송부(최저가)_부대결과_P-(현리-신팔)_설계내역서 2" xfId="21558"/>
    <cellStyle name="_적격(화산) _부대입찰특별조건및내역송부(최저가)_부대결과_P-(현리-신팔)_설계내역서(2차)" xfId="21559"/>
    <cellStyle name="_적격(화산) _부대입찰특별조건및내역송부(최저가)_부대결과_P-(현리-신팔)_설계내역서(2차) 2" xfId="21560"/>
    <cellStyle name="_적격(화산) _부대입찰특별조건및내역송부(최저가)_부대결과_내역서(최초)" xfId="21561"/>
    <cellStyle name="_적격(화산) _부대입찰특별조건및내역송부(최저가)_부대결과_내역서(최초) 2" xfId="21562"/>
    <cellStyle name="_적격(화산) _부대입찰특별조건및내역송부(최저가)_부대결과_설계내역서" xfId="21563"/>
    <cellStyle name="_적격(화산) _부대입찰특별조건및내역송부(최저가)_부대결과_설계내역서 2" xfId="21564"/>
    <cellStyle name="_적격(화산) _부대입찰특별조건및내역송부(최저가)_부대결과_설계내역서(2차)" xfId="21565"/>
    <cellStyle name="_적격(화산) _부대입찰특별조건및내역송부(최저가)_부대결과_설계내역서(2차) 2" xfId="21566"/>
    <cellStyle name="_적격(화산) _부대입찰특별조건및내역송부(최저가)_부대결과_현리-신팔도로설계" xfId="21567"/>
    <cellStyle name="_적격(화산) _부대입찰특별조건및내역송부(최저가)_부대결과_현리-신팔도로설계 2" xfId="21568"/>
    <cellStyle name="_적격(화산) _부대입찰특별조건및내역송부(최저가)_부대결과_현리-신팔도로설계_내역서(최초)" xfId="21569"/>
    <cellStyle name="_적격(화산) _부대입찰특별조건및내역송부(최저가)_부대결과_현리-신팔도로설계_내역서(최초) 2" xfId="21570"/>
    <cellStyle name="_적격(화산) _부대입찰특별조건및내역송부(최저가)_부대결과_현리-신팔도로설계_설계내역서" xfId="21571"/>
    <cellStyle name="_적격(화산) _부대입찰특별조건및내역송부(최저가)_부대결과_현리-신팔도로설계_설계내역서 2" xfId="21572"/>
    <cellStyle name="_적격(화산) _부대입찰특별조건및내역송부(최저가)_부대결과_현리-신팔도로설계_설계내역서(2차)" xfId="21573"/>
    <cellStyle name="_적격(화산) _부대입찰특별조건및내역송부(최저가)_부대결과_현리-신팔도로설계_설계내역서(2차) 2" xfId="21574"/>
    <cellStyle name="_적격(화산) _부대입찰특별조건및내역송부(최저가)_설계내역서" xfId="21575"/>
    <cellStyle name="_적격(화산) _부대입찰특별조건및내역송부(최저가)_설계내역서 2" xfId="21576"/>
    <cellStyle name="_적격(화산) _부대입찰특별조건및내역송부(최저가)_설계내역서(2차)" xfId="21577"/>
    <cellStyle name="_적격(화산) _부대입찰특별조건및내역송부(최저가)_설계내역서(2차) 2" xfId="21578"/>
    <cellStyle name="_적격(화산) _부대입찰특별조건및내역송부(최저가)_현리-신팔도로설계" xfId="21579"/>
    <cellStyle name="_적격(화산) _부대입찰특별조건및내역송부(최저가)_현리-신팔도로설계 2" xfId="21580"/>
    <cellStyle name="_적격(화산) _부대입찰특별조건및내역송부(최저가)_현리-신팔도로설계_내역서(최초)" xfId="21581"/>
    <cellStyle name="_적격(화산) _부대입찰특별조건및내역송부(최저가)_현리-신팔도로설계_내역서(최초) 2" xfId="21582"/>
    <cellStyle name="_적격(화산) _부대입찰특별조건및내역송부(최저가)_현리-신팔도로설계_설계내역서" xfId="21583"/>
    <cellStyle name="_적격(화산) _부대입찰특별조건및내역송부(최저가)_현리-신팔도로설계_설계내역서 2" xfId="21584"/>
    <cellStyle name="_적격(화산) _부대입찰특별조건및내역송부(최저가)_현리-신팔도로설계_설계내역서(2차)" xfId="21585"/>
    <cellStyle name="_적격(화산) _부대입찰특별조건및내역송부(최저가)_현리-신팔도로설계_설계내역서(2차) 2" xfId="21586"/>
    <cellStyle name="_적격(화산) _사병기숙사(Announcers booth)" xfId="21587"/>
    <cellStyle name="_적격(화산) _사병기숙사(Announcers booth) 2" xfId="21588"/>
    <cellStyle name="_적격(화산) _사병기숙사(Announcers booth)_53호견적최종" xfId="21589"/>
    <cellStyle name="_적격(화산) _사병기숙사(Announcers booth)_53호견적최종 2" xfId="21590"/>
    <cellStyle name="_적격(화산) _사병기숙사(Announcers booth)_R-0053" xfId="21591"/>
    <cellStyle name="_적격(화산) _사병기숙사(Announcers booth)_R-0053 2" xfId="21592"/>
    <cellStyle name="_적격(화산) _사병기숙사(Announcers booth)_R-0053ELEC대" xfId="21593"/>
    <cellStyle name="_적격(화산) _사병기숙사(Announcers booth)_R-0053ELEC대 2" xfId="21594"/>
    <cellStyle name="_적격(화산) _사병기숙사(Announcers booth)_R-0053SITE" xfId="21595"/>
    <cellStyle name="_적격(화산) _사병기숙사(Announcers booth)_R-0053SITE 2" xfId="21596"/>
    <cellStyle name="_적격(화산) _사본 - ☆태평동  도급내역" xfId="21597"/>
    <cellStyle name="_적격(화산) _사본 - ☆태평동  도급내역 2" xfId="21598"/>
    <cellStyle name="_적격(화산) _사전공사(토목본사검토) " xfId="21599"/>
    <cellStyle name="_적격(화산) _사전공사(토목본사검토)  2" xfId="21600"/>
    <cellStyle name="_적격(화산) _사전공사(토목본사검토)  2 2" xfId="21601"/>
    <cellStyle name="_적격(화산) _사전공사(토목본사검토)  3" xfId="21602"/>
    <cellStyle name="_적격(화산) _사전공사(토목본사검토)  3 2" xfId="21603"/>
    <cellStyle name="_적격(화산) _사전공사(토목본사검토)  4" xfId="21604"/>
    <cellStyle name="_적격(화산) _사전공사(토목본사검토)  4 2" xfId="21605"/>
    <cellStyle name="_적격(화산) _사전공사(토목본사검토)  5" xfId="21606"/>
    <cellStyle name="_적격(화산) _사전공사(토목본사검토)  5 2" xfId="21607"/>
    <cellStyle name="_적격(화산) _사전공사(토목본사검토)  6" xfId="21608"/>
    <cellStyle name="_적격(화산) _사전공사(토목본사검토)  6 2" xfId="21609"/>
    <cellStyle name="_적격(화산) _사전공사(토목본사검토)  7" xfId="21610"/>
    <cellStyle name="_적격(화산) _사전공사(토목본사검토)  7 2" xfId="21611"/>
    <cellStyle name="_적격(화산) _사전공사(토목본사검토)  8" xfId="21612"/>
    <cellStyle name="_적격(화산) _사전공사(토목본사검토) _2007현황보고양식" xfId="21613"/>
    <cellStyle name="_적격(화산) _사전공사(토목본사검토) _2007현황보고양식 2" xfId="21614"/>
    <cellStyle name="_적격(화산) _사전공사(토목본사검토) _Book2" xfId="21615"/>
    <cellStyle name="_적격(화산) _사전공사(토목본사검토) _Book2 2" xfId="21616"/>
    <cellStyle name="_적격(화산) _사전공사(토목본사검토) _Book4" xfId="21617"/>
    <cellStyle name="_적격(화산) _사전공사(토목본사검토) _Book4 2" xfId="21618"/>
    <cellStyle name="_적격(화산) _사전공사(토목본사검토) _가구공사" xfId="21619"/>
    <cellStyle name="_적격(화산) _사전공사(토목본사검토) _가구공사 2" xfId="21620"/>
    <cellStyle name="_적격(화산) _사전공사(토목본사검토) _가구공사_2007현황보고양식" xfId="21621"/>
    <cellStyle name="_적격(화산) _사전공사(토목본사검토) _가구공사_2007현황보고양식 2" xfId="21622"/>
    <cellStyle name="_적격(화산) _사전공사(토목본사검토) _가구공사_두산산업개발 입찰견적" xfId="21623"/>
    <cellStyle name="_적격(화산) _사전공사(토목본사검토) _가구공사_두산산업개발 입찰견적 2" xfId="21624"/>
    <cellStyle name="_적격(화산) _사전공사(토목본사검토) _가구공사_두산중공업 입찰견적" xfId="21625"/>
    <cellStyle name="_적격(화산) _사전공사(토목본사검토) _가구공사_두산중공업 입찰견적 2" xfId="21626"/>
    <cellStyle name="_적격(화산) _사전공사(토목본사검토) _가구공사_추가일위대가표 총괄" xfId="21627"/>
    <cellStyle name="_적격(화산) _사전공사(토목본사검토) _가구공사_추가일위대가표 총괄 2" xfId="21628"/>
    <cellStyle name="_적격(화산) _사전공사(토목본사검토) _가구공사_현대건설 대구대천" xfId="21629"/>
    <cellStyle name="_적격(화산) _사전공사(토목본사검토) _가구공사_현대건설 대구대천 2" xfId="21630"/>
    <cellStyle name="_적격(화산) _사전공사(토목본사검토) _두산산업개발 입찰견적" xfId="21631"/>
    <cellStyle name="_적격(화산) _사전공사(토목본사검토) _두산산업개발 입찰견적 2" xfId="21632"/>
    <cellStyle name="_적격(화산) _사전공사(토목본사검토) _두산중공업 입찰견적" xfId="21633"/>
    <cellStyle name="_적격(화산) _사전공사(토목본사검토) _두산중공업 입찰견적 2" xfId="21634"/>
    <cellStyle name="_적격(화산) _사전공사(토목본사검토) _추가일위대가표 총괄" xfId="21635"/>
    <cellStyle name="_적격(화산) _사전공사(토목본사검토) _추가일위대가표 총괄 2" xfId="21636"/>
    <cellStyle name="_적격(화산) _사전공사(토목본사검토) _현대건설 대구대천" xfId="21637"/>
    <cellStyle name="_적격(화산) _사전공사(토목본사검토) _현대건설 대구대천 2" xfId="21638"/>
    <cellStyle name="_적격(화산) _서초풍림아이원플러스(0723)(2)" xfId="21639"/>
    <cellStyle name="_적격(화산) _서초풍림아이원플러스(0723)(2) 2" xfId="21640"/>
    <cellStyle name="_적격(화산) _설계내역서" xfId="21641"/>
    <cellStyle name="_적격(화산) _설계내역서 2" xfId="21642"/>
    <cellStyle name="_적격(화산) _설계내역서(2차)" xfId="21643"/>
    <cellStyle name="_적격(화산) _설계내역서(2차) 2" xfId="21644"/>
    <cellStyle name="_적격(화산) _성남태평동설비공사" xfId="21645"/>
    <cellStyle name="_적격(화산) _성남태평동설비공사 2" xfId="21646"/>
    <cellStyle name="_적격(화산) _수목" xfId="21647"/>
    <cellStyle name="_적격(화산) _수목 2" xfId="21648"/>
    <cellStyle name="_적격(화산) _수원율전 실행내역" xfId="21649"/>
    <cellStyle name="_적격(화산) _수원율전 실행내역 2" xfId="21650"/>
    <cellStyle name="_적격(화산) _수원율전 실행내역 검토안" xfId="21651"/>
    <cellStyle name="_적격(화산) _수원율전 실행내역 검토안 2" xfId="21652"/>
    <cellStyle name="_적격(화산) _수원율전 실행내역 검토안_사본 - ☆태평동  도급내역" xfId="21653"/>
    <cellStyle name="_적격(화산) _수원율전 실행내역 검토안_사본 - ☆태평동  도급내역 2" xfId="21654"/>
    <cellStyle name="_적격(화산) _수원율전 실행내역 검토안_성남태평동설비공사" xfId="21655"/>
    <cellStyle name="_적격(화산) _수원율전 실행내역 검토안_성남태평동설비공사 2" xfId="21656"/>
    <cellStyle name="_적격(화산) _수원율전 실행내역 검토안_수원율전 실행내역" xfId="21657"/>
    <cellStyle name="_적격(화산) _수원율전 실행내역 검토안_수원율전 실행내역 2" xfId="21658"/>
    <cellStyle name="_적격(화산) _수원율전 실행내역 검토안_수원율전 실행내역 검토안" xfId="21659"/>
    <cellStyle name="_적격(화산) _수원율전 실행내역 검토안_수원율전 실행내역 검토안 2" xfId="21660"/>
    <cellStyle name="_적격(화산) _수원율전 실행내역 검토안_수원율전 실행내역 검토안_사본 - ☆태평동  도급내역" xfId="21661"/>
    <cellStyle name="_적격(화산) _수원율전 실행내역 검토안_수원율전 실행내역 검토안_사본 - ☆태평동  도급내역 2" xfId="21662"/>
    <cellStyle name="_적격(화산) _수원율전 실행내역 검토안_수원율전 실행내역 검토안_성남태평동설비공사" xfId="21663"/>
    <cellStyle name="_적격(화산) _수원율전 실행내역 검토안_수원율전 실행내역 검토안_성남태평동설비공사 2" xfId="21664"/>
    <cellStyle name="_적격(화산) _수원율전 실행내역 검토안_수원율전 실행내역 검토안_수정구 태평동 주상복합 실행내역 검토안" xfId="21665"/>
    <cellStyle name="_적격(화산) _수원율전 실행내역 검토안_수원율전 실행내역 검토안_수정구 태평동 주상복합 실행내역 검토안 2" xfId="21666"/>
    <cellStyle name="_적격(화산) _수원율전 실행내역 검토안_수원율전 실행내역 검토안_태평동 실행내역서" xfId="21667"/>
    <cellStyle name="_적격(화산) _수원율전 실행내역 검토안_수원율전 실행내역 검토안_태평동 실행내역서 2" xfId="21668"/>
    <cellStyle name="_적격(화산) _수원율전 실행내역 검토안_수원율전 실행내역 검토안_태평동도급내역(Rev.2)-12.26" xfId="21669"/>
    <cellStyle name="_적격(화산) _수원율전 실행내역 검토안_수원율전 실행내역 검토안_태평동도급내역(Rev.2)-12.26 2" xfId="21670"/>
    <cellStyle name="_적격(화산) _수원율전 실행내역 검토안_수정구 태평동 주상복합 실행내역 검토안" xfId="21671"/>
    <cellStyle name="_적격(화산) _수원율전 실행내역 검토안_수정구 태평동 주상복합 실행내역 검토안 2" xfId="21672"/>
    <cellStyle name="_적격(화산) _수원율전 실행내역 검토안_태평동 실행내역서" xfId="21673"/>
    <cellStyle name="_적격(화산) _수원율전 실행내역 검토안_태평동 실행내역서 2" xfId="21674"/>
    <cellStyle name="_적격(화산) _수원율전 실행내역 검토안_태평동도급내역(Rev.2)-12.26" xfId="21675"/>
    <cellStyle name="_적격(화산) _수원율전 실행내역 검토안_태평동도급내역(Rev.2)-12.26 2" xfId="21676"/>
    <cellStyle name="_적격(화산) _수원율전조합" xfId="21677"/>
    <cellStyle name="_적격(화산) _수원율전조합 2" xfId="21678"/>
    <cellStyle name="_적격(화산) _수원율전조합_사본 - ☆태평동  도급내역" xfId="21679"/>
    <cellStyle name="_적격(화산) _수원율전조합_사본 - ☆태평동  도급내역 2" xfId="21680"/>
    <cellStyle name="_적격(화산) _수원율전조합_성남태평동설비공사" xfId="21681"/>
    <cellStyle name="_적격(화산) _수원율전조합_성남태평동설비공사 2" xfId="21682"/>
    <cellStyle name="_적격(화산) _수원율전조합_수원율전 실행내역" xfId="21683"/>
    <cellStyle name="_적격(화산) _수원율전조합_수원율전 실행내역 2" xfId="21684"/>
    <cellStyle name="_적격(화산) _수원율전조합_수원율전 실행내역 검토안" xfId="21685"/>
    <cellStyle name="_적격(화산) _수원율전조합_수원율전 실행내역 검토안 2" xfId="21686"/>
    <cellStyle name="_적격(화산) _수원율전조합_수원율전 실행내역 검토안_사본 - ☆태평동  도급내역" xfId="21687"/>
    <cellStyle name="_적격(화산) _수원율전조합_수원율전 실행내역 검토안_사본 - ☆태평동  도급내역 2" xfId="21688"/>
    <cellStyle name="_적격(화산) _수원율전조합_수원율전 실행내역 검토안_성남태평동설비공사" xfId="21689"/>
    <cellStyle name="_적격(화산) _수원율전조합_수원율전 실행내역 검토안_성남태평동설비공사 2" xfId="21690"/>
    <cellStyle name="_적격(화산) _수원율전조합_수원율전 실행내역 검토안_수정구 태평동 주상복합 실행내역 검토안" xfId="21691"/>
    <cellStyle name="_적격(화산) _수원율전조합_수원율전 실행내역 검토안_수정구 태평동 주상복합 실행내역 검토안 2" xfId="21692"/>
    <cellStyle name="_적격(화산) _수원율전조합_수원율전 실행내역 검토안_태평동 실행내역서" xfId="21693"/>
    <cellStyle name="_적격(화산) _수원율전조합_수원율전 실행내역 검토안_태평동 실행내역서 2" xfId="21694"/>
    <cellStyle name="_적격(화산) _수원율전조합_수원율전 실행내역 검토안_태평동도급내역(Rev.2)-12.26" xfId="21695"/>
    <cellStyle name="_적격(화산) _수원율전조합_수원율전 실행내역 검토안_태평동도급내역(Rev.2)-12.26 2" xfId="21696"/>
    <cellStyle name="_적격(화산) _수원율전조합_수정구 태평동 주상복합 실행내역 검토안" xfId="21697"/>
    <cellStyle name="_적격(화산) _수원율전조합_수정구 태평동 주상복합 실행내역 검토안 2" xfId="21698"/>
    <cellStyle name="_적격(화산) _수원율전조합_태평동 실행내역서" xfId="21699"/>
    <cellStyle name="_적격(화산) _수원율전조합_태평동 실행내역서 2" xfId="21700"/>
    <cellStyle name="_적격(화산) _수원율전조합_태평동도급내역(Rev.2)-12.26" xfId="21701"/>
    <cellStyle name="_적격(화산) _수원율전조합_태평동도급내역(Rev.2)-12.26 2" xfId="21702"/>
    <cellStyle name="_적격(화산) _수정구 태평동 주상복합 실행내역 검토안" xfId="21703"/>
    <cellStyle name="_적격(화산) _수정구 태평동 주상복합 실행내역 검토안 2" xfId="21704"/>
    <cellStyle name="_적격(화산) _월계동집행(R0)" xfId="21705"/>
    <cellStyle name="_적격(화산) _월계동집행(R0) 2" xfId="21706"/>
    <cellStyle name="_적격(화산) _월계동집행(R0)_Book2" xfId="21707"/>
    <cellStyle name="_적격(화산) _월계동집행(R0)_Book2 2" xfId="21708"/>
    <cellStyle name="_적격(화산) _월계동집행(R0)_Book4" xfId="21709"/>
    <cellStyle name="_적격(화산) _월계동집행(R0)_Book4 2" xfId="21710"/>
    <cellStyle name="_적격(화산) _월곳집행(본사)" xfId="21711"/>
    <cellStyle name="_적격(화산) _월곳집행(본사) 2" xfId="21712"/>
    <cellStyle name="_적격(화산) _월곳집행(본사)_공내역서(소방)" xfId="21713"/>
    <cellStyle name="_적격(화산) _월곳집행(본사)_공내역서(소방) 2" xfId="21714"/>
    <cellStyle name="_적격(화산) _월곳집행(본사)_공내역서(소방)_내역서(건설사)" xfId="21715"/>
    <cellStyle name="_적격(화산) _월곳집행(본사)_공내역서(소방)_내역서(건설사) 2" xfId="21716"/>
    <cellStyle name="_적격(화산) _월곳집행(본사)_공내역서(소방)_내역서(작업)" xfId="21717"/>
    <cellStyle name="_적격(화산) _월곳집행(본사)_공내역서(소방)_내역서(작업) 2" xfId="21718"/>
    <cellStyle name="_적격(화산) _월곳집행(본사)_공내역서(소방)_롯데마그넷(오산점)" xfId="21719"/>
    <cellStyle name="_적격(화산) _월곳집행(본사)_공내역서(소방)_롯데마그넷(오산점) 2" xfId="21720"/>
    <cellStyle name="_적격(화산) _월곳집행(본사)_공내역서(소방)_롯데마그넷(오산점)_내역서(건설사)" xfId="21721"/>
    <cellStyle name="_적격(화산) _월곳집행(본사)_공내역서(소방)_롯데마그넷(오산점)_내역서(건설사) 2" xfId="21722"/>
    <cellStyle name="_적격(화산) _월곳집행(본사)_공내역서(소방)_롯데마그넷(오산점)_내역서(작업)" xfId="21723"/>
    <cellStyle name="_적격(화산) _월곳집행(본사)_공내역서(소방)_롯데마그넷(오산점)_내역서(작업) 2" xfId="21724"/>
    <cellStyle name="_적격(화산) _월곳집행(본사)_공내역서(소방)_롯데마그넷(오산점)_통영점공조및위생" xfId="21725"/>
    <cellStyle name="_적격(화산) _월곳집행(본사)_공내역서(소방)_롯데마그넷(오산점)_통영점공조및위생 2" xfId="21726"/>
    <cellStyle name="_적격(화산) _월곳집행(본사)_공내역서(소방)_롯데마그넷(오산점)_통영점공조및위생_내역서(건설사)" xfId="21727"/>
    <cellStyle name="_적격(화산) _월곳집행(본사)_공내역서(소방)_롯데마그넷(오산점)_통영점공조및위생_내역서(건설사) 2" xfId="21728"/>
    <cellStyle name="_적격(화산) _월곳집행(본사)_공내역서(소방)_롯데마그넷(오산점)_통영점공조및위생_내역서(작업)" xfId="21729"/>
    <cellStyle name="_적격(화산) _월곳집행(본사)_공내역서(소방)_롯데마그넷(오산점)_통영점공조및위생_내역서(작업) 2" xfId="21730"/>
    <cellStyle name="_적격(화산) _월곳집행(본사)_공내역서(소방)_마그넷오산점내역(020320)" xfId="21731"/>
    <cellStyle name="_적격(화산) _월곳집행(본사)_공내역서(소방)_마그넷오산점내역(020320) 2" xfId="21732"/>
    <cellStyle name="_적격(화산) _월곳집행(본사)_공내역서(소방)_마그넷오산점내역(020320)_내역서(건설사)" xfId="21733"/>
    <cellStyle name="_적격(화산) _월곳집행(본사)_공내역서(소방)_마그넷오산점내역(020320)_내역서(건설사) 2" xfId="21734"/>
    <cellStyle name="_적격(화산) _월곳집행(본사)_공내역서(소방)_마그넷오산점내역(020320)_내역서(작업)" xfId="21735"/>
    <cellStyle name="_적격(화산) _월곳집행(본사)_공내역서(소방)_마그넷오산점내역(020320)_내역서(작업) 2" xfId="21736"/>
    <cellStyle name="_적격(화산) _월곳집행(본사)_공내역서(소방)_마그넷오산점내역(020320)_통영점공조및위생" xfId="21737"/>
    <cellStyle name="_적격(화산) _월곳집행(본사)_공내역서(소방)_마그넷오산점내역(020320)_통영점공조및위생 2" xfId="21738"/>
    <cellStyle name="_적격(화산) _월곳집행(본사)_공내역서(소방)_마그넷오산점내역(020320)_통영점공조및위생_내역서(건설사)" xfId="21739"/>
    <cellStyle name="_적격(화산) _월곳집행(본사)_공내역서(소방)_마그넷오산점내역(020320)_통영점공조및위생_내역서(건설사) 2" xfId="21740"/>
    <cellStyle name="_적격(화산) _월곳집행(본사)_공내역서(소방)_마그넷오산점내역(020320)_통영점공조및위생_내역서(작업)" xfId="21741"/>
    <cellStyle name="_적격(화산) _월곳집행(본사)_공내역서(소방)_마그넷오산점내역(020320)_통영점공조및위생_내역서(작업) 2" xfId="21742"/>
    <cellStyle name="_적격(화산) _월곳집행(본사)_공내역서(소방)_정-의왕가스경보설비공사(기안)" xfId="21743"/>
    <cellStyle name="_적격(화산) _월곳집행(본사)_공내역서(소방)_정-의왕가스경보설비공사(기안) 2" xfId="21744"/>
    <cellStyle name="_적격(화산) _월곳집행(본사)_공내역서(소방)_정-의왕가스경보설비공사(기안)_내역서(건설사)" xfId="21745"/>
    <cellStyle name="_적격(화산) _월곳집행(본사)_공내역서(소방)_정-의왕가스경보설비공사(기안)_내역서(건설사) 2" xfId="21746"/>
    <cellStyle name="_적격(화산) _월곳집행(본사)_공내역서(소방)_정-의왕가스경보설비공사(기안)_내역서(작업)" xfId="21747"/>
    <cellStyle name="_적격(화산) _월곳집행(본사)_공내역서(소방)_정-의왕가스경보설비공사(기안)_내역서(작업) 2" xfId="21748"/>
    <cellStyle name="_적격(화산) _월곳집행(본사)_공내역서(소방)_정-의왕가스경보설비공사(기안)_통영점공조및위생" xfId="21749"/>
    <cellStyle name="_적격(화산) _월곳집행(본사)_공내역서(소방)_정-의왕가스경보설비공사(기안)_통영점공조및위생 2" xfId="21750"/>
    <cellStyle name="_적격(화산) _월곳집행(본사)_공내역서(소방)_정-의왕가스경보설비공사(기안)_통영점공조및위생_내역서(건설사)" xfId="21751"/>
    <cellStyle name="_적격(화산) _월곳집행(본사)_공내역서(소방)_정-의왕가스경보설비공사(기안)_통영점공조및위생_내역서(건설사) 2" xfId="21752"/>
    <cellStyle name="_적격(화산) _월곳집행(본사)_공내역서(소방)_정-의왕가스경보설비공사(기안)_통영점공조및위생_내역서(작업)" xfId="21753"/>
    <cellStyle name="_적격(화산) _월곳집행(본사)_공내역서(소방)_정-의왕가스경보설비공사(기안)_통영점공조및위생_내역서(작업) 2" xfId="21754"/>
    <cellStyle name="_적격(화산) _월곳집행(본사)_공내역서(소방)_통영점공조및위생" xfId="21755"/>
    <cellStyle name="_적격(화산) _월곳집행(본사)_공내역서(소방)_통영점공조및위생 2" xfId="21756"/>
    <cellStyle name="_적격(화산) _월곳집행(본사)_공내역서(소방)_통영점공조및위생_내역서(건설사)" xfId="21757"/>
    <cellStyle name="_적격(화산) _월곳집행(본사)_공내역서(소방)_통영점공조및위생_내역서(건설사) 2" xfId="21758"/>
    <cellStyle name="_적격(화산) _월곳집행(본사)_공내역서(소방)_통영점공조및위생_내역서(작업)" xfId="21759"/>
    <cellStyle name="_적격(화산) _월곳집행(본사)_공내역서(소방)_통영점공조및위생_내역서(작업) 2" xfId="21760"/>
    <cellStyle name="_적격(화산) _월곳집행(본사)_공내역서(소방final)" xfId="21761"/>
    <cellStyle name="_적격(화산) _월곳집행(본사)_공내역서(소방final) 2" xfId="21762"/>
    <cellStyle name="_적격(화산) _월곳집행(본사)_공내역서(소방final)_내역서(건설사)" xfId="21763"/>
    <cellStyle name="_적격(화산) _월곳집행(본사)_공내역서(소방final)_내역서(건설사) 2" xfId="21764"/>
    <cellStyle name="_적격(화산) _월곳집행(본사)_공내역서(소방final)_내역서(작업)" xfId="21765"/>
    <cellStyle name="_적격(화산) _월곳집행(본사)_공내역서(소방final)_내역서(작업) 2" xfId="21766"/>
    <cellStyle name="_적격(화산) _월곳집행(본사)_공내역서(소방final)_롯데마그넷(오산점)" xfId="21767"/>
    <cellStyle name="_적격(화산) _월곳집행(본사)_공내역서(소방final)_롯데마그넷(오산점) 2" xfId="21768"/>
    <cellStyle name="_적격(화산) _월곳집행(본사)_공내역서(소방final)_롯데마그넷(오산점)_내역서(건설사)" xfId="21769"/>
    <cellStyle name="_적격(화산) _월곳집행(본사)_공내역서(소방final)_롯데마그넷(오산점)_내역서(건설사) 2" xfId="21770"/>
    <cellStyle name="_적격(화산) _월곳집행(본사)_공내역서(소방final)_롯데마그넷(오산점)_내역서(작업)" xfId="21771"/>
    <cellStyle name="_적격(화산) _월곳집행(본사)_공내역서(소방final)_롯데마그넷(오산점)_내역서(작업) 2" xfId="21772"/>
    <cellStyle name="_적격(화산) _월곳집행(본사)_공내역서(소방final)_롯데마그넷(오산점)_통영점공조및위생" xfId="21773"/>
    <cellStyle name="_적격(화산) _월곳집행(본사)_공내역서(소방final)_롯데마그넷(오산점)_통영점공조및위생 2" xfId="21774"/>
    <cellStyle name="_적격(화산) _월곳집행(본사)_공내역서(소방final)_롯데마그넷(오산점)_통영점공조및위생_내역서(건설사)" xfId="21775"/>
    <cellStyle name="_적격(화산) _월곳집행(본사)_공내역서(소방final)_롯데마그넷(오산점)_통영점공조및위생_내역서(건설사) 2" xfId="21776"/>
    <cellStyle name="_적격(화산) _월곳집행(본사)_공내역서(소방final)_롯데마그넷(오산점)_통영점공조및위생_내역서(작업)" xfId="21777"/>
    <cellStyle name="_적격(화산) _월곳집행(본사)_공내역서(소방final)_롯데마그넷(오산점)_통영점공조및위생_내역서(작업) 2" xfId="21778"/>
    <cellStyle name="_적격(화산) _월곳집행(본사)_공내역서(소방final)_마그넷오산점내역(020320)" xfId="21779"/>
    <cellStyle name="_적격(화산) _월곳집행(본사)_공내역서(소방final)_마그넷오산점내역(020320) 2" xfId="21780"/>
    <cellStyle name="_적격(화산) _월곳집행(본사)_공내역서(소방final)_마그넷오산점내역(020320)_내역서(건설사)" xfId="21781"/>
    <cellStyle name="_적격(화산) _월곳집행(본사)_공내역서(소방final)_마그넷오산점내역(020320)_내역서(건설사) 2" xfId="21782"/>
    <cellStyle name="_적격(화산) _월곳집행(본사)_공내역서(소방final)_마그넷오산점내역(020320)_내역서(작업)" xfId="21783"/>
    <cellStyle name="_적격(화산) _월곳집행(본사)_공내역서(소방final)_마그넷오산점내역(020320)_내역서(작업) 2" xfId="21784"/>
    <cellStyle name="_적격(화산) _월곳집행(본사)_공내역서(소방final)_마그넷오산점내역(020320)_통영점공조및위생" xfId="21785"/>
    <cellStyle name="_적격(화산) _월곳집행(본사)_공내역서(소방final)_마그넷오산점내역(020320)_통영점공조및위생 2" xfId="21786"/>
    <cellStyle name="_적격(화산) _월곳집행(본사)_공내역서(소방final)_마그넷오산점내역(020320)_통영점공조및위생_내역서(건설사)" xfId="21787"/>
    <cellStyle name="_적격(화산) _월곳집행(본사)_공내역서(소방final)_마그넷오산점내역(020320)_통영점공조및위생_내역서(건설사) 2" xfId="21788"/>
    <cellStyle name="_적격(화산) _월곳집행(본사)_공내역서(소방final)_마그넷오산점내역(020320)_통영점공조및위생_내역서(작업)" xfId="21789"/>
    <cellStyle name="_적격(화산) _월곳집행(본사)_공내역서(소방final)_마그넷오산점내역(020320)_통영점공조및위생_내역서(작업) 2" xfId="21790"/>
    <cellStyle name="_적격(화산) _월곳집행(본사)_공내역서(소방final)_정-의왕가스경보설비공사(기안)" xfId="21791"/>
    <cellStyle name="_적격(화산) _월곳집행(본사)_공내역서(소방final)_정-의왕가스경보설비공사(기안) 2" xfId="21792"/>
    <cellStyle name="_적격(화산) _월곳집행(본사)_공내역서(소방final)_정-의왕가스경보설비공사(기안)_내역서(건설사)" xfId="21793"/>
    <cellStyle name="_적격(화산) _월곳집행(본사)_공내역서(소방final)_정-의왕가스경보설비공사(기안)_내역서(건설사) 2" xfId="21794"/>
    <cellStyle name="_적격(화산) _월곳집행(본사)_공내역서(소방final)_정-의왕가스경보설비공사(기안)_내역서(작업)" xfId="21795"/>
    <cellStyle name="_적격(화산) _월곳집행(본사)_공내역서(소방final)_정-의왕가스경보설비공사(기안)_내역서(작업) 2" xfId="21796"/>
    <cellStyle name="_적격(화산) _월곳집행(본사)_공내역서(소방final)_정-의왕가스경보설비공사(기안)_통영점공조및위생" xfId="21797"/>
    <cellStyle name="_적격(화산) _월곳집행(본사)_공내역서(소방final)_정-의왕가스경보설비공사(기안)_통영점공조및위생 2" xfId="21798"/>
    <cellStyle name="_적격(화산) _월곳집행(본사)_공내역서(소방final)_정-의왕가스경보설비공사(기안)_통영점공조및위생_내역서(건설사)" xfId="21799"/>
    <cellStyle name="_적격(화산) _월곳집행(본사)_공내역서(소방final)_정-의왕가스경보설비공사(기안)_통영점공조및위생_내역서(건설사) 2" xfId="21800"/>
    <cellStyle name="_적격(화산) _월곳집행(본사)_공내역서(소방final)_정-의왕가스경보설비공사(기안)_통영점공조및위생_내역서(작업)" xfId="21801"/>
    <cellStyle name="_적격(화산) _월곳집행(본사)_공내역서(소방final)_정-의왕가스경보설비공사(기안)_통영점공조및위생_내역서(작업) 2" xfId="21802"/>
    <cellStyle name="_적격(화산) _월곳집행(본사)_공내역서(소방final)_통영점공조및위생" xfId="21803"/>
    <cellStyle name="_적격(화산) _월곳집행(본사)_공내역서(소방final)_통영점공조및위생 2" xfId="21804"/>
    <cellStyle name="_적격(화산) _월곳집행(본사)_공내역서(소방final)_통영점공조및위생_내역서(건설사)" xfId="21805"/>
    <cellStyle name="_적격(화산) _월곳집행(본사)_공내역서(소방final)_통영점공조및위생_내역서(건설사) 2" xfId="21806"/>
    <cellStyle name="_적격(화산) _월곳집행(본사)_공내역서(소방final)_통영점공조및위생_내역서(작업)" xfId="21807"/>
    <cellStyle name="_적격(화산) _월곳집행(본사)_공내역서(소방final)_통영점공조및위생_내역서(작업) 2" xfId="21808"/>
    <cellStyle name="_적격(화산) _월곳집행(본사)_내역서(건설사)" xfId="21809"/>
    <cellStyle name="_적격(화산) _월곳집행(본사)_내역서(건설사) 2" xfId="21810"/>
    <cellStyle name="_적격(화산) _월곳집행(본사)_내역서(작업)" xfId="21811"/>
    <cellStyle name="_적격(화산) _월곳집행(본사)_내역서(작업) 2" xfId="21812"/>
    <cellStyle name="_적격(화산) _월곳집행(본사)_롯데마그넷(오산점)" xfId="21813"/>
    <cellStyle name="_적격(화산) _월곳집행(본사)_롯데마그넷(오산점) 2" xfId="21814"/>
    <cellStyle name="_적격(화산) _월곳집행(본사)_롯데마그넷(오산점)_내역서(건설사)" xfId="21815"/>
    <cellStyle name="_적격(화산) _월곳집행(본사)_롯데마그넷(오산점)_내역서(건설사) 2" xfId="21816"/>
    <cellStyle name="_적격(화산) _월곳집행(본사)_롯데마그넷(오산점)_내역서(작업)" xfId="21817"/>
    <cellStyle name="_적격(화산) _월곳집행(본사)_롯데마그넷(오산점)_내역서(작업) 2" xfId="21818"/>
    <cellStyle name="_적격(화산) _월곳집행(본사)_롯데마그넷(오산점)_통영점공조및위생" xfId="21819"/>
    <cellStyle name="_적격(화산) _월곳집행(본사)_롯데마그넷(오산점)_통영점공조및위생 2" xfId="21820"/>
    <cellStyle name="_적격(화산) _월곳집행(본사)_롯데마그넷(오산점)_통영점공조및위생_내역서(건설사)" xfId="21821"/>
    <cellStyle name="_적격(화산) _월곳집행(본사)_롯데마그넷(오산점)_통영점공조및위생_내역서(건설사) 2" xfId="21822"/>
    <cellStyle name="_적격(화산) _월곳집행(본사)_롯데마그넷(오산점)_통영점공조및위생_내역서(작업)" xfId="21823"/>
    <cellStyle name="_적격(화산) _월곳집행(본사)_롯데마그넷(오산점)_통영점공조및위생_내역서(작업) 2" xfId="21824"/>
    <cellStyle name="_적격(화산) _월곳집행(본사)_마그넷오산점내역(020320)" xfId="21825"/>
    <cellStyle name="_적격(화산) _월곳집행(본사)_마그넷오산점내역(020320) 2" xfId="21826"/>
    <cellStyle name="_적격(화산) _월곳집행(본사)_마그넷오산점내역(020320)_내역서(건설사)" xfId="21827"/>
    <cellStyle name="_적격(화산) _월곳집행(본사)_마그넷오산점내역(020320)_내역서(건설사) 2" xfId="21828"/>
    <cellStyle name="_적격(화산) _월곳집행(본사)_마그넷오산점내역(020320)_내역서(작업)" xfId="21829"/>
    <cellStyle name="_적격(화산) _월곳집행(본사)_마그넷오산점내역(020320)_내역서(작업) 2" xfId="21830"/>
    <cellStyle name="_적격(화산) _월곳집행(본사)_마그넷오산점내역(020320)_통영점공조및위생" xfId="21831"/>
    <cellStyle name="_적격(화산) _월곳집행(본사)_마그넷오산점내역(020320)_통영점공조및위생 2" xfId="21832"/>
    <cellStyle name="_적격(화산) _월곳집행(본사)_마그넷오산점내역(020320)_통영점공조및위생_내역서(건설사)" xfId="21833"/>
    <cellStyle name="_적격(화산) _월곳집행(본사)_마그넷오산점내역(020320)_통영점공조및위생_내역서(건설사) 2" xfId="21834"/>
    <cellStyle name="_적격(화산) _월곳집행(본사)_마그넷오산점내역(020320)_통영점공조및위생_내역서(작업)" xfId="21835"/>
    <cellStyle name="_적격(화산) _월곳집행(본사)_마그넷오산점내역(020320)_통영점공조및위생_내역서(작업) 2" xfId="21836"/>
    <cellStyle name="_적격(화산) _월곳집행(본사)_정-의왕가스경보설비공사(기안)" xfId="21837"/>
    <cellStyle name="_적격(화산) _월곳집행(본사)_정-의왕가스경보설비공사(기안) 2" xfId="21838"/>
    <cellStyle name="_적격(화산) _월곳집행(본사)_정-의왕가스경보설비공사(기안)_내역서(건설사)" xfId="21839"/>
    <cellStyle name="_적격(화산) _월곳집행(본사)_정-의왕가스경보설비공사(기안)_내역서(건설사) 2" xfId="21840"/>
    <cellStyle name="_적격(화산) _월곳집행(본사)_정-의왕가스경보설비공사(기안)_내역서(작업)" xfId="21841"/>
    <cellStyle name="_적격(화산) _월곳집행(본사)_정-의왕가스경보설비공사(기안)_내역서(작업) 2" xfId="21842"/>
    <cellStyle name="_적격(화산) _월곳집행(본사)_정-의왕가스경보설비공사(기안)_통영점공조및위생" xfId="21843"/>
    <cellStyle name="_적격(화산) _월곳집행(본사)_정-의왕가스경보설비공사(기안)_통영점공조및위생 2" xfId="21844"/>
    <cellStyle name="_적격(화산) _월곳집행(본사)_정-의왕가스경보설비공사(기안)_통영점공조및위생_내역서(건설사)" xfId="21845"/>
    <cellStyle name="_적격(화산) _월곳집행(본사)_정-의왕가스경보설비공사(기안)_통영점공조및위생_내역서(건설사) 2" xfId="21846"/>
    <cellStyle name="_적격(화산) _월곳집행(본사)_정-의왕가스경보설비공사(기안)_통영점공조및위생_내역서(작업)" xfId="21847"/>
    <cellStyle name="_적격(화산) _월곳집행(본사)_정-의왕가스경보설비공사(기안)_통영점공조및위생_내역서(작업) 2" xfId="21848"/>
    <cellStyle name="_적격(화산) _월곳집행(본사)_통영점공조및위생" xfId="21849"/>
    <cellStyle name="_적격(화산) _월곳집행(본사)_통영점공조및위생 2" xfId="21850"/>
    <cellStyle name="_적격(화산) _월곳집행(본사)_통영점공조및위생_내역서(건설사)" xfId="21851"/>
    <cellStyle name="_적격(화산) _월곳집행(본사)_통영점공조및위생_내역서(건설사) 2" xfId="21852"/>
    <cellStyle name="_적격(화산) _월곳집행(본사)_통영점공조및위생_내역서(작업)" xfId="21853"/>
    <cellStyle name="_적격(화산) _월곳집행(본사)_통영점공조및위생_내역서(작업) 2" xfId="21854"/>
    <cellStyle name="_적격(화산) _월곶3차집행(R0)" xfId="21855"/>
    <cellStyle name="_적격(화산) _월곶3차집행(R0) 2" xfId="21856"/>
    <cellStyle name="_적격(화산) _월곶3차집행(R0)_Book2" xfId="21857"/>
    <cellStyle name="_적격(화산) _월곶3차집행(R0)_Book2 2" xfId="21858"/>
    <cellStyle name="_적격(화산) _월곶3차집행(R0)_Book4" xfId="21859"/>
    <cellStyle name="_적격(화산) _월곶3차집행(R0)_Book4 2" xfId="21860"/>
    <cellStyle name="_적격(화산) _정-의왕가스경보설비공사(기안)" xfId="21861"/>
    <cellStyle name="_적격(화산) _정-의왕가스경보설비공사(기안) 2" xfId="21862"/>
    <cellStyle name="_적격(화산) _정-의왕가스경보설비공사(기안)_내역서(건설사)" xfId="21863"/>
    <cellStyle name="_적격(화산) _정-의왕가스경보설비공사(기안)_내역서(건설사) 2" xfId="21864"/>
    <cellStyle name="_적격(화산) _정-의왕가스경보설비공사(기안)_내역서(작업)" xfId="21865"/>
    <cellStyle name="_적격(화산) _정-의왕가스경보설비공사(기안)_내역서(작업) 2" xfId="21866"/>
    <cellStyle name="_적격(화산) _정-의왕가스경보설비공사(기안)_통영점공조및위생" xfId="21867"/>
    <cellStyle name="_적격(화산) _정-의왕가스경보설비공사(기안)_통영점공조및위생 2" xfId="21868"/>
    <cellStyle name="_적격(화산) _정-의왕가스경보설비공사(기안)_통영점공조및위생_내역서(건설사)" xfId="21869"/>
    <cellStyle name="_적격(화산) _정-의왕가스경보설비공사(기안)_통영점공조및위생_내역서(건설사) 2" xfId="21870"/>
    <cellStyle name="_적격(화산) _정-의왕가스경보설비공사(기안)_통영점공조및위생_내역서(작업)" xfId="21871"/>
    <cellStyle name="_적격(화산) _정-의왕가스경보설비공사(기안)_통영점공조및위생_내역서(작업) 2" xfId="21872"/>
    <cellStyle name="_적격(화산) _지붕공사" xfId="21873"/>
    <cellStyle name="_적격(화산) _지붕공사 2" xfId="21874"/>
    <cellStyle name="_적격(화산) _지붕공사_1.흙막이공사 - 견적대비조서(입찰)" xfId="21875"/>
    <cellStyle name="_적격(화산) _지붕공사_1.흙막이공사 - 견적대비조서(입찰) 2" xfId="21876"/>
    <cellStyle name="_적격(화산) _지붕공사_사본 - ☆태평동  도급내역" xfId="21877"/>
    <cellStyle name="_적격(화산) _지붕공사_사본 - ☆태평동  도급내역 2" xfId="21878"/>
    <cellStyle name="_적격(화산) _지붕공사_성남태평동설비공사" xfId="21879"/>
    <cellStyle name="_적격(화산) _지붕공사_성남태평동설비공사 2" xfId="21880"/>
    <cellStyle name="_적격(화산) _지붕공사_수원율전 실행내역" xfId="21881"/>
    <cellStyle name="_적격(화산) _지붕공사_수원율전 실행내역 2" xfId="21882"/>
    <cellStyle name="_적격(화산) _지붕공사_수원율전 실행내역 검토안" xfId="21883"/>
    <cellStyle name="_적격(화산) _지붕공사_수원율전 실행내역 검토안 2" xfId="21884"/>
    <cellStyle name="_적격(화산) _지붕공사_수원율전 실행내역 검토안_사본 - ☆태평동  도급내역" xfId="21885"/>
    <cellStyle name="_적격(화산) _지붕공사_수원율전 실행내역 검토안_사본 - ☆태평동  도급내역 2" xfId="21886"/>
    <cellStyle name="_적격(화산) _지붕공사_수원율전 실행내역 검토안_성남태평동설비공사" xfId="21887"/>
    <cellStyle name="_적격(화산) _지붕공사_수원율전 실행내역 검토안_성남태평동설비공사 2" xfId="21888"/>
    <cellStyle name="_적격(화산) _지붕공사_수원율전 실행내역 검토안_수원율전 실행내역" xfId="21889"/>
    <cellStyle name="_적격(화산) _지붕공사_수원율전 실행내역 검토안_수원율전 실행내역 2" xfId="21890"/>
    <cellStyle name="_적격(화산) _지붕공사_수원율전 실행내역 검토안_수원율전 실행내역 검토안" xfId="21891"/>
    <cellStyle name="_적격(화산) _지붕공사_수원율전 실행내역 검토안_수원율전 실행내역 검토안 2" xfId="21892"/>
    <cellStyle name="_적격(화산) _지붕공사_수원율전 실행내역 검토안_수원율전 실행내역 검토안_사본 - ☆태평동  도급내역" xfId="21893"/>
    <cellStyle name="_적격(화산) _지붕공사_수원율전 실행내역 검토안_수원율전 실행내역 검토안_사본 - ☆태평동  도급내역 2" xfId="21894"/>
    <cellStyle name="_적격(화산) _지붕공사_수원율전 실행내역 검토안_수원율전 실행내역 검토안_성남태평동설비공사" xfId="21895"/>
    <cellStyle name="_적격(화산) _지붕공사_수원율전 실행내역 검토안_수원율전 실행내역 검토안_성남태평동설비공사 2" xfId="21896"/>
    <cellStyle name="_적격(화산) _지붕공사_수원율전 실행내역 검토안_수원율전 실행내역 검토안_수정구 태평동 주상복합 실행내역 검토안" xfId="21897"/>
    <cellStyle name="_적격(화산) _지붕공사_수원율전 실행내역 검토안_수원율전 실행내역 검토안_수정구 태평동 주상복합 실행내역 검토안 2" xfId="21898"/>
    <cellStyle name="_적격(화산) _지붕공사_수원율전 실행내역 검토안_수원율전 실행내역 검토안_태평동 실행내역서" xfId="21899"/>
    <cellStyle name="_적격(화산) _지붕공사_수원율전 실행내역 검토안_수원율전 실행내역 검토안_태평동 실행내역서 2" xfId="21900"/>
    <cellStyle name="_적격(화산) _지붕공사_수원율전 실행내역 검토안_수원율전 실행내역 검토안_태평동도급내역(Rev.2)-12.26" xfId="21901"/>
    <cellStyle name="_적격(화산) _지붕공사_수원율전 실행내역 검토안_수원율전 실행내역 검토안_태평동도급내역(Rev.2)-12.26 2" xfId="21902"/>
    <cellStyle name="_적격(화산) _지붕공사_수원율전 실행내역 검토안_수정구 태평동 주상복합 실행내역 검토안" xfId="21903"/>
    <cellStyle name="_적격(화산) _지붕공사_수원율전 실행내역 검토안_수정구 태평동 주상복합 실행내역 검토안 2" xfId="21904"/>
    <cellStyle name="_적격(화산) _지붕공사_수원율전 실행내역 검토안_태평동 실행내역서" xfId="21905"/>
    <cellStyle name="_적격(화산) _지붕공사_수원율전 실행내역 검토안_태평동 실행내역서 2" xfId="21906"/>
    <cellStyle name="_적격(화산) _지붕공사_수원율전 실행내역 검토안_태평동도급내역(Rev.2)-12.26" xfId="21907"/>
    <cellStyle name="_적격(화산) _지붕공사_수원율전 실행내역 검토안_태평동도급내역(Rev.2)-12.26 2" xfId="21908"/>
    <cellStyle name="_적격(화산) _지붕공사_수원율전조합" xfId="21909"/>
    <cellStyle name="_적격(화산) _지붕공사_수원율전조합 2" xfId="21910"/>
    <cellStyle name="_적격(화산) _지붕공사_수원율전조합_사본 - ☆태평동  도급내역" xfId="21911"/>
    <cellStyle name="_적격(화산) _지붕공사_수원율전조합_사본 - ☆태평동  도급내역 2" xfId="21912"/>
    <cellStyle name="_적격(화산) _지붕공사_수원율전조합_성남태평동설비공사" xfId="21913"/>
    <cellStyle name="_적격(화산) _지붕공사_수원율전조합_성남태평동설비공사 2" xfId="21914"/>
    <cellStyle name="_적격(화산) _지붕공사_수원율전조합_수원율전 실행내역" xfId="21915"/>
    <cellStyle name="_적격(화산) _지붕공사_수원율전조합_수원율전 실행내역 2" xfId="21916"/>
    <cellStyle name="_적격(화산) _지붕공사_수원율전조합_수원율전 실행내역 검토안" xfId="21917"/>
    <cellStyle name="_적격(화산) _지붕공사_수원율전조합_수원율전 실행내역 검토안 2" xfId="21918"/>
    <cellStyle name="_적격(화산) _지붕공사_수원율전조합_수원율전 실행내역 검토안_사본 - ☆태평동  도급내역" xfId="21919"/>
    <cellStyle name="_적격(화산) _지붕공사_수원율전조합_수원율전 실행내역 검토안_사본 - ☆태평동  도급내역 2" xfId="21920"/>
    <cellStyle name="_적격(화산) _지붕공사_수원율전조합_수원율전 실행내역 검토안_성남태평동설비공사" xfId="21921"/>
    <cellStyle name="_적격(화산) _지붕공사_수원율전조합_수원율전 실행내역 검토안_성남태평동설비공사 2" xfId="21922"/>
    <cellStyle name="_적격(화산) _지붕공사_수원율전조합_수원율전 실행내역 검토안_수정구 태평동 주상복합 실행내역 검토안" xfId="21923"/>
    <cellStyle name="_적격(화산) _지붕공사_수원율전조합_수원율전 실행내역 검토안_수정구 태평동 주상복합 실행내역 검토안 2" xfId="21924"/>
    <cellStyle name="_적격(화산) _지붕공사_수원율전조합_수원율전 실행내역 검토안_태평동 실행내역서" xfId="21925"/>
    <cellStyle name="_적격(화산) _지붕공사_수원율전조합_수원율전 실행내역 검토안_태평동 실행내역서 2" xfId="21926"/>
    <cellStyle name="_적격(화산) _지붕공사_수원율전조합_수원율전 실행내역 검토안_태평동도급내역(Rev.2)-12.26" xfId="21927"/>
    <cellStyle name="_적격(화산) _지붕공사_수원율전조합_수원율전 실행내역 검토안_태평동도급내역(Rev.2)-12.26 2" xfId="21928"/>
    <cellStyle name="_적격(화산) _지붕공사_수원율전조합_수정구 태평동 주상복합 실행내역 검토안" xfId="21929"/>
    <cellStyle name="_적격(화산) _지붕공사_수원율전조합_수정구 태평동 주상복합 실행내역 검토안 2" xfId="21930"/>
    <cellStyle name="_적격(화산) _지붕공사_수원율전조합_태평동 실행내역서" xfId="21931"/>
    <cellStyle name="_적격(화산) _지붕공사_수원율전조합_태평동 실행내역서 2" xfId="21932"/>
    <cellStyle name="_적격(화산) _지붕공사_수원율전조합_태평동도급내역(Rev.2)-12.26" xfId="21933"/>
    <cellStyle name="_적격(화산) _지붕공사_수원율전조합_태평동도급내역(Rev.2)-12.26 2" xfId="21934"/>
    <cellStyle name="_적격(화산) _지붕공사_수정구 태평동 주상복합 실행내역 검토안" xfId="21935"/>
    <cellStyle name="_적격(화산) _지붕공사_수정구 태평동 주상복합 실행내역 검토안 2" xfId="21936"/>
    <cellStyle name="_적격(화산) _지붕공사_태평동 실행내역서" xfId="21937"/>
    <cellStyle name="_적격(화산) _지붕공사_태평동 실행내역서 2" xfId="21938"/>
    <cellStyle name="_적격(화산) _지붕공사_태평동도급내역(Rev.2)-12.26" xfId="21939"/>
    <cellStyle name="_적격(화산) _지붕공사_태평동도급내역(Rev.2)-12.26 2" xfId="21940"/>
    <cellStyle name="_적격(화산) _집행내역서(Rev.0)" xfId="21941"/>
    <cellStyle name="_적격(화산) _집행내역서(Rev.0) 2" xfId="21942"/>
    <cellStyle name="_적격(화산) _집행내역서(Rev.0)_Book2" xfId="21943"/>
    <cellStyle name="_적격(화산) _집행내역서(Rev.0)_Book2 2" xfId="21944"/>
    <cellStyle name="_적격(화산) _집행내역서(Rev.0)_Book4" xfId="21945"/>
    <cellStyle name="_적격(화산) _집행내역서(Rev.0)_Book4 2" xfId="21946"/>
    <cellStyle name="_적격(화산) _추가일위대가표 총괄" xfId="21947"/>
    <cellStyle name="_적격(화산) _추가일위대가표 총괄 2" xfId="21948"/>
    <cellStyle name="_적격(화산) _태평동 실행내역서" xfId="21949"/>
    <cellStyle name="_적격(화산) _태평동 실행내역서 2" xfId="21950"/>
    <cellStyle name="_적격(화산) _태평동도급내역(Rev.2)-12.26" xfId="21951"/>
    <cellStyle name="_적격(화산) _태평동도급내역(Rev.2)-12.26 2" xfId="21952"/>
    <cellStyle name="_적격(화산) _통영점공조및위생" xfId="21953"/>
    <cellStyle name="_적격(화산) _통영점공조및위생 2" xfId="21954"/>
    <cellStyle name="_적격(화산) _통영점공조및위생_내역서(건설사)" xfId="21955"/>
    <cellStyle name="_적격(화산) _통영점공조및위생_내역서(건설사) 2" xfId="21956"/>
    <cellStyle name="_적격(화산) _통영점공조및위생_내역서(작업)" xfId="21957"/>
    <cellStyle name="_적격(화산) _통영점공조및위생_내역서(작업) 2" xfId="21958"/>
    <cellStyle name="_적격(화산) _투찰" xfId="21959"/>
    <cellStyle name="_적격(화산) _투찰 2" xfId="21960"/>
    <cellStyle name="_적격(화산) _투찰_Book1" xfId="21961"/>
    <cellStyle name="_적격(화산) _투찰_Book1 2" xfId="21962"/>
    <cellStyle name="_적격(화산) _투찰_Book1_내역서(최초)" xfId="21963"/>
    <cellStyle name="_적격(화산) _투찰_Book1_내역서(최초) 2" xfId="21964"/>
    <cellStyle name="_적격(화산) _투찰_Book1_설계내역서" xfId="21965"/>
    <cellStyle name="_적격(화산) _투찰_Book1_설계내역서 2" xfId="21966"/>
    <cellStyle name="_적격(화산) _투찰_Book1_설계내역서(2차)" xfId="21967"/>
    <cellStyle name="_적격(화산) _투찰_Book1_설계내역서(2차) 2" xfId="21968"/>
    <cellStyle name="_적격(화산) _투찰_P-(현리-신팔)" xfId="21969"/>
    <cellStyle name="_적격(화산) _투찰_P-(현리-신팔) 2" xfId="21970"/>
    <cellStyle name="_적격(화산) _투찰_P-(현리-신팔)_내역서(최초)" xfId="21971"/>
    <cellStyle name="_적격(화산) _투찰_P-(현리-신팔)_내역서(최초) 2" xfId="21972"/>
    <cellStyle name="_적격(화산) _투찰_P-(현리-신팔)_설계내역서" xfId="21973"/>
    <cellStyle name="_적격(화산) _투찰_P-(현리-신팔)_설계내역서 2" xfId="21974"/>
    <cellStyle name="_적격(화산) _투찰_P-(현리-신팔)_설계내역서(2차)" xfId="21975"/>
    <cellStyle name="_적격(화산) _투찰_P-(현리-신팔)_설계내역서(2차) 2" xfId="21976"/>
    <cellStyle name="_적격(화산) _투찰_내역서(최초)" xfId="21977"/>
    <cellStyle name="_적격(화산) _투찰_내역서(최초) 2" xfId="21978"/>
    <cellStyle name="_적격(화산) _투찰_부대결과" xfId="21979"/>
    <cellStyle name="_적격(화산) _투찰_부대결과 2" xfId="21980"/>
    <cellStyle name="_적격(화산) _투찰_부대결과_Book1" xfId="21981"/>
    <cellStyle name="_적격(화산) _투찰_부대결과_Book1 2" xfId="21982"/>
    <cellStyle name="_적격(화산) _투찰_부대결과_Book1_내역서(최초)" xfId="21983"/>
    <cellStyle name="_적격(화산) _투찰_부대결과_Book1_내역서(최초) 2" xfId="21984"/>
    <cellStyle name="_적격(화산) _투찰_부대결과_Book1_설계내역서" xfId="21985"/>
    <cellStyle name="_적격(화산) _투찰_부대결과_Book1_설계내역서 2" xfId="21986"/>
    <cellStyle name="_적격(화산) _투찰_부대결과_Book1_설계내역서(2차)" xfId="21987"/>
    <cellStyle name="_적격(화산) _투찰_부대결과_Book1_설계내역서(2차) 2" xfId="21988"/>
    <cellStyle name="_적격(화산) _투찰_부대결과_P-(현리-신팔)" xfId="21989"/>
    <cellStyle name="_적격(화산) _투찰_부대결과_P-(현리-신팔) 2" xfId="21990"/>
    <cellStyle name="_적격(화산) _투찰_부대결과_P-(현리-신팔)_내역서(최초)" xfId="21991"/>
    <cellStyle name="_적격(화산) _투찰_부대결과_P-(현리-신팔)_내역서(최초) 2" xfId="21992"/>
    <cellStyle name="_적격(화산) _투찰_부대결과_P-(현리-신팔)_설계내역서" xfId="21993"/>
    <cellStyle name="_적격(화산) _투찰_부대결과_P-(현리-신팔)_설계내역서 2" xfId="21994"/>
    <cellStyle name="_적격(화산) _투찰_부대결과_P-(현리-신팔)_설계내역서(2차)" xfId="21995"/>
    <cellStyle name="_적격(화산) _투찰_부대결과_P-(현리-신팔)_설계내역서(2차) 2" xfId="21996"/>
    <cellStyle name="_적격(화산) _투찰_부대결과_내역서(최초)" xfId="21997"/>
    <cellStyle name="_적격(화산) _투찰_부대결과_내역서(최초) 2" xfId="21998"/>
    <cellStyle name="_적격(화산) _투찰_부대결과_설계내역서" xfId="21999"/>
    <cellStyle name="_적격(화산) _투찰_부대결과_설계내역서 2" xfId="22000"/>
    <cellStyle name="_적격(화산) _투찰_부대결과_설계내역서(2차)" xfId="22001"/>
    <cellStyle name="_적격(화산) _투찰_부대결과_설계내역서(2차) 2" xfId="22002"/>
    <cellStyle name="_적격(화산) _투찰_부대결과_현리-신팔도로설계" xfId="22003"/>
    <cellStyle name="_적격(화산) _투찰_부대결과_현리-신팔도로설계 2" xfId="22004"/>
    <cellStyle name="_적격(화산) _투찰_부대결과_현리-신팔도로설계_내역서(최초)" xfId="22005"/>
    <cellStyle name="_적격(화산) _투찰_부대결과_현리-신팔도로설계_내역서(최초) 2" xfId="22006"/>
    <cellStyle name="_적격(화산) _투찰_부대결과_현리-신팔도로설계_설계내역서" xfId="22007"/>
    <cellStyle name="_적격(화산) _투찰_부대결과_현리-신팔도로설계_설계내역서 2" xfId="22008"/>
    <cellStyle name="_적격(화산) _투찰_부대결과_현리-신팔도로설계_설계내역서(2차)" xfId="22009"/>
    <cellStyle name="_적격(화산) _투찰_부대결과_현리-신팔도로설계_설계내역서(2차) 2" xfId="22010"/>
    <cellStyle name="_적격(화산) _투찰_설계내역서" xfId="22011"/>
    <cellStyle name="_적격(화산) _투찰_설계내역서 2" xfId="22012"/>
    <cellStyle name="_적격(화산) _투찰_설계내역서(2차)" xfId="22013"/>
    <cellStyle name="_적격(화산) _투찰_설계내역서(2차) 2" xfId="22014"/>
    <cellStyle name="_적격(화산) _투찰_현리-신팔도로설계" xfId="22015"/>
    <cellStyle name="_적격(화산) _투찰_현리-신팔도로설계 2" xfId="22016"/>
    <cellStyle name="_적격(화산) _투찰_현리-신팔도로설계_내역서(최초)" xfId="22017"/>
    <cellStyle name="_적격(화산) _투찰_현리-신팔도로설계_내역서(최초) 2" xfId="22018"/>
    <cellStyle name="_적격(화산) _투찰_현리-신팔도로설계_설계내역서" xfId="22019"/>
    <cellStyle name="_적격(화산) _투찰_현리-신팔도로설계_설계내역서 2" xfId="22020"/>
    <cellStyle name="_적격(화산) _투찰_현리-신팔도로설계_설계내역서(2차)" xfId="22021"/>
    <cellStyle name="_적격(화산) _투찰_현리-신팔도로설계_설계내역서(2차) 2" xfId="22022"/>
    <cellStyle name="_적격(화산) _파주시금촌(2)지구C2BL풍림APT(1001)-공" xfId="22023"/>
    <cellStyle name="_적격(화산) _파주시금촌(2)지구C2BL풍림APT(1001)-공 2" xfId="22024"/>
    <cellStyle name="_적격(화산) _파주시금촌집행(R2)-상가제외" xfId="22025"/>
    <cellStyle name="_적격(화산) _파주시금촌집행(R2)-상가제외 2" xfId="22026"/>
    <cellStyle name="_적격(화산) _현대건설 대구대천" xfId="22027"/>
    <cellStyle name="_적격(화산) _현대건설 대구대천 2" xfId="22028"/>
    <cellStyle name="_적격(화산) _현리-신팔도로설계" xfId="22029"/>
    <cellStyle name="_적격(화산) _현리-신팔도로설계 2" xfId="22030"/>
    <cellStyle name="_적격(화산) _현리-신팔도로설계_내역서(최초)" xfId="22031"/>
    <cellStyle name="_적격(화산) _현리-신팔도로설계_내역서(최초) 2" xfId="22032"/>
    <cellStyle name="_적격(화산) _현리-신팔도로설계_설계내역서" xfId="22033"/>
    <cellStyle name="_적격(화산) _현리-신팔도로설계_설계내역서 2" xfId="22034"/>
    <cellStyle name="_적격(화산) _현리-신팔도로설계_설계내역서(2차)" xfId="22035"/>
    <cellStyle name="_적격(화산) _현리-신팔도로설계_설계내역서(2차) 2" xfId="22036"/>
    <cellStyle name="_전기산출서" xfId="22037"/>
    <cellStyle name="_전기산출서 2" xfId="22038"/>
    <cellStyle name="_전기산출서(0127)" xfId="22039"/>
    <cellStyle name="_전기산출서(0127) 2" xfId="22040"/>
    <cellStyle name="_전기산출서(0127)_서울숲교회 02-15" xfId="22041"/>
    <cellStyle name="_전기산출서(0127)_서울숲교회 02-15 2" xfId="22042"/>
    <cellStyle name="_전기산출서(0127)_서울숲교회01-19" xfId="22043"/>
    <cellStyle name="_전기산출서(0127)_서울숲교회01-19 2" xfId="22044"/>
    <cellStyle name="_전기산출서(0127)_서울숲교회02-07" xfId="22045"/>
    <cellStyle name="_전기산출서(0127)_서울숲교회02-07 2" xfId="22046"/>
    <cellStyle name="_전기산출서(0127)_서울숲교회부속실02-07" xfId="22047"/>
    <cellStyle name="_전기산출서(0127)_서울숲교회부속실02-07 2" xfId="22048"/>
    <cellStyle name="_전기산출서(0127)_서울숲교회부속실영상2-7" xfId="22049"/>
    <cellStyle name="_전기산출서(0127)_서울숲교회부속실영상2-7 2" xfId="22050"/>
    <cellStyle name="_전기산출서(0127)_효성교회견적계약" xfId="22051"/>
    <cellStyle name="_전기산출서(0127)_효성교회견적계약 2" xfId="22052"/>
    <cellStyle name="_전기산출서_서울숲교회 02-15" xfId="22053"/>
    <cellStyle name="_전기산출서_서울숲교회 02-15 2" xfId="22054"/>
    <cellStyle name="_전기산출서_서울숲교회01-19" xfId="22055"/>
    <cellStyle name="_전기산출서_서울숲교회01-19 2" xfId="22056"/>
    <cellStyle name="_전기산출서_서울숲교회02-07" xfId="22057"/>
    <cellStyle name="_전기산출서_서울숲교회02-07 2" xfId="22058"/>
    <cellStyle name="_전기산출서_서울숲교회부속실02-07" xfId="22059"/>
    <cellStyle name="_전기산출서_서울숲교회부속실02-07 2" xfId="22060"/>
    <cellStyle name="_전기산출서_서울숲교회부속실영상2-7" xfId="22061"/>
    <cellStyle name="_전기산출서_서울숲교회부속실영상2-7 2" xfId="22062"/>
    <cellStyle name="_전기산출서_효성교회견적계약" xfId="22063"/>
    <cellStyle name="_전기산출서_효성교회견적계약 2" xfId="22064"/>
    <cellStyle name="_전력1공구설계변경" xfId="22065"/>
    <cellStyle name="_전력간선" xfId="22066"/>
    <cellStyle name="_전력간선 2" xfId="22067"/>
    <cellStyle name="_전력제어 설비공사" xfId="22068"/>
    <cellStyle name="_전사교제비실적" xfId="22069"/>
    <cellStyle name="_전사교제비실적 2" xfId="22070"/>
    <cellStyle name="_전주시관내(이서~용정)건설공사(신화)" xfId="22071"/>
    <cellStyle name="_전주시관내(이서~용정)건설공사(신화) 2" xfId="22072"/>
    <cellStyle name="_정규분포" xfId="22073"/>
    <cellStyle name="_정규분포 2" xfId="22074"/>
    <cellStyle name="_정릉 우성 아파트 공사계획서" xfId="22075"/>
    <cellStyle name="_정릉 우성 아파트 공사계획서 2" xfId="22076"/>
    <cellStyle name="_정릉TO-RE1" xfId="22077"/>
    <cellStyle name="_정릉TO-RE1 2" xfId="22078"/>
    <cellStyle name="_정산-1,2층일반전기" xfId="22079"/>
    <cellStyle name="_정산내역서최종(최소장수정)" xfId="22080"/>
    <cellStyle name="_정산내역서최종(최소장수정) 2" xfId="22081"/>
    <cellStyle name="_정산세부내역(건설사정)" xfId="22082"/>
    <cellStyle name="_정산세부내역(건설사정) 2" xfId="22083"/>
    <cellStyle name="_정산일반전기공사" xfId="22084"/>
    <cellStyle name="_제목" xfId="22085"/>
    <cellStyle name="_제목 2" xfId="22086"/>
    <cellStyle name="_제목_내역서" xfId="22087"/>
    <cellStyle name="_제목_내역서 2" xfId="22088"/>
    <cellStyle name="_제자교회수정" xfId="22089"/>
    <cellStyle name="_제자교회수정 2" xfId="22090"/>
    <cellStyle name="_제자교회수정_서울숲교회01-19" xfId="22091"/>
    <cellStyle name="_제자교회수정_서울숲교회01-19 2" xfId="22092"/>
    <cellStyle name="_제자교회수정_서울숲교회부속실02-07" xfId="22093"/>
    <cellStyle name="_제자교회수정_서울숲교회부속실02-07 2" xfId="22094"/>
    <cellStyle name="_제조부문" xfId="22095"/>
    <cellStyle name="_제조부문 2" xfId="22096"/>
    <cellStyle name="_제주도문예회관(동아PA)" xfId="22097"/>
    <cellStyle name="_제주도문예회관(동아PA) 2" xfId="22098"/>
    <cellStyle name="_제주물항" xfId="22099"/>
    <cellStyle name="_제주물항 2" xfId="22100"/>
    <cellStyle name="_제주시 문예회관 면막 내역서" xfId="22101"/>
    <cellStyle name="_제주시 문예회관 면막 내역서 2" xfId="22102"/>
    <cellStyle name="_제품별 매출손익" xfId="22103"/>
    <cellStyle name="_제품별 매출손익 2" xfId="22104"/>
    <cellStyle name="_조경" xfId="22105"/>
    <cellStyle name="_조경 2" xfId="22106"/>
    <cellStyle name="_조명제어-영등포점" xfId="22107"/>
    <cellStyle name="_조원고" xfId="22108"/>
    <cellStyle name="_조원고 2" xfId="22109"/>
    <cellStyle name="_조형겸용 방호책 상세도" xfId="22110"/>
    <cellStyle name="_조형겸용 방호책 상세도 2" xfId="22111"/>
    <cellStyle name="_조형겸용설치원가" xfId="22112"/>
    <cellStyle name="_조형겸용설치원가 2" xfId="22113"/>
    <cellStyle name="_종별1" xfId="22114"/>
    <cellStyle name="_종별1 2" xfId="22115"/>
    <cellStyle name="_종별2" xfId="22116"/>
    <cellStyle name="_종별2 2" xfId="22117"/>
    <cellStyle name="_종합견적서양식04년05월" xfId="22118"/>
    <cellStyle name="_종합견적서양식04년05월 2" xfId="22119"/>
    <cellStyle name="_준공-약전설비공사" xfId="22120"/>
    <cellStyle name="_중계점약전내역(발의내역)" xfId="22121"/>
    <cellStyle name="_중림내역표지" xfId="22122"/>
    <cellStyle name="_중림내역표지 2" xfId="22123"/>
    <cellStyle name="_중앙건설 부산명륜동" xfId="22124"/>
    <cellStyle name="_중앙건설 부산명륜동 2" xfId="22125"/>
    <cellStyle name="_중앙건설 부산명륜동_현대건설 대구대천" xfId="22126"/>
    <cellStyle name="_중앙건설 부산명륜동_현대건설 대구대천 2" xfId="22127"/>
    <cellStyle name="_중앙건설 하이츠자이(입찰)" xfId="22128"/>
    <cellStyle name="_중앙건설 하이츠자이(입찰) 2" xfId="22129"/>
    <cellStyle name="_중앙건설 하이츠자이(입찰)_2007현황보고양식" xfId="22130"/>
    <cellStyle name="_중앙건설 하이츠자이(입찰)_2007현황보고양식 2" xfId="22131"/>
    <cellStyle name="_지역별(1227)" xfId="22132"/>
    <cellStyle name="_지역별(1227) 2" xfId="22133"/>
    <cellStyle name="_지정과제1분기실적(확정990408)" xfId="22134"/>
    <cellStyle name="_지정과제1분기실적(확정990408) 2" xfId="22135"/>
    <cellStyle name="_지정과제1분기실적(확정990408)_1" xfId="22136"/>
    <cellStyle name="_지정과제1분기실적(확정990408)_1 2" xfId="22137"/>
    <cellStyle name="_지정과제2차심의list" xfId="22138"/>
    <cellStyle name="_지정과제2차심의list 2" xfId="22139"/>
    <cellStyle name="_지정과제2차심의list_1" xfId="22140"/>
    <cellStyle name="_지정과제2차심의list_1 2" xfId="22141"/>
    <cellStyle name="_지정과제2차심의list_2" xfId="22142"/>
    <cellStyle name="_지정과제2차심의list_2 2" xfId="22143"/>
    <cellStyle name="_지정과제2차심의결과" xfId="22144"/>
    <cellStyle name="_지정과제2차심의결과 2" xfId="22145"/>
    <cellStyle name="_지정과제2차심의결과(금액조정후최종)" xfId="22146"/>
    <cellStyle name="_지정과제2차심의결과(금액조정후최종) 2" xfId="22147"/>
    <cellStyle name="_지정과제2차심의결과(금액조정후최종)_1" xfId="22148"/>
    <cellStyle name="_지정과제2차심의결과(금액조정후최종)_1 2" xfId="22149"/>
    <cellStyle name="_지정과제2차심의결과(금액조정후최종)_1_경영개선실적보고(전주공장)" xfId="22150"/>
    <cellStyle name="_지정과제2차심의결과(금액조정후최종)_1_경영개선실적보고(전주공장) 2" xfId="22151"/>
    <cellStyle name="_지정과제2차심의결과(금액조정후최종)_1_별첨1_2" xfId="22152"/>
    <cellStyle name="_지정과제2차심의결과(금액조정후최종)_1_별첨1_2 2" xfId="22153"/>
    <cellStyle name="_지정과제2차심의결과(금액조정후최종)_1_제안과제집계표(공장전체)" xfId="22154"/>
    <cellStyle name="_지정과제2차심의결과(금액조정후최종)_1_제안과제집계표(공장전체) 2" xfId="22155"/>
    <cellStyle name="_지정과제2차심의결과(금액조정후최종)_경영개선실적보고(전주공장)" xfId="22156"/>
    <cellStyle name="_지정과제2차심의결과(금액조정후최종)_경영개선실적보고(전주공장) 2" xfId="22157"/>
    <cellStyle name="_지정과제2차심의결과(금액조정후최종)_별첨1_2" xfId="22158"/>
    <cellStyle name="_지정과제2차심의결과(금액조정후최종)_별첨1_2 2" xfId="22159"/>
    <cellStyle name="_지정과제2차심의결과(금액조정후최종)_제안과제집계표(공장전체)" xfId="22160"/>
    <cellStyle name="_지정과제2차심의결과(금액조정후최종)_제안과제집계표(공장전체) 2" xfId="22161"/>
    <cellStyle name="_지정과제2차심의결과_1" xfId="22162"/>
    <cellStyle name="_지정과제2차심의결과_1 2" xfId="22163"/>
    <cellStyle name="_지축수로콘크리트수량총괄집계표" xfId="22164"/>
    <cellStyle name="_진짜수평내역서틀" xfId="22165"/>
    <cellStyle name="_진짜수평내역서틀 2" xfId="22166"/>
    <cellStyle name="_진흥콘크리트 원가" xfId="22167"/>
    <cellStyle name="_진흥콘크리트 원가 2" xfId="22168"/>
    <cellStyle name="_집계" xfId="22169"/>
    <cellStyle name="_집계 2" xfId="22170"/>
    <cellStyle name="_집계장(집행내역)" xfId="22171"/>
    <cellStyle name="_집계장(집행내역) 2" xfId="22172"/>
    <cellStyle name="_집중관리(981231)" xfId="22173"/>
    <cellStyle name="_집중관리(981231) 2" xfId="22174"/>
    <cellStyle name="_집중관리(981231)_1" xfId="22175"/>
    <cellStyle name="_집중관리(981231)_1 2" xfId="22176"/>
    <cellStyle name="_집중관리(지정과제및 양식)" xfId="22177"/>
    <cellStyle name="_집중관리(지정과제및 양식) 2" xfId="22178"/>
    <cellStyle name="_집중관리(지정과제및 양식)_1" xfId="22179"/>
    <cellStyle name="_집중관리(지정과제및 양식)_1 2" xfId="22180"/>
    <cellStyle name="_집행(1)" xfId="22181"/>
    <cellStyle name="_집행(1)_범향 구월동 교회" xfId="22182"/>
    <cellStyle name="_집행(1)_선정안(삼산)" xfId="22183"/>
    <cellStyle name="_집행(1)_선정안(삼산)_범향 구월동 교회" xfId="22184"/>
    <cellStyle name="_집행(1)_추풍령" xfId="22185"/>
    <cellStyle name="_집행(1)_추풍령_범향 구월동 교회" xfId="22188"/>
    <cellStyle name="_집행(1)_추풍령-1" xfId="22186"/>
    <cellStyle name="_집행(1)_추풍령-1_범향 구월동 교회" xfId="22187"/>
    <cellStyle name="_집행(2)" xfId="22189"/>
    <cellStyle name="_집행(2)_범향 구월동 교회" xfId="22190"/>
    <cellStyle name="_집행(2)_선정안(삼산)" xfId="22191"/>
    <cellStyle name="_집행(2)_선정안(삼산)_범향 구월동 교회" xfId="22192"/>
    <cellStyle name="_집행(2)_추풍령" xfId="22193"/>
    <cellStyle name="_집행(2)_추풍령_범향 구월동 교회" xfId="22196"/>
    <cellStyle name="_집행(2)_추풍령-1" xfId="22194"/>
    <cellStyle name="_집행(2)_추풍령-1_범향 구월동 교회" xfId="22195"/>
    <cellStyle name="_집행갑지 " xfId="22197"/>
    <cellStyle name="_집행갑지  2" xfId="22198"/>
    <cellStyle name="_집행갑지  2 2" xfId="22199"/>
    <cellStyle name="_집행갑지  3" xfId="22200"/>
    <cellStyle name="_집행갑지  3 2" xfId="22201"/>
    <cellStyle name="_집행갑지  4" xfId="22202"/>
    <cellStyle name="_집행갑지  4 2" xfId="22203"/>
    <cellStyle name="_집행갑지  5" xfId="22204"/>
    <cellStyle name="_집행갑지  5 2" xfId="22205"/>
    <cellStyle name="_집행갑지  6" xfId="22206"/>
    <cellStyle name="_집행갑지  6 2" xfId="22207"/>
    <cellStyle name="_집행갑지  7" xfId="22208"/>
    <cellStyle name="_집행갑지  7 2" xfId="22209"/>
    <cellStyle name="_집행갑지  8" xfId="22210"/>
    <cellStyle name="_집행갑지 _1.방수공사" xfId="22211"/>
    <cellStyle name="_집행갑지 _1.방수공사 2" xfId="22212"/>
    <cellStyle name="_집행갑지 _1.방수공사_1.흙막이공사 - 견적대비조서(입찰)" xfId="22213"/>
    <cellStyle name="_집행갑지 _1.방수공사_1.흙막이공사 - 견적대비조서(입찰) 2" xfId="22214"/>
    <cellStyle name="_집행갑지 _1.흙막이공사 - 견적대비조서(입찰)" xfId="22215"/>
    <cellStyle name="_집행갑지 _1.흙막이공사 - 견적대비조서(입찰) 2" xfId="22216"/>
    <cellStyle name="_집행갑지 _3-1(금강)-여의도 세우회관 철거공사" xfId="22217"/>
    <cellStyle name="_집행갑지 _3-1(금강)-여의도 세우회관 철거공사_24-1(동부)-두능-연곡 도로건설공사 중 기존교량철거" xfId="22218"/>
    <cellStyle name="_집행갑지 _3-1(금강)-여의도 세우회관 철거공사_견적1" xfId="22219"/>
    <cellStyle name="_집행갑지 _3-1(금강)-여의도 세우회관 철거공사_견적1_28-3-2 삼환-대한생명 63빌딩 현장 철거공사 (재노경)" xfId="22220"/>
    <cellStyle name="_집행갑지 _35호(기숙사)" xfId="22221"/>
    <cellStyle name="_집행갑지 _35호(기숙사) 2" xfId="22222"/>
    <cellStyle name="_집행갑지 _35호(기숙사)_53호견적최종" xfId="22223"/>
    <cellStyle name="_집행갑지 _35호(기숙사)_53호견적최종 2" xfId="22224"/>
    <cellStyle name="_집행갑지 _35호(기숙사)_R-0053" xfId="22225"/>
    <cellStyle name="_집행갑지 _35호(기숙사)_R-0053 2" xfId="22226"/>
    <cellStyle name="_집행갑지 _35호(기숙사)_R-0053ELEC대" xfId="22227"/>
    <cellStyle name="_집행갑지 _35호(기숙사)_R-0053ELEC대 2" xfId="22228"/>
    <cellStyle name="_집행갑지 _35호(기숙사)_R-0053SITE" xfId="22229"/>
    <cellStyle name="_집행갑지 _35호(기숙사)_R-0053SITE 2" xfId="22230"/>
    <cellStyle name="_집행갑지 _35호(기숙사)POO" xfId="22231"/>
    <cellStyle name="_집행갑지 _35호(기숙사)POO 2" xfId="22232"/>
    <cellStyle name="_집행갑지 _35호(기숙사)POO_53호견적최종" xfId="22233"/>
    <cellStyle name="_집행갑지 _35호(기숙사)POO_53호견적최종 2" xfId="22234"/>
    <cellStyle name="_집행갑지 _35호(기숙사)POO_R-0053" xfId="22235"/>
    <cellStyle name="_집행갑지 _35호(기숙사)POO_R-0053 2" xfId="22236"/>
    <cellStyle name="_집행갑지 _35호(기숙사)POO_R-0053ELEC대" xfId="22237"/>
    <cellStyle name="_집행갑지 _35호(기숙사)POO_R-0053ELEC대 2" xfId="22238"/>
    <cellStyle name="_집행갑지 _35호(기숙사)POO_R-0053SITE" xfId="22239"/>
    <cellStyle name="_집행갑지 _35호(기숙사)POO_R-0053SITE 2" xfId="22240"/>
    <cellStyle name="_집행갑지 _38고대리" xfId="22241"/>
    <cellStyle name="_집행갑지 _38고대리 2" xfId="22242"/>
    <cellStyle name="_집행갑지 _38고대리_53호견적최종" xfId="22243"/>
    <cellStyle name="_집행갑지 _38고대리_53호견적최종 2" xfId="22244"/>
    <cellStyle name="_집행갑지 _38고대리_R-0053" xfId="22245"/>
    <cellStyle name="_집행갑지 _38고대리_R-0053 2" xfId="22246"/>
    <cellStyle name="_집행갑지 _38고대리_R-0053ELEC대" xfId="22247"/>
    <cellStyle name="_집행갑지 _38고대리_R-0053ELEC대 2" xfId="22248"/>
    <cellStyle name="_집행갑지 _38고대리_R-0053SITE" xfId="22249"/>
    <cellStyle name="_집행갑지 _38고대리_R-0053SITE 2" xfId="22250"/>
    <cellStyle name="_집행갑지 _38호" xfId="22251"/>
    <cellStyle name="_집행갑지 _38호 2" xfId="22252"/>
    <cellStyle name="_집행갑지 _38호_53호견적최종" xfId="22253"/>
    <cellStyle name="_집행갑지 _38호_53호견적최종 2" xfId="22254"/>
    <cellStyle name="_집행갑지 _38호_R-0053" xfId="22255"/>
    <cellStyle name="_집행갑지 _38호_R-0053 2" xfId="22256"/>
    <cellStyle name="_집행갑지 _38호_R-0053ELEC대" xfId="22257"/>
    <cellStyle name="_집행갑지 _38호_R-0053ELEC대 2" xfId="22258"/>
    <cellStyle name="_집행갑지 _38호_R-0053SITE" xfId="22259"/>
    <cellStyle name="_집행갑지 _38호_R-0053SITE 2" xfId="22260"/>
    <cellStyle name="_집행갑지 _53호견적최종" xfId="22261"/>
    <cellStyle name="_집행갑지 _53호견적최종 2" xfId="22262"/>
    <cellStyle name="_집행갑지 _8-2(삼성)-김해공항 국제청 화물청사 세관창고철거" xfId="22263"/>
    <cellStyle name="_집행갑지 _8-2(삼성)-김해공항 국제청 화물청사 세관창고철거_24-1(동부)-두능-연곡 도로건설공사 중 기존교량철거" xfId="22264"/>
    <cellStyle name="_집행갑지 _8-2(삼성)-김해공항 국제청 화물청사 세관창고철거_견적1" xfId="22265"/>
    <cellStyle name="_집행갑지 _8-2(삼성)-김해공항 국제청 화물청사 세관창고철거_견적1_28-3-2 삼환-대한생명 63빌딩 현장 철거공사 (재노경)" xfId="22266"/>
    <cellStyle name="_집행갑지 _B-2-b(1).부대입찰 공내역" xfId="22267"/>
    <cellStyle name="_집행갑지 _B-2-b(1).부대입찰 공내역 2" xfId="22268"/>
    <cellStyle name="_집행갑지 _Book1" xfId="22269"/>
    <cellStyle name="_집행갑지 _Book1 2" xfId="22270"/>
    <cellStyle name="_집행갑지 _Book1_내역서(최초)" xfId="22271"/>
    <cellStyle name="_집행갑지 _Book1_내역서(최초) 2" xfId="22272"/>
    <cellStyle name="_집행갑지 _Book1_설계내역서" xfId="22273"/>
    <cellStyle name="_집행갑지 _Book1_설계내역서 2" xfId="22274"/>
    <cellStyle name="_집행갑지 _Book1_설계내역서(2차)" xfId="22275"/>
    <cellStyle name="_집행갑지 _Book1_설계내역서(2차) 2" xfId="22276"/>
    <cellStyle name="_집행갑지 _Book2" xfId="22277"/>
    <cellStyle name="_집행갑지 _Book2 2" xfId="22278"/>
    <cellStyle name="_집행갑지 _Book4" xfId="22279"/>
    <cellStyle name="_집행갑지 _Book4 2" xfId="22280"/>
    <cellStyle name="_집행갑지 _nafkp5-02-r-0014" xfId="22281"/>
    <cellStyle name="_집행갑지 _nafkp5-02-r-0014 2" xfId="22282"/>
    <cellStyle name="_집행갑지 _nafkp5-02-r-0014_53호견적최종" xfId="22283"/>
    <cellStyle name="_집행갑지 _nafkp5-02-r-0014_53호견적최종 2" xfId="22284"/>
    <cellStyle name="_집행갑지 _nafkp5-02-r-0014_R-0053" xfId="22285"/>
    <cellStyle name="_집행갑지 _nafkp5-02-r-0014_R-0053 2" xfId="22286"/>
    <cellStyle name="_집행갑지 _nafkp5-02-r-0014_R-0053ELEC대" xfId="22287"/>
    <cellStyle name="_집행갑지 _nafkp5-02-r-0014_R-0053ELEC대 2" xfId="22288"/>
    <cellStyle name="_집행갑지 _nafkp5-02-r-0014_R-0053SITE" xfId="22289"/>
    <cellStyle name="_집행갑지 _nafkp5-02-r-0014_R-0053SITE 2" xfId="22290"/>
    <cellStyle name="_집행갑지 _P-(현리-신팔)" xfId="22291"/>
    <cellStyle name="_집행갑지 _P-(현리-신팔) 2" xfId="22292"/>
    <cellStyle name="_집행갑지 _P-(현리-신팔)_내역서(최초)" xfId="22293"/>
    <cellStyle name="_집행갑지 _P-(현리-신팔)_내역서(최초) 2" xfId="22294"/>
    <cellStyle name="_집행갑지 _P-(현리-신팔)_설계내역서" xfId="22295"/>
    <cellStyle name="_집행갑지 _P-(현리-신팔)_설계내역서 2" xfId="22296"/>
    <cellStyle name="_집행갑지 _P-(현리-신팔)_설계내역서(2차)" xfId="22297"/>
    <cellStyle name="_집행갑지 _P-(현리-신팔)_설계내역서(2차) 2" xfId="22298"/>
    <cellStyle name="_집행갑지 _p-하남강일1" xfId="22299"/>
    <cellStyle name="_집행갑지 _p-하남강일1 2" xfId="22300"/>
    <cellStyle name="_집행갑지 _p-하남강일1_내역서(최초)" xfId="22301"/>
    <cellStyle name="_집행갑지 _p-하남강일1_내역서(최초) 2" xfId="22302"/>
    <cellStyle name="_집행갑지 _p-하남강일1_설계내역서" xfId="22303"/>
    <cellStyle name="_집행갑지 _p-하남강일1_설계내역서 2" xfId="22304"/>
    <cellStyle name="_집행갑지 _p-하남강일1_설계내역서(2차)" xfId="22305"/>
    <cellStyle name="_집행갑지 _p-하남강일1_설계내역서(2차) 2" xfId="22306"/>
    <cellStyle name="_집행갑지 _R0003CostBD원본261" xfId="22343"/>
    <cellStyle name="_집행갑지 _R0003CostBD원본261 2" xfId="22344"/>
    <cellStyle name="_집행갑지 _R0003CostBD원본261_53호견적최종" xfId="22345"/>
    <cellStyle name="_집행갑지 _R0003CostBD원본261_53호견적최종 2" xfId="22346"/>
    <cellStyle name="_집행갑지 _R0003CostBD원본261_R-0053" xfId="22347"/>
    <cellStyle name="_집행갑지 _R0003CostBD원본261_R-0053 2" xfId="22348"/>
    <cellStyle name="_집행갑지 _R0003CostBD원본261_R-0053ELEC대" xfId="22349"/>
    <cellStyle name="_집행갑지 _R0003CostBD원본261_R-0053ELEC대 2" xfId="22350"/>
    <cellStyle name="_집행갑지 _R0003CostBD원본261_R-0053SITE" xfId="22351"/>
    <cellStyle name="_집행갑지 _R0003CostBD원본261_R-0053SITE 2" xfId="22352"/>
    <cellStyle name="_집행갑지 _R-0003입찰내역" xfId="22307"/>
    <cellStyle name="_집행갑지 _R-0003입찰내역 2" xfId="22308"/>
    <cellStyle name="_집행갑지 _R-0003입찰내역_53호견적최종" xfId="22309"/>
    <cellStyle name="_집행갑지 _R-0003입찰내역_53호견적최종 2" xfId="22310"/>
    <cellStyle name="_집행갑지 _R-0003입찰내역_R-0053" xfId="22311"/>
    <cellStyle name="_집행갑지 _R-0003입찰내역_R-0053 2" xfId="22312"/>
    <cellStyle name="_집행갑지 _R-0003입찰내역_R-0053ELEC대" xfId="22313"/>
    <cellStyle name="_집행갑지 _R-0003입찰내역_R-0053ELEC대 2" xfId="22314"/>
    <cellStyle name="_집행갑지 _R-0003입찰내역_R-0053SITE" xfId="22315"/>
    <cellStyle name="_집행갑지 _R-0003입찰내역_R-0053SITE 2" xfId="22316"/>
    <cellStyle name="_집행갑지 _R0038CostBD(version2)" xfId="22353"/>
    <cellStyle name="_집행갑지 _R0038CostBD(version2) 2" xfId="22354"/>
    <cellStyle name="_집행갑지 _R0038CostBD(version2)_53호견적최종" xfId="22355"/>
    <cellStyle name="_집행갑지 _R0038CostBD(version2)_53호견적최종 2" xfId="22356"/>
    <cellStyle name="_집행갑지 _R0038CostBD(version2)_R-0053" xfId="22357"/>
    <cellStyle name="_집행갑지 _R0038CostBD(version2)_R-0053 2" xfId="22358"/>
    <cellStyle name="_집행갑지 _R0038CostBD(version2)_R-0053ELEC대" xfId="22359"/>
    <cellStyle name="_집행갑지 _R0038CostBD(version2)_R-0053ELEC대 2" xfId="22360"/>
    <cellStyle name="_집행갑지 _R0038CostBD(version2)_R-0053SITE" xfId="22361"/>
    <cellStyle name="_집행갑지 _R0038CostBD(version2)_R-0053SITE 2" xfId="22362"/>
    <cellStyle name="_집행갑지 _R0038CostBD(화인)" xfId="22363"/>
    <cellStyle name="_집행갑지 _R0038CostBD(화인) 2" xfId="22364"/>
    <cellStyle name="_집행갑지 _R0038CostBD(화인)_53호견적최종" xfId="22365"/>
    <cellStyle name="_집행갑지 _R0038CostBD(화인)_53호견적최종 2" xfId="22366"/>
    <cellStyle name="_집행갑지 _R0038CostBD(화인)_R-0053" xfId="22367"/>
    <cellStyle name="_집행갑지 _R0038CostBD(화인)_R-0053 2" xfId="22368"/>
    <cellStyle name="_집행갑지 _R0038CostBD(화인)_R-0053ELEC대" xfId="22369"/>
    <cellStyle name="_집행갑지 _R0038CostBD(화인)_R-0053ELEC대 2" xfId="22370"/>
    <cellStyle name="_집행갑지 _R0038CostBD(화인)_R-0053SITE" xfId="22371"/>
    <cellStyle name="_집행갑지 _R0038CostBD(화인)_R-0053SITE 2" xfId="22372"/>
    <cellStyle name="_집행갑지 _R-0053" xfId="22317"/>
    <cellStyle name="_집행갑지 _R-0053 2" xfId="22318"/>
    <cellStyle name="_집행갑지 _R0053CostBD-건축-김이사님" xfId="22373"/>
    <cellStyle name="_집행갑지 _R0053CostBD-건축-김이사님 2" xfId="22374"/>
    <cellStyle name="_집행갑지 _R0053CostBD-건축-김이사님_53호견적최종" xfId="22375"/>
    <cellStyle name="_집행갑지 _R0053CostBD-건축-김이사님_53호견적최종 2" xfId="22376"/>
    <cellStyle name="_집행갑지 _R0053CostBD-건축-김이사님_R-0053" xfId="22377"/>
    <cellStyle name="_집행갑지 _R0053CostBD-건축-김이사님_R-0053 2" xfId="22378"/>
    <cellStyle name="_집행갑지 _R0053CostBD-건축-김이사님_R-0053ELEC대" xfId="22379"/>
    <cellStyle name="_집행갑지 _R0053CostBD-건축-김이사님_R-0053ELEC대 2" xfId="22380"/>
    <cellStyle name="_집행갑지 _R0053CostBD-건축-김이사님_R-0053SITE" xfId="22381"/>
    <cellStyle name="_집행갑지 _R0053CostBD-건축-김이사님_R-0053SITE 2" xfId="22382"/>
    <cellStyle name="_집행갑지 _R-0053ELEC대" xfId="22319"/>
    <cellStyle name="_집행갑지 _R-0053ELEC대 2" xfId="22320"/>
    <cellStyle name="_집행갑지 _R-0053SITE" xfId="22321"/>
    <cellStyle name="_집행갑지 _R-0053SITE 2" xfId="22322"/>
    <cellStyle name="_집행갑지 _R-0053건축" xfId="22323"/>
    <cellStyle name="_집행갑지 _R-0053건축 2" xfId="22324"/>
    <cellStyle name="_집행갑지 _R-0053건축_53호견적최종" xfId="22325"/>
    <cellStyle name="_집행갑지 _R-0053건축_53호견적최종 2" xfId="22326"/>
    <cellStyle name="_집행갑지 _R-0053건축_R-0053" xfId="22327"/>
    <cellStyle name="_집행갑지 _R-0053건축_R-0053 2" xfId="22328"/>
    <cellStyle name="_집행갑지 _R-0053건축_R-0053ELEC대" xfId="22329"/>
    <cellStyle name="_집행갑지 _R-0053건축_R-0053ELEC대 2" xfId="22330"/>
    <cellStyle name="_집행갑지 _R-0053건축_R-0053SITE" xfId="22331"/>
    <cellStyle name="_집행갑지 _R-0053건축_R-0053SITE 2" xfId="22332"/>
    <cellStyle name="_집행갑지 _R-0053입찰내역" xfId="22333"/>
    <cellStyle name="_집행갑지 _R-0053입찰내역 2" xfId="22334"/>
    <cellStyle name="_집행갑지 _R-0053입찰내역_53호견적최종" xfId="22335"/>
    <cellStyle name="_집행갑지 _R-0053입찰내역_53호견적최종 2" xfId="22336"/>
    <cellStyle name="_집행갑지 _R-0053입찰내역_R-0053" xfId="22337"/>
    <cellStyle name="_집행갑지 _R-0053입찰내역_R-0053 2" xfId="22338"/>
    <cellStyle name="_집행갑지 _R-0053입찰내역_R-0053ELEC대" xfId="22339"/>
    <cellStyle name="_집행갑지 _R-0053입찰내역_R-0053ELEC대 2" xfId="22340"/>
    <cellStyle name="_집행갑지 _R-0053입찰내역_R-0053SITE" xfId="22341"/>
    <cellStyle name="_집행갑지 _R-0053입찰내역_R-0053SITE 2" xfId="22342"/>
    <cellStyle name="_집행갑지 _V-M-0001AB1216" xfId="22383"/>
    <cellStyle name="_집행갑지 _V-M-0001AB1216 2" xfId="22384"/>
    <cellStyle name="_집행갑지 _V-M-0001AB1216_53호견적최종" xfId="22385"/>
    <cellStyle name="_집행갑지 _V-M-0001AB1216_53호견적최종 2" xfId="22386"/>
    <cellStyle name="_집행갑지 _V-M-0001AB1216_R-0053" xfId="22387"/>
    <cellStyle name="_집행갑지 _V-M-0001AB1216_R-0053 2" xfId="22388"/>
    <cellStyle name="_집행갑지 _V-M-0001AB1216_R-0053ELEC대" xfId="22389"/>
    <cellStyle name="_집행갑지 _V-M-0001AB1216_R-0053ELEC대 2" xfId="22390"/>
    <cellStyle name="_집행갑지 _V-M-0001AB1216_R-0053SITE" xfId="22391"/>
    <cellStyle name="_집행갑지 _V-M-0001AB1216_R-0053SITE 2" xfId="22392"/>
    <cellStyle name="_집행갑지 _V-M-0001AC1217" xfId="22393"/>
    <cellStyle name="_집행갑지 _V-M-0001AC1217 2" xfId="22394"/>
    <cellStyle name="_집행갑지 _V-M-0001AC1217_53호견적최종" xfId="22395"/>
    <cellStyle name="_집행갑지 _V-M-0001AC1217_53호견적최종 2" xfId="22396"/>
    <cellStyle name="_집행갑지 _V-M-0001AC1217_R-0053" xfId="22397"/>
    <cellStyle name="_집행갑지 _V-M-0001AC1217_R-0053 2" xfId="22398"/>
    <cellStyle name="_집행갑지 _V-M-0001AC1217_R-0053ELEC대" xfId="22399"/>
    <cellStyle name="_집행갑지 _V-M-0001AC1217_R-0053ELEC대 2" xfId="22400"/>
    <cellStyle name="_집행갑지 _V-M-0001AC1217_R-0053SITE" xfId="22401"/>
    <cellStyle name="_집행갑지 _V-M-0001AC1217_R-0053SITE 2" xfId="22402"/>
    <cellStyle name="_집행갑지 _V-M-0001AD2460" xfId="22403"/>
    <cellStyle name="_집행갑지 _V-M-0001AD2460 2" xfId="22404"/>
    <cellStyle name="_집행갑지 _V-M-0001AD2460_53호견적최종" xfId="22405"/>
    <cellStyle name="_집행갑지 _V-M-0001AD2460_53호견적최종 2" xfId="22406"/>
    <cellStyle name="_집행갑지 _V-M-0001AD2460_R-0053" xfId="22407"/>
    <cellStyle name="_집행갑지 _V-M-0001AD2460_R-0053 2" xfId="22408"/>
    <cellStyle name="_집행갑지 _V-M-0001AD2460_R-0053ELEC대" xfId="22409"/>
    <cellStyle name="_집행갑지 _V-M-0001AD2460_R-0053ELEC대 2" xfId="22410"/>
    <cellStyle name="_집행갑지 _V-M-0001AD2460_R-0053SITE" xfId="22411"/>
    <cellStyle name="_집행갑지 _V-M-0001AD2460_R-0053SITE 2" xfId="22412"/>
    <cellStyle name="_집행갑지 _V-M-0001AE RENOVATE BLDG1216" xfId="22413"/>
    <cellStyle name="_집행갑지 _V-M-0001AE RENOVATE BLDG1216 2" xfId="22414"/>
    <cellStyle name="_집행갑지 _V-M-0001AE RENOVATE BLDG1216_53호견적최종" xfId="22415"/>
    <cellStyle name="_집행갑지 _V-M-0001AE RENOVATE BLDG1216_53호견적최종 2" xfId="22416"/>
    <cellStyle name="_집행갑지 _V-M-0001AE RENOVATE BLDG1216_R-0053" xfId="22417"/>
    <cellStyle name="_집행갑지 _V-M-0001AE RENOVATE BLDG1216_R-0053 2" xfId="22418"/>
    <cellStyle name="_집행갑지 _V-M-0001AE RENOVATE BLDG1216_R-0053ELEC대" xfId="22419"/>
    <cellStyle name="_집행갑지 _V-M-0001AE RENOVATE BLDG1216_R-0053ELEC대 2" xfId="22420"/>
    <cellStyle name="_집행갑지 _V-M-0001AE RENOVATE BLDG1216_R-0053SITE" xfId="22421"/>
    <cellStyle name="_집행갑지 _V-M-0001AE RENOVATE BLDG1216_R-0053SITE 2" xfId="22422"/>
    <cellStyle name="_집행갑지 _V-M-0002" xfId="22423"/>
    <cellStyle name="_집행갑지 _V-M-0002 2" xfId="22424"/>
    <cellStyle name="_집행갑지 _V-M-0002_53호견적최종" xfId="22425"/>
    <cellStyle name="_집행갑지 _V-M-0002_53호견적최종 2" xfId="22426"/>
    <cellStyle name="_집행갑지 _V-M-0002_R-0053" xfId="22427"/>
    <cellStyle name="_집행갑지 _V-M-0002_R-0053 2" xfId="22428"/>
    <cellStyle name="_집행갑지 _V-M-0002_R-0053ELEC대" xfId="22429"/>
    <cellStyle name="_집행갑지 _V-M-0002_R-0053ELEC대 2" xfId="22430"/>
    <cellStyle name="_집행갑지 _V-M-0002_R-0053SITE" xfId="22431"/>
    <cellStyle name="_집행갑지 _V-M-0002_R-0053SITE 2" xfId="22432"/>
    <cellStyle name="_집행갑지 _V-M-0004" xfId="22433"/>
    <cellStyle name="_집행갑지 _V-M-0004 2" xfId="22434"/>
    <cellStyle name="_집행갑지 _V-M-0004_53호견적최종" xfId="22435"/>
    <cellStyle name="_집행갑지 _V-M-0004_53호견적최종 2" xfId="22436"/>
    <cellStyle name="_집행갑지 _V-M-0004_R-0053" xfId="22437"/>
    <cellStyle name="_집행갑지 _V-M-0004_R-0053 2" xfId="22438"/>
    <cellStyle name="_집행갑지 _V-M-0004_R-0053ELEC대" xfId="22439"/>
    <cellStyle name="_집행갑지 _V-M-0004_R-0053ELEC대 2" xfId="22440"/>
    <cellStyle name="_집행갑지 _V-M-0004_R-0053SITE" xfId="22441"/>
    <cellStyle name="_집행갑지 _V-M-0004_R-0053SITE 2" xfId="22442"/>
    <cellStyle name="_집행갑지 _V-M-0005" xfId="22443"/>
    <cellStyle name="_집행갑지 _V-M-0005 2" xfId="22444"/>
    <cellStyle name="_집행갑지 _V-M-0005_53호견적최종" xfId="22445"/>
    <cellStyle name="_집행갑지 _V-M-0005_53호견적최종 2" xfId="22446"/>
    <cellStyle name="_집행갑지 _V-M-0005_R-0053" xfId="22447"/>
    <cellStyle name="_집행갑지 _V-M-0005_R-0053 2" xfId="22448"/>
    <cellStyle name="_집행갑지 _V-M-0005_R-0053ELEC대" xfId="22449"/>
    <cellStyle name="_집행갑지 _V-M-0005_R-0053ELEC대 2" xfId="22450"/>
    <cellStyle name="_집행갑지 _V-M-0005_R-0053SITE" xfId="22451"/>
    <cellStyle name="_집행갑지 _V-M-0005_R-0053SITE 2" xfId="22452"/>
    <cellStyle name="_집행갑지 _V-O-0007" xfId="22453"/>
    <cellStyle name="_집행갑지 _V-O-0007 2" xfId="22454"/>
    <cellStyle name="_집행갑지 _V-O-0007_53호견적최종" xfId="22455"/>
    <cellStyle name="_집행갑지 _V-O-0007_53호견적최종 2" xfId="22456"/>
    <cellStyle name="_집행갑지 _V-O-0007_R-0053" xfId="22457"/>
    <cellStyle name="_집행갑지 _V-O-0007_R-0053 2" xfId="22458"/>
    <cellStyle name="_집행갑지 _V-O-0007_R-0053ELEC대" xfId="22459"/>
    <cellStyle name="_집행갑지 _V-O-0007_R-0053ELEC대 2" xfId="22460"/>
    <cellStyle name="_집행갑지 _V-O-0007_R-0053SITE" xfId="22461"/>
    <cellStyle name="_집행갑지 _V-O-0007_R-0053SITE 2" xfId="22462"/>
    <cellStyle name="_집행갑지 _V-O-0009" xfId="22463"/>
    <cellStyle name="_집행갑지 _V-O-0009 2" xfId="22464"/>
    <cellStyle name="_집행갑지 _V-O-0009_53호견적최종" xfId="22465"/>
    <cellStyle name="_집행갑지 _V-O-0009_53호견적최종 2" xfId="22466"/>
    <cellStyle name="_집행갑지 _V-O-0009_R-0053" xfId="22467"/>
    <cellStyle name="_집행갑지 _V-O-0009_R-0053 2" xfId="22468"/>
    <cellStyle name="_집행갑지 _V-O-0009_R-0053ELEC대" xfId="22469"/>
    <cellStyle name="_집행갑지 _V-O-0009_R-0053ELEC대 2" xfId="22470"/>
    <cellStyle name="_집행갑지 _V-O-0009_R-0053SITE" xfId="22471"/>
    <cellStyle name="_집행갑지 _V-O-0009_R-0053SITE 2" xfId="22472"/>
    <cellStyle name="_집행갑지 _견적1" xfId="22473"/>
    <cellStyle name="_집행갑지 _견적1_28-3-2 삼환-대한생명 63빌딩 현장 철거공사 (재노경)" xfId="22474"/>
    <cellStyle name="_집행갑지 _견적서" xfId="22475"/>
    <cellStyle name="_집행갑지 _견적서_24-1(동부)-두능-연곡 도로건설공사 중 기존교량철거" xfId="22476"/>
    <cellStyle name="_집행갑지 _견적서_견적1" xfId="22477"/>
    <cellStyle name="_집행갑지 _견적서_견적1_28-3-2 삼환-대한생명 63빌딩 현장 철거공사 (재노경)" xfId="22478"/>
    <cellStyle name="_집행갑지 _공내역서" xfId="22479"/>
    <cellStyle name="_집행갑지 _공내역서 2" xfId="22480"/>
    <cellStyle name="_집행갑지 _공내역서_사본 - ☆태평동  도급내역" xfId="22613"/>
    <cellStyle name="_집행갑지 _공내역서_사본 - ☆태평동  도급내역 2" xfId="22614"/>
    <cellStyle name="_집행갑지 _공내역서_성남태평동설비공사" xfId="22615"/>
    <cellStyle name="_집행갑지 _공내역서_성남태평동설비공사 2" xfId="22616"/>
    <cellStyle name="_집행갑지 _공내역서_수원율전 실행내역" xfId="22617"/>
    <cellStyle name="_집행갑지 _공내역서_수원율전 실행내역 2" xfId="22618"/>
    <cellStyle name="_집행갑지 _공내역서_수원율전 실행내역 검토안" xfId="22619"/>
    <cellStyle name="_집행갑지 _공내역서_수원율전 실행내역 검토안 2" xfId="22620"/>
    <cellStyle name="_집행갑지 _공내역서_수원율전 실행내역 검토안_사본 - ☆태평동  도급내역" xfId="22621"/>
    <cellStyle name="_집행갑지 _공내역서_수원율전 실행내역 검토안_사본 - ☆태평동  도급내역 2" xfId="22622"/>
    <cellStyle name="_집행갑지 _공내역서_수원율전 실행내역 검토안_성남태평동설비공사" xfId="22623"/>
    <cellStyle name="_집행갑지 _공내역서_수원율전 실행내역 검토안_성남태평동설비공사 2" xfId="22624"/>
    <cellStyle name="_집행갑지 _공내역서_수원율전 실행내역 검토안_수원율전 실행내역" xfId="22625"/>
    <cellStyle name="_집행갑지 _공내역서_수원율전 실행내역 검토안_수원율전 실행내역 2" xfId="22626"/>
    <cellStyle name="_집행갑지 _공내역서_수원율전 실행내역 검토안_수원율전 실행내역 검토안" xfId="22627"/>
    <cellStyle name="_집행갑지 _공내역서_수원율전 실행내역 검토안_수원율전 실행내역 검토안 2" xfId="22628"/>
    <cellStyle name="_집행갑지 _공내역서_수원율전 실행내역 검토안_수원율전 실행내역 검토안_사본 - ☆태평동  도급내역" xfId="22629"/>
    <cellStyle name="_집행갑지 _공내역서_수원율전 실행내역 검토안_수원율전 실행내역 검토안_사본 - ☆태평동  도급내역 2" xfId="22630"/>
    <cellStyle name="_집행갑지 _공내역서_수원율전 실행내역 검토안_수원율전 실행내역 검토안_성남태평동설비공사" xfId="22631"/>
    <cellStyle name="_집행갑지 _공내역서_수원율전 실행내역 검토안_수원율전 실행내역 검토안_성남태평동설비공사 2" xfId="22632"/>
    <cellStyle name="_집행갑지 _공내역서_수원율전 실행내역 검토안_수원율전 실행내역 검토안_수정구 태평동 주상복합 실행내역 검토안" xfId="22633"/>
    <cellStyle name="_집행갑지 _공내역서_수원율전 실행내역 검토안_수원율전 실행내역 검토안_수정구 태평동 주상복합 실행내역 검토안 2" xfId="22634"/>
    <cellStyle name="_집행갑지 _공내역서_수원율전 실행내역 검토안_수원율전 실행내역 검토안_태평동 실행내역서" xfId="22635"/>
    <cellStyle name="_집행갑지 _공내역서_수원율전 실행내역 검토안_수원율전 실행내역 검토안_태평동 실행내역서 2" xfId="22636"/>
    <cellStyle name="_집행갑지 _공내역서_수원율전 실행내역 검토안_수원율전 실행내역 검토안_태평동도급내역(Rev.2)-12.26" xfId="22637"/>
    <cellStyle name="_집행갑지 _공내역서_수원율전 실행내역 검토안_수원율전 실행내역 검토안_태평동도급내역(Rev.2)-12.26 2" xfId="22638"/>
    <cellStyle name="_집행갑지 _공내역서_수원율전 실행내역 검토안_수정구 태평동 주상복합 실행내역 검토안" xfId="22639"/>
    <cellStyle name="_집행갑지 _공내역서_수원율전 실행내역 검토안_수정구 태평동 주상복합 실행내역 검토안 2" xfId="22640"/>
    <cellStyle name="_집행갑지 _공내역서_수원율전 실행내역 검토안_태평동 실행내역서" xfId="22641"/>
    <cellStyle name="_집행갑지 _공내역서_수원율전 실행내역 검토안_태평동 실행내역서 2" xfId="22642"/>
    <cellStyle name="_집행갑지 _공내역서_수원율전 실행내역 검토안_태평동도급내역(Rev.2)-12.26" xfId="22643"/>
    <cellStyle name="_집행갑지 _공내역서_수원율전 실행내역 검토안_태평동도급내역(Rev.2)-12.26 2" xfId="22644"/>
    <cellStyle name="_집행갑지 _공내역서_수원율전조합" xfId="22645"/>
    <cellStyle name="_집행갑지 _공내역서_수원율전조합 2" xfId="22646"/>
    <cellStyle name="_집행갑지 _공내역서_수원율전조합_사본 - ☆태평동  도급내역" xfId="22647"/>
    <cellStyle name="_집행갑지 _공내역서_수원율전조합_사본 - ☆태평동  도급내역 2" xfId="22648"/>
    <cellStyle name="_집행갑지 _공내역서_수원율전조합_성남태평동설비공사" xfId="22649"/>
    <cellStyle name="_집행갑지 _공내역서_수원율전조합_성남태평동설비공사 2" xfId="22650"/>
    <cellStyle name="_집행갑지 _공내역서_수원율전조합_수원율전 실행내역" xfId="22651"/>
    <cellStyle name="_집행갑지 _공내역서_수원율전조합_수원율전 실행내역 2" xfId="22652"/>
    <cellStyle name="_집행갑지 _공내역서_수원율전조합_수원율전 실행내역 검토안" xfId="22653"/>
    <cellStyle name="_집행갑지 _공내역서_수원율전조합_수원율전 실행내역 검토안 2" xfId="22654"/>
    <cellStyle name="_집행갑지 _공내역서_수원율전조합_수원율전 실행내역 검토안_사본 - ☆태평동  도급내역" xfId="22655"/>
    <cellStyle name="_집행갑지 _공내역서_수원율전조합_수원율전 실행내역 검토안_사본 - ☆태평동  도급내역 2" xfId="22656"/>
    <cellStyle name="_집행갑지 _공내역서_수원율전조합_수원율전 실행내역 검토안_성남태평동설비공사" xfId="22657"/>
    <cellStyle name="_집행갑지 _공내역서_수원율전조합_수원율전 실행내역 검토안_성남태평동설비공사 2" xfId="22658"/>
    <cellStyle name="_집행갑지 _공내역서_수원율전조합_수원율전 실행내역 검토안_수정구 태평동 주상복합 실행내역 검토안" xfId="22659"/>
    <cellStyle name="_집행갑지 _공내역서_수원율전조합_수원율전 실행내역 검토안_수정구 태평동 주상복합 실행내역 검토안 2" xfId="22660"/>
    <cellStyle name="_집행갑지 _공내역서_수원율전조합_수원율전 실행내역 검토안_태평동 실행내역서" xfId="22661"/>
    <cellStyle name="_집행갑지 _공내역서_수원율전조합_수원율전 실행내역 검토안_태평동 실행내역서 2" xfId="22662"/>
    <cellStyle name="_집행갑지 _공내역서_수원율전조합_수원율전 실행내역 검토안_태평동도급내역(Rev.2)-12.26" xfId="22663"/>
    <cellStyle name="_집행갑지 _공내역서_수원율전조합_수원율전 실행내역 검토안_태평동도급내역(Rev.2)-12.26 2" xfId="22664"/>
    <cellStyle name="_집행갑지 _공내역서_수원율전조합_수정구 태평동 주상복합 실행내역 검토안" xfId="22665"/>
    <cellStyle name="_집행갑지 _공내역서_수원율전조합_수정구 태평동 주상복합 실행내역 검토안 2" xfId="22666"/>
    <cellStyle name="_집행갑지 _공내역서_수원율전조합_태평동 실행내역서" xfId="22667"/>
    <cellStyle name="_집행갑지 _공내역서_수원율전조합_태평동 실행내역서 2" xfId="22668"/>
    <cellStyle name="_집행갑지 _공내역서_수원율전조합_태평동도급내역(Rev.2)-12.26" xfId="22669"/>
    <cellStyle name="_집행갑지 _공내역서_수원율전조합_태평동도급내역(Rev.2)-12.26 2" xfId="22670"/>
    <cellStyle name="_집행갑지 _공내역서_수정구 태평동 주상복합 실행내역 검토안" xfId="22671"/>
    <cellStyle name="_집행갑지 _공내역서_수정구 태평동 주상복합 실행내역 검토안 2" xfId="22672"/>
    <cellStyle name="_집행갑지 _공내역서_태평동 실행내역서" xfId="22673"/>
    <cellStyle name="_집행갑지 _공내역서_태평동 실행내역서 2" xfId="22674"/>
    <cellStyle name="_집행갑지 _공내역서_태평동도급내역(Rev.2)-12.26" xfId="22675"/>
    <cellStyle name="_집행갑지 _공내역서_태평동도급내역(Rev.2)-12.26 2" xfId="22676"/>
    <cellStyle name="_집행갑지 _공내역서-창호" xfId="22481"/>
    <cellStyle name="_집행갑지 _공내역서-창호 2" xfId="22482"/>
    <cellStyle name="_집행갑지 _공내역서-창호_사본 - ☆태평동  도급내역" xfId="22483"/>
    <cellStyle name="_집행갑지 _공내역서-창호_사본 - ☆태평동  도급내역 2" xfId="22484"/>
    <cellStyle name="_집행갑지 _공내역서-창호_성남태평동설비공사" xfId="22485"/>
    <cellStyle name="_집행갑지 _공내역서-창호_성남태평동설비공사 2" xfId="22486"/>
    <cellStyle name="_집행갑지 _공내역서-창호_수원율전 실행내역" xfId="22487"/>
    <cellStyle name="_집행갑지 _공내역서-창호_수원율전 실행내역 2" xfId="22488"/>
    <cellStyle name="_집행갑지 _공내역서-창호_수원율전 실행내역 검토안" xfId="22489"/>
    <cellStyle name="_집행갑지 _공내역서-창호_수원율전 실행내역 검토안 2" xfId="22490"/>
    <cellStyle name="_집행갑지 _공내역서-창호_수원율전 실행내역 검토안_사본 - ☆태평동  도급내역" xfId="22491"/>
    <cellStyle name="_집행갑지 _공내역서-창호_수원율전 실행내역 검토안_사본 - ☆태평동  도급내역 2" xfId="22492"/>
    <cellStyle name="_집행갑지 _공내역서-창호_수원율전 실행내역 검토안_성남태평동설비공사" xfId="22493"/>
    <cellStyle name="_집행갑지 _공내역서-창호_수원율전 실행내역 검토안_성남태평동설비공사 2" xfId="22494"/>
    <cellStyle name="_집행갑지 _공내역서-창호_수원율전 실행내역 검토안_수원율전 실행내역" xfId="22495"/>
    <cellStyle name="_집행갑지 _공내역서-창호_수원율전 실행내역 검토안_수원율전 실행내역 2" xfId="22496"/>
    <cellStyle name="_집행갑지 _공내역서-창호_수원율전 실행내역 검토안_수원율전 실행내역 검토안" xfId="22497"/>
    <cellStyle name="_집행갑지 _공내역서-창호_수원율전 실행내역 검토안_수원율전 실행내역 검토안 2" xfId="22498"/>
    <cellStyle name="_집행갑지 _공내역서-창호_수원율전 실행내역 검토안_수원율전 실행내역 검토안_사본 - ☆태평동  도급내역" xfId="22499"/>
    <cellStyle name="_집행갑지 _공내역서-창호_수원율전 실행내역 검토안_수원율전 실행내역 검토안_사본 - ☆태평동  도급내역 2" xfId="22500"/>
    <cellStyle name="_집행갑지 _공내역서-창호_수원율전 실행내역 검토안_수원율전 실행내역 검토안_성남태평동설비공사" xfId="22501"/>
    <cellStyle name="_집행갑지 _공내역서-창호_수원율전 실행내역 검토안_수원율전 실행내역 검토안_성남태평동설비공사 2" xfId="22502"/>
    <cellStyle name="_집행갑지 _공내역서-창호_수원율전 실행내역 검토안_수원율전 실행내역 검토안_수정구 태평동 주상복합 실행내역 검토안" xfId="22503"/>
    <cellStyle name="_집행갑지 _공내역서-창호_수원율전 실행내역 검토안_수원율전 실행내역 검토안_수정구 태평동 주상복합 실행내역 검토안 2" xfId="22504"/>
    <cellStyle name="_집행갑지 _공내역서-창호_수원율전 실행내역 검토안_수원율전 실행내역 검토안_태평동 실행내역서" xfId="22505"/>
    <cellStyle name="_집행갑지 _공내역서-창호_수원율전 실행내역 검토안_수원율전 실행내역 검토안_태평동 실행내역서 2" xfId="22506"/>
    <cellStyle name="_집행갑지 _공내역서-창호_수원율전 실행내역 검토안_수원율전 실행내역 검토안_태평동도급내역(Rev.2)-12.26" xfId="22507"/>
    <cellStyle name="_집행갑지 _공내역서-창호_수원율전 실행내역 검토안_수원율전 실행내역 검토안_태평동도급내역(Rev.2)-12.26 2" xfId="22508"/>
    <cellStyle name="_집행갑지 _공내역서-창호_수원율전 실행내역 검토안_수정구 태평동 주상복합 실행내역 검토안" xfId="22509"/>
    <cellStyle name="_집행갑지 _공내역서-창호_수원율전 실행내역 검토안_수정구 태평동 주상복합 실행내역 검토안 2" xfId="22510"/>
    <cellStyle name="_집행갑지 _공내역서-창호_수원율전 실행내역 검토안_태평동 실행내역서" xfId="22511"/>
    <cellStyle name="_집행갑지 _공내역서-창호_수원율전 실행내역 검토안_태평동 실행내역서 2" xfId="22512"/>
    <cellStyle name="_집행갑지 _공내역서-창호_수원율전 실행내역 검토안_태평동도급내역(Rev.2)-12.26" xfId="22513"/>
    <cellStyle name="_집행갑지 _공내역서-창호_수원율전 실행내역 검토안_태평동도급내역(Rev.2)-12.26 2" xfId="22514"/>
    <cellStyle name="_집행갑지 _공내역서-창호_수원율전조합" xfId="22515"/>
    <cellStyle name="_집행갑지 _공내역서-창호_수원율전조합 2" xfId="22516"/>
    <cellStyle name="_집행갑지 _공내역서-창호_수원율전조합_사본 - ☆태평동  도급내역" xfId="22517"/>
    <cellStyle name="_집행갑지 _공내역서-창호_수원율전조합_사본 - ☆태평동  도급내역 2" xfId="22518"/>
    <cellStyle name="_집행갑지 _공내역서-창호_수원율전조합_성남태평동설비공사" xfId="22519"/>
    <cellStyle name="_집행갑지 _공내역서-창호_수원율전조합_성남태평동설비공사 2" xfId="22520"/>
    <cellStyle name="_집행갑지 _공내역서-창호_수원율전조합_수원율전 실행내역" xfId="22521"/>
    <cellStyle name="_집행갑지 _공내역서-창호_수원율전조합_수원율전 실행내역 2" xfId="22522"/>
    <cellStyle name="_집행갑지 _공내역서-창호_수원율전조합_수원율전 실행내역 검토안" xfId="22523"/>
    <cellStyle name="_집행갑지 _공내역서-창호_수원율전조합_수원율전 실행내역 검토안 2" xfId="22524"/>
    <cellStyle name="_집행갑지 _공내역서-창호_수원율전조합_수원율전 실행내역 검토안_사본 - ☆태평동  도급내역" xfId="22525"/>
    <cellStyle name="_집행갑지 _공내역서-창호_수원율전조합_수원율전 실행내역 검토안_사본 - ☆태평동  도급내역 2" xfId="22526"/>
    <cellStyle name="_집행갑지 _공내역서-창호_수원율전조합_수원율전 실행내역 검토안_성남태평동설비공사" xfId="22527"/>
    <cellStyle name="_집행갑지 _공내역서-창호_수원율전조합_수원율전 실행내역 검토안_성남태평동설비공사 2" xfId="22528"/>
    <cellStyle name="_집행갑지 _공내역서-창호_수원율전조합_수원율전 실행내역 검토안_수정구 태평동 주상복합 실행내역 검토안" xfId="22529"/>
    <cellStyle name="_집행갑지 _공내역서-창호_수원율전조합_수원율전 실행내역 검토안_수정구 태평동 주상복합 실행내역 검토안 2" xfId="22530"/>
    <cellStyle name="_집행갑지 _공내역서-창호_수원율전조합_수원율전 실행내역 검토안_태평동 실행내역서" xfId="22531"/>
    <cellStyle name="_집행갑지 _공내역서-창호_수원율전조합_수원율전 실행내역 검토안_태평동 실행내역서 2" xfId="22532"/>
    <cellStyle name="_집행갑지 _공내역서-창호_수원율전조합_수원율전 실행내역 검토안_태평동도급내역(Rev.2)-12.26" xfId="22533"/>
    <cellStyle name="_집행갑지 _공내역서-창호_수원율전조합_수원율전 실행내역 검토안_태평동도급내역(Rev.2)-12.26 2" xfId="22534"/>
    <cellStyle name="_집행갑지 _공내역서-창호_수원율전조합_수정구 태평동 주상복합 실행내역 검토안" xfId="22535"/>
    <cellStyle name="_집행갑지 _공내역서-창호_수원율전조합_수정구 태평동 주상복합 실행내역 검토안 2" xfId="22536"/>
    <cellStyle name="_집행갑지 _공내역서-창호_수원율전조합_태평동 실행내역서" xfId="22537"/>
    <cellStyle name="_집행갑지 _공내역서-창호_수원율전조합_태평동 실행내역서 2" xfId="22538"/>
    <cellStyle name="_집행갑지 _공내역서-창호_수원율전조합_태평동도급내역(Rev.2)-12.26" xfId="22539"/>
    <cellStyle name="_집행갑지 _공내역서-창호_수원율전조합_태평동도급내역(Rev.2)-12.26 2" xfId="22540"/>
    <cellStyle name="_집행갑지 _공내역서-창호_수정구 태평동 주상복합 실행내역 검토안" xfId="22541"/>
    <cellStyle name="_집행갑지 _공내역서-창호_수정구 태평동 주상복합 실행내역 검토안 2" xfId="22542"/>
    <cellStyle name="_집행갑지 _공내역서-창호_태평동 실행내역서" xfId="22543"/>
    <cellStyle name="_집행갑지 _공내역서-창호_태평동 실행내역서 2" xfId="22544"/>
    <cellStyle name="_집행갑지 _공내역서-창호_태평동도급내역(Rev.2)-12.26" xfId="22545"/>
    <cellStyle name="_집행갑지 _공내역서-창호_태평동도급내역(Rev.2)-12.26 2" xfId="22546"/>
    <cellStyle name="_집행갑지 _공내역서-창호분개" xfId="22547"/>
    <cellStyle name="_집행갑지 _공내역서-창호분개 2" xfId="22548"/>
    <cellStyle name="_집행갑지 _공내역서-창호분개_사본 - ☆태평동  도급내역" xfId="22549"/>
    <cellStyle name="_집행갑지 _공내역서-창호분개_사본 - ☆태평동  도급내역 2" xfId="22550"/>
    <cellStyle name="_집행갑지 _공내역서-창호분개_성남태평동설비공사" xfId="22551"/>
    <cellStyle name="_집행갑지 _공내역서-창호분개_성남태평동설비공사 2" xfId="22552"/>
    <cellStyle name="_집행갑지 _공내역서-창호분개_수원율전 실행내역" xfId="22553"/>
    <cellStyle name="_집행갑지 _공내역서-창호분개_수원율전 실행내역 2" xfId="22554"/>
    <cellStyle name="_집행갑지 _공내역서-창호분개_수원율전 실행내역 검토안" xfId="22555"/>
    <cellStyle name="_집행갑지 _공내역서-창호분개_수원율전 실행내역 검토안 2" xfId="22556"/>
    <cellStyle name="_집행갑지 _공내역서-창호분개_수원율전 실행내역 검토안_사본 - ☆태평동  도급내역" xfId="22557"/>
    <cellStyle name="_집행갑지 _공내역서-창호분개_수원율전 실행내역 검토안_사본 - ☆태평동  도급내역 2" xfId="22558"/>
    <cellStyle name="_집행갑지 _공내역서-창호분개_수원율전 실행내역 검토안_성남태평동설비공사" xfId="22559"/>
    <cellStyle name="_집행갑지 _공내역서-창호분개_수원율전 실행내역 검토안_성남태평동설비공사 2" xfId="22560"/>
    <cellStyle name="_집행갑지 _공내역서-창호분개_수원율전 실행내역 검토안_수원율전 실행내역" xfId="22561"/>
    <cellStyle name="_집행갑지 _공내역서-창호분개_수원율전 실행내역 검토안_수원율전 실행내역 2" xfId="22562"/>
    <cellStyle name="_집행갑지 _공내역서-창호분개_수원율전 실행내역 검토안_수원율전 실행내역 검토안" xfId="22563"/>
    <cellStyle name="_집행갑지 _공내역서-창호분개_수원율전 실행내역 검토안_수원율전 실행내역 검토안 2" xfId="22564"/>
    <cellStyle name="_집행갑지 _공내역서-창호분개_수원율전 실행내역 검토안_수원율전 실행내역 검토안_사본 - ☆태평동  도급내역" xfId="22565"/>
    <cellStyle name="_집행갑지 _공내역서-창호분개_수원율전 실행내역 검토안_수원율전 실행내역 검토안_사본 - ☆태평동  도급내역 2" xfId="22566"/>
    <cellStyle name="_집행갑지 _공내역서-창호분개_수원율전 실행내역 검토안_수원율전 실행내역 검토안_성남태평동설비공사" xfId="22567"/>
    <cellStyle name="_집행갑지 _공내역서-창호분개_수원율전 실행내역 검토안_수원율전 실행내역 검토안_성남태평동설비공사 2" xfId="22568"/>
    <cellStyle name="_집행갑지 _공내역서-창호분개_수원율전 실행내역 검토안_수원율전 실행내역 검토안_수정구 태평동 주상복합 실행내역 검토안" xfId="22569"/>
    <cellStyle name="_집행갑지 _공내역서-창호분개_수원율전 실행내역 검토안_수원율전 실행내역 검토안_수정구 태평동 주상복합 실행내역 검토안 2" xfId="22570"/>
    <cellStyle name="_집행갑지 _공내역서-창호분개_수원율전 실행내역 검토안_수원율전 실행내역 검토안_태평동 실행내역서" xfId="22571"/>
    <cellStyle name="_집행갑지 _공내역서-창호분개_수원율전 실행내역 검토안_수원율전 실행내역 검토안_태평동 실행내역서 2" xfId="22572"/>
    <cellStyle name="_집행갑지 _공내역서-창호분개_수원율전 실행내역 검토안_수원율전 실행내역 검토안_태평동도급내역(Rev.2)-12.26" xfId="22573"/>
    <cellStyle name="_집행갑지 _공내역서-창호분개_수원율전 실행내역 검토안_수원율전 실행내역 검토안_태평동도급내역(Rev.2)-12.26 2" xfId="22574"/>
    <cellStyle name="_집행갑지 _공내역서-창호분개_수원율전 실행내역 검토안_수정구 태평동 주상복합 실행내역 검토안" xfId="22575"/>
    <cellStyle name="_집행갑지 _공내역서-창호분개_수원율전 실행내역 검토안_수정구 태평동 주상복합 실행내역 검토안 2" xfId="22576"/>
    <cellStyle name="_집행갑지 _공내역서-창호분개_수원율전 실행내역 검토안_태평동 실행내역서" xfId="22577"/>
    <cellStyle name="_집행갑지 _공내역서-창호분개_수원율전 실행내역 검토안_태평동 실행내역서 2" xfId="22578"/>
    <cellStyle name="_집행갑지 _공내역서-창호분개_수원율전 실행내역 검토안_태평동도급내역(Rev.2)-12.26" xfId="22579"/>
    <cellStyle name="_집행갑지 _공내역서-창호분개_수원율전 실행내역 검토안_태평동도급내역(Rev.2)-12.26 2" xfId="22580"/>
    <cellStyle name="_집행갑지 _공내역서-창호분개_수원율전조합" xfId="22581"/>
    <cellStyle name="_집행갑지 _공내역서-창호분개_수원율전조합 2" xfId="22582"/>
    <cellStyle name="_집행갑지 _공내역서-창호분개_수원율전조합_사본 - ☆태평동  도급내역" xfId="22583"/>
    <cellStyle name="_집행갑지 _공내역서-창호분개_수원율전조합_사본 - ☆태평동  도급내역 2" xfId="22584"/>
    <cellStyle name="_집행갑지 _공내역서-창호분개_수원율전조합_성남태평동설비공사" xfId="22585"/>
    <cellStyle name="_집행갑지 _공내역서-창호분개_수원율전조합_성남태평동설비공사 2" xfId="22586"/>
    <cellStyle name="_집행갑지 _공내역서-창호분개_수원율전조합_수원율전 실행내역" xfId="22587"/>
    <cellStyle name="_집행갑지 _공내역서-창호분개_수원율전조합_수원율전 실행내역 2" xfId="22588"/>
    <cellStyle name="_집행갑지 _공내역서-창호분개_수원율전조합_수원율전 실행내역 검토안" xfId="22589"/>
    <cellStyle name="_집행갑지 _공내역서-창호분개_수원율전조합_수원율전 실행내역 검토안 2" xfId="22590"/>
    <cellStyle name="_집행갑지 _공내역서-창호분개_수원율전조합_수원율전 실행내역 검토안_사본 - ☆태평동  도급내역" xfId="22591"/>
    <cellStyle name="_집행갑지 _공내역서-창호분개_수원율전조합_수원율전 실행내역 검토안_사본 - ☆태평동  도급내역 2" xfId="22592"/>
    <cellStyle name="_집행갑지 _공내역서-창호분개_수원율전조합_수원율전 실행내역 검토안_성남태평동설비공사" xfId="22593"/>
    <cellStyle name="_집행갑지 _공내역서-창호분개_수원율전조합_수원율전 실행내역 검토안_성남태평동설비공사 2" xfId="22594"/>
    <cellStyle name="_집행갑지 _공내역서-창호분개_수원율전조합_수원율전 실행내역 검토안_수정구 태평동 주상복합 실행내역 검토안" xfId="22595"/>
    <cellStyle name="_집행갑지 _공내역서-창호분개_수원율전조합_수원율전 실행내역 검토안_수정구 태평동 주상복합 실행내역 검토안 2" xfId="22596"/>
    <cellStyle name="_집행갑지 _공내역서-창호분개_수원율전조합_수원율전 실행내역 검토안_태평동 실행내역서" xfId="22597"/>
    <cellStyle name="_집행갑지 _공내역서-창호분개_수원율전조합_수원율전 실행내역 검토안_태평동 실행내역서 2" xfId="22598"/>
    <cellStyle name="_집행갑지 _공내역서-창호분개_수원율전조합_수원율전 실행내역 검토안_태평동도급내역(Rev.2)-12.26" xfId="22599"/>
    <cellStyle name="_집행갑지 _공내역서-창호분개_수원율전조합_수원율전 실행내역 검토안_태평동도급내역(Rev.2)-12.26 2" xfId="22600"/>
    <cellStyle name="_집행갑지 _공내역서-창호분개_수원율전조합_수정구 태평동 주상복합 실행내역 검토안" xfId="22601"/>
    <cellStyle name="_집행갑지 _공내역서-창호분개_수원율전조합_수정구 태평동 주상복합 실행내역 검토안 2" xfId="22602"/>
    <cellStyle name="_집행갑지 _공내역서-창호분개_수원율전조합_태평동 실행내역서" xfId="22603"/>
    <cellStyle name="_집행갑지 _공내역서-창호분개_수원율전조합_태평동 실행내역서 2" xfId="22604"/>
    <cellStyle name="_집행갑지 _공내역서-창호분개_수원율전조합_태평동도급내역(Rev.2)-12.26" xfId="22605"/>
    <cellStyle name="_집행갑지 _공내역서-창호분개_수원율전조합_태평동도급내역(Rev.2)-12.26 2" xfId="22606"/>
    <cellStyle name="_집행갑지 _공내역서-창호분개_수정구 태평동 주상복합 실행내역 검토안" xfId="22607"/>
    <cellStyle name="_집행갑지 _공내역서-창호분개_수정구 태평동 주상복합 실행내역 검토안 2" xfId="22608"/>
    <cellStyle name="_집행갑지 _공내역서-창호분개_태평동 실행내역서" xfId="22609"/>
    <cellStyle name="_집행갑지 _공내역서-창호분개_태평동 실행내역서 2" xfId="22610"/>
    <cellStyle name="_집행갑지 _공내역서-창호분개_태평동도급내역(Rev.2)-12.26" xfId="22611"/>
    <cellStyle name="_집행갑지 _공내역서-창호분개_태평동도급내역(Rev.2)-12.26 2" xfId="22612"/>
    <cellStyle name="_집행갑지 _내역서(최초)" xfId="22677"/>
    <cellStyle name="_집행갑지 _내역서(최초) 2" xfId="22678"/>
    <cellStyle name="_집행갑지 _부대결과" xfId="22679"/>
    <cellStyle name="_집행갑지 _부대결과 2" xfId="22680"/>
    <cellStyle name="_집행갑지 _부대결과_Book1" xfId="22681"/>
    <cellStyle name="_집행갑지 _부대결과_Book1 2" xfId="22682"/>
    <cellStyle name="_집행갑지 _부대결과_Book1_내역서(최초)" xfId="22683"/>
    <cellStyle name="_집행갑지 _부대결과_Book1_내역서(최초) 2" xfId="22684"/>
    <cellStyle name="_집행갑지 _부대결과_Book1_설계내역서" xfId="22685"/>
    <cellStyle name="_집행갑지 _부대결과_Book1_설계내역서 2" xfId="22686"/>
    <cellStyle name="_집행갑지 _부대결과_Book1_설계내역서(2차)" xfId="22687"/>
    <cellStyle name="_집행갑지 _부대결과_Book1_설계내역서(2차) 2" xfId="22688"/>
    <cellStyle name="_집행갑지 _부대결과_P-(현리-신팔)" xfId="22689"/>
    <cellStyle name="_집행갑지 _부대결과_P-(현리-신팔) 2" xfId="22690"/>
    <cellStyle name="_집행갑지 _부대결과_P-(현리-신팔)_내역서(최초)" xfId="22691"/>
    <cellStyle name="_집행갑지 _부대결과_P-(현리-신팔)_내역서(최초) 2" xfId="22692"/>
    <cellStyle name="_집행갑지 _부대결과_P-(현리-신팔)_설계내역서" xfId="22693"/>
    <cellStyle name="_집행갑지 _부대결과_P-(현리-신팔)_설계내역서 2" xfId="22694"/>
    <cellStyle name="_집행갑지 _부대결과_P-(현리-신팔)_설계내역서(2차)" xfId="22695"/>
    <cellStyle name="_집행갑지 _부대결과_P-(현리-신팔)_설계내역서(2차) 2" xfId="22696"/>
    <cellStyle name="_집행갑지 _부대결과_내역서(최초)" xfId="22697"/>
    <cellStyle name="_집행갑지 _부대결과_내역서(최초) 2" xfId="22698"/>
    <cellStyle name="_집행갑지 _부대결과_설계내역서" xfId="22699"/>
    <cellStyle name="_집행갑지 _부대결과_설계내역서 2" xfId="22700"/>
    <cellStyle name="_집행갑지 _부대결과_설계내역서(2차)" xfId="22701"/>
    <cellStyle name="_집행갑지 _부대결과_설계내역서(2차) 2" xfId="22702"/>
    <cellStyle name="_집행갑지 _부대결과_현리-신팔도로설계" xfId="22703"/>
    <cellStyle name="_집행갑지 _부대결과_현리-신팔도로설계 2" xfId="22704"/>
    <cellStyle name="_집행갑지 _부대결과_현리-신팔도로설계_내역서(최초)" xfId="22705"/>
    <cellStyle name="_집행갑지 _부대결과_현리-신팔도로설계_내역서(최초) 2" xfId="22706"/>
    <cellStyle name="_집행갑지 _부대결과_현리-신팔도로설계_설계내역서" xfId="22707"/>
    <cellStyle name="_집행갑지 _부대결과_현리-신팔도로설계_설계내역서 2" xfId="22708"/>
    <cellStyle name="_집행갑지 _부대결과_현리-신팔도로설계_설계내역서(2차)" xfId="22709"/>
    <cellStyle name="_집행갑지 _부대결과_현리-신팔도로설계_설계내역서(2차) 2" xfId="22710"/>
    <cellStyle name="_집행갑지 _부대입찰특별조건및내역송부(최저가)" xfId="22711"/>
    <cellStyle name="_집행갑지 _부대입찰특별조건및내역송부(최저가) 2" xfId="22712"/>
    <cellStyle name="_집행갑지 _부대입찰특별조건및내역송부(최저가)_Book1" xfId="22713"/>
    <cellStyle name="_집행갑지 _부대입찰특별조건및내역송부(최저가)_Book1 2" xfId="22714"/>
    <cellStyle name="_집행갑지 _부대입찰특별조건및내역송부(최저가)_Book1_내역서(최초)" xfId="22715"/>
    <cellStyle name="_집행갑지 _부대입찰특별조건및내역송부(최저가)_Book1_내역서(최초) 2" xfId="22716"/>
    <cellStyle name="_집행갑지 _부대입찰특별조건및내역송부(최저가)_Book1_설계내역서" xfId="22717"/>
    <cellStyle name="_집행갑지 _부대입찰특별조건및내역송부(최저가)_Book1_설계내역서 2" xfId="22718"/>
    <cellStyle name="_집행갑지 _부대입찰특별조건및내역송부(최저가)_Book1_설계내역서(2차)" xfId="22719"/>
    <cellStyle name="_집행갑지 _부대입찰특별조건및내역송부(최저가)_Book1_설계내역서(2차) 2" xfId="22720"/>
    <cellStyle name="_집행갑지 _부대입찰특별조건및내역송부(최저가)_P-(현리-신팔)" xfId="22721"/>
    <cellStyle name="_집행갑지 _부대입찰특별조건및내역송부(최저가)_P-(현리-신팔) 2" xfId="22722"/>
    <cellStyle name="_집행갑지 _부대입찰특별조건및내역송부(최저가)_P-(현리-신팔)_내역서(최초)" xfId="22723"/>
    <cellStyle name="_집행갑지 _부대입찰특별조건및내역송부(최저가)_P-(현리-신팔)_내역서(최초) 2" xfId="22724"/>
    <cellStyle name="_집행갑지 _부대입찰특별조건및내역송부(최저가)_P-(현리-신팔)_설계내역서" xfId="22725"/>
    <cellStyle name="_집행갑지 _부대입찰특별조건및내역송부(최저가)_P-(현리-신팔)_설계내역서 2" xfId="22726"/>
    <cellStyle name="_집행갑지 _부대입찰특별조건및내역송부(최저가)_P-(현리-신팔)_설계내역서(2차)" xfId="22727"/>
    <cellStyle name="_집행갑지 _부대입찰특별조건및내역송부(최저가)_P-(현리-신팔)_설계내역서(2차) 2" xfId="22728"/>
    <cellStyle name="_집행갑지 _부대입찰특별조건및내역송부(최저가)_내역서(최초)" xfId="22729"/>
    <cellStyle name="_집행갑지 _부대입찰특별조건및내역송부(최저가)_내역서(최초) 2" xfId="22730"/>
    <cellStyle name="_집행갑지 _부대입찰특별조건및내역송부(최저가)_부대결과" xfId="22731"/>
    <cellStyle name="_집행갑지 _부대입찰특별조건및내역송부(최저가)_부대결과 2" xfId="22732"/>
    <cellStyle name="_집행갑지 _부대입찰특별조건및내역송부(최저가)_부대결과_Book1" xfId="22733"/>
    <cellStyle name="_집행갑지 _부대입찰특별조건및내역송부(최저가)_부대결과_Book1 2" xfId="22734"/>
    <cellStyle name="_집행갑지 _부대입찰특별조건및내역송부(최저가)_부대결과_Book1_내역서(최초)" xfId="22735"/>
    <cellStyle name="_집행갑지 _부대입찰특별조건및내역송부(최저가)_부대결과_Book1_내역서(최초) 2" xfId="22736"/>
    <cellStyle name="_집행갑지 _부대입찰특별조건및내역송부(최저가)_부대결과_Book1_설계내역서" xfId="22737"/>
    <cellStyle name="_집행갑지 _부대입찰특별조건및내역송부(최저가)_부대결과_Book1_설계내역서 2" xfId="22738"/>
    <cellStyle name="_집행갑지 _부대입찰특별조건및내역송부(최저가)_부대결과_Book1_설계내역서(2차)" xfId="22739"/>
    <cellStyle name="_집행갑지 _부대입찰특별조건및내역송부(최저가)_부대결과_Book1_설계내역서(2차) 2" xfId="22740"/>
    <cellStyle name="_집행갑지 _부대입찰특별조건및내역송부(최저가)_부대결과_P-(현리-신팔)" xfId="22741"/>
    <cellStyle name="_집행갑지 _부대입찰특별조건및내역송부(최저가)_부대결과_P-(현리-신팔) 2" xfId="22742"/>
    <cellStyle name="_집행갑지 _부대입찰특별조건및내역송부(최저가)_부대결과_P-(현리-신팔)_내역서(최초)" xfId="22743"/>
    <cellStyle name="_집행갑지 _부대입찰특별조건및내역송부(최저가)_부대결과_P-(현리-신팔)_내역서(최초) 2" xfId="22744"/>
    <cellStyle name="_집행갑지 _부대입찰특별조건및내역송부(최저가)_부대결과_P-(현리-신팔)_설계내역서" xfId="22745"/>
    <cellStyle name="_집행갑지 _부대입찰특별조건및내역송부(최저가)_부대결과_P-(현리-신팔)_설계내역서 2" xfId="22746"/>
    <cellStyle name="_집행갑지 _부대입찰특별조건및내역송부(최저가)_부대결과_P-(현리-신팔)_설계내역서(2차)" xfId="22747"/>
    <cellStyle name="_집행갑지 _부대입찰특별조건및내역송부(최저가)_부대결과_P-(현리-신팔)_설계내역서(2차) 2" xfId="22748"/>
    <cellStyle name="_집행갑지 _부대입찰특별조건및내역송부(최저가)_부대결과_내역서(최초)" xfId="22749"/>
    <cellStyle name="_집행갑지 _부대입찰특별조건및내역송부(최저가)_부대결과_내역서(최초) 2" xfId="22750"/>
    <cellStyle name="_집행갑지 _부대입찰특별조건및내역송부(최저가)_부대결과_설계내역서" xfId="22751"/>
    <cellStyle name="_집행갑지 _부대입찰특별조건및내역송부(최저가)_부대결과_설계내역서 2" xfId="22752"/>
    <cellStyle name="_집행갑지 _부대입찰특별조건및내역송부(최저가)_부대결과_설계내역서(2차)" xfId="22753"/>
    <cellStyle name="_집행갑지 _부대입찰특별조건및내역송부(최저가)_부대결과_설계내역서(2차) 2" xfId="22754"/>
    <cellStyle name="_집행갑지 _부대입찰특별조건및내역송부(최저가)_부대결과_현리-신팔도로설계" xfId="22755"/>
    <cellStyle name="_집행갑지 _부대입찰특별조건및내역송부(최저가)_부대결과_현리-신팔도로설계 2" xfId="22756"/>
    <cellStyle name="_집행갑지 _부대입찰특별조건및내역송부(최저가)_부대결과_현리-신팔도로설계_내역서(최초)" xfId="22757"/>
    <cellStyle name="_집행갑지 _부대입찰특별조건및내역송부(최저가)_부대결과_현리-신팔도로설계_내역서(최초) 2" xfId="22758"/>
    <cellStyle name="_집행갑지 _부대입찰특별조건및내역송부(최저가)_부대결과_현리-신팔도로설계_설계내역서" xfId="22759"/>
    <cellStyle name="_집행갑지 _부대입찰특별조건및내역송부(최저가)_부대결과_현리-신팔도로설계_설계내역서 2" xfId="22760"/>
    <cellStyle name="_집행갑지 _부대입찰특별조건및내역송부(최저가)_부대결과_현리-신팔도로설계_설계내역서(2차)" xfId="22761"/>
    <cellStyle name="_집행갑지 _부대입찰특별조건및내역송부(최저가)_부대결과_현리-신팔도로설계_설계내역서(2차) 2" xfId="22762"/>
    <cellStyle name="_집행갑지 _부대입찰특별조건및내역송부(최저가)_설계내역서" xfId="22763"/>
    <cellStyle name="_집행갑지 _부대입찰특별조건및내역송부(최저가)_설계내역서 2" xfId="22764"/>
    <cellStyle name="_집행갑지 _부대입찰특별조건및내역송부(최저가)_설계내역서(2차)" xfId="22765"/>
    <cellStyle name="_집행갑지 _부대입찰특별조건및내역송부(최저가)_설계내역서(2차) 2" xfId="22766"/>
    <cellStyle name="_집행갑지 _부대입찰특별조건및내역송부(최저가)_현리-신팔도로설계" xfId="22767"/>
    <cellStyle name="_집행갑지 _부대입찰특별조건및내역송부(최저가)_현리-신팔도로설계 2" xfId="22768"/>
    <cellStyle name="_집행갑지 _부대입찰특별조건및내역송부(최저가)_현리-신팔도로설계_내역서(최초)" xfId="22769"/>
    <cellStyle name="_집행갑지 _부대입찰특별조건및내역송부(최저가)_현리-신팔도로설계_내역서(최초) 2" xfId="22770"/>
    <cellStyle name="_집행갑지 _부대입찰특별조건및내역송부(최저가)_현리-신팔도로설계_설계내역서" xfId="22771"/>
    <cellStyle name="_집행갑지 _부대입찰특별조건및내역송부(최저가)_현리-신팔도로설계_설계내역서 2" xfId="22772"/>
    <cellStyle name="_집행갑지 _부대입찰특별조건및내역송부(최저가)_현리-신팔도로설계_설계내역서(2차)" xfId="22773"/>
    <cellStyle name="_집행갑지 _부대입찰특별조건및내역송부(최저가)_현리-신팔도로설계_설계내역서(2차) 2" xfId="22774"/>
    <cellStyle name="_집행갑지 _사병기숙사(Announcers booth)" xfId="22775"/>
    <cellStyle name="_집행갑지 _사병기숙사(Announcers booth) 2" xfId="22776"/>
    <cellStyle name="_집행갑지 _사병기숙사(Announcers booth)_53호견적최종" xfId="22777"/>
    <cellStyle name="_집행갑지 _사병기숙사(Announcers booth)_53호견적최종 2" xfId="22778"/>
    <cellStyle name="_집행갑지 _사병기숙사(Announcers booth)_R-0053" xfId="22779"/>
    <cellStyle name="_집행갑지 _사병기숙사(Announcers booth)_R-0053 2" xfId="22780"/>
    <cellStyle name="_집행갑지 _사병기숙사(Announcers booth)_R-0053ELEC대" xfId="22781"/>
    <cellStyle name="_집행갑지 _사병기숙사(Announcers booth)_R-0053ELEC대 2" xfId="22782"/>
    <cellStyle name="_집행갑지 _사병기숙사(Announcers booth)_R-0053SITE" xfId="22783"/>
    <cellStyle name="_집행갑지 _사병기숙사(Announcers booth)_R-0053SITE 2" xfId="22784"/>
    <cellStyle name="_집행갑지 _사본 - ☆태평동  도급내역" xfId="22785"/>
    <cellStyle name="_집행갑지 _사본 - ☆태평동  도급내역 2" xfId="22786"/>
    <cellStyle name="_집행갑지 _설계내역서" xfId="22787"/>
    <cellStyle name="_집행갑지 _설계내역서 2" xfId="22788"/>
    <cellStyle name="_집행갑지 _설계내역서(2차)" xfId="22789"/>
    <cellStyle name="_집행갑지 _설계내역서(2차) 2" xfId="22790"/>
    <cellStyle name="_집행갑지 _성남태평동설비공사" xfId="22791"/>
    <cellStyle name="_집행갑지 _성남태평동설비공사 2" xfId="22792"/>
    <cellStyle name="_집행갑지 _수원율전 실행내역" xfId="22793"/>
    <cellStyle name="_집행갑지 _수원율전 실행내역 2" xfId="22794"/>
    <cellStyle name="_집행갑지 _수원율전 실행내역 검토안" xfId="22795"/>
    <cellStyle name="_집행갑지 _수원율전 실행내역 검토안 2" xfId="22796"/>
    <cellStyle name="_집행갑지 _수원율전 실행내역 검토안_사본 - ☆태평동  도급내역" xfId="22797"/>
    <cellStyle name="_집행갑지 _수원율전 실행내역 검토안_사본 - ☆태평동  도급내역 2" xfId="22798"/>
    <cellStyle name="_집행갑지 _수원율전 실행내역 검토안_성남태평동설비공사" xfId="22799"/>
    <cellStyle name="_집행갑지 _수원율전 실행내역 검토안_성남태평동설비공사 2" xfId="22800"/>
    <cellStyle name="_집행갑지 _수원율전 실행내역 검토안_수원율전 실행내역" xfId="22801"/>
    <cellStyle name="_집행갑지 _수원율전 실행내역 검토안_수원율전 실행내역 2" xfId="22802"/>
    <cellStyle name="_집행갑지 _수원율전 실행내역 검토안_수원율전 실행내역 검토안" xfId="22803"/>
    <cellStyle name="_집행갑지 _수원율전 실행내역 검토안_수원율전 실행내역 검토안 2" xfId="22804"/>
    <cellStyle name="_집행갑지 _수원율전 실행내역 검토안_수원율전 실행내역 검토안_사본 - ☆태평동  도급내역" xfId="22805"/>
    <cellStyle name="_집행갑지 _수원율전 실행내역 검토안_수원율전 실행내역 검토안_사본 - ☆태평동  도급내역 2" xfId="22806"/>
    <cellStyle name="_집행갑지 _수원율전 실행내역 검토안_수원율전 실행내역 검토안_성남태평동설비공사" xfId="22807"/>
    <cellStyle name="_집행갑지 _수원율전 실행내역 검토안_수원율전 실행내역 검토안_성남태평동설비공사 2" xfId="22808"/>
    <cellStyle name="_집행갑지 _수원율전 실행내역 검토안_수원율전 실행내역 검토안_수정구 태평동 주상복합 실행내역 검토안" xfId="22809"/>
    <cellStyle name="_집행갑지 _수원율전 실행내역 검토안_수원율전 실행내역 검토안_수정구 태평동 주상복합 실행내역 검토안 2" xfId="22810"/>
    <cellStyle name="_집행갑지 _수원율전 실행내역 검토안_수원율전 실행내역 검토안_태평동 실행내역서" xfId="22811"/>
    <cellStyle name="_집행갑지 _수원율전 실행내역 검토안_수원율전 실행내역 검토안_태평동 실행내역서 2" xfId="22812"/>
    <cellStyle name="_집행갑지 _수원율전 실행내역 검토안_수원율전 실행내역 검토안_태평동도급내역(Rev.2)-12.26" xfId="22813"/>
    <cellStyle name="_집행갑지 _수원율전 실행내역 검토안_수원율전 실행내역 검토안_태평동도급내역(Rev.2)-12.26 2" xfId="22814"/>
    <cellStyle name="_집행갑지 _수원율전 실행내역 검토안_수정구 태평동 주상복합 실행내역 검토안" xfId="22815"/>
    <cellStyle name="_집행갑지 _수원율전 실행내역 검토안_수정구 태평동 주상복합 실행내역 검토안 2" xfId="22816"/>
    <cellStyle name="_집행갑지 _수원율전 실행내역 검토안_태평동 실행내역서" xfId="22817"/>
    <cellStyle name="_집행갑지 _수원율전 실행내역 검토안_태평동 실행내역서 2" xfId="22818"/>
    <cellStyle name="_집행갑지 _수원율전 실행내역 검토안_태평동도급내역(Rev.2)-12.26" xfId="22819"/>
    <cellStyle name="_집행갑지 _수원율전 실행내역 검토안_태평동도급내역(Rev.2)-12.26 2" xfId="22820"/>
    <cellStyle name="_집행갑지 _수원율전조합" xfId="22821"/>
    <cellStyle name="_집행갑지 _수원율전조합 2" xfId="22822"/>
    <cellStyle name="_집행갑지 _수원율전조합_사본 - ☆태평동  도급내역" xfId="22823"/>
    <cellStyle name="_집행갑지 _수원율전조합_사본 - ☆태평동  도급내역 2" xfId="22824"/>
    <cellStyle name="_집행갑지 _수원율전조합_성남태평동설비공사" xfId="22825"/>
    <cellStyle name="_집행갑지 _수원율전조합_성남태평동설비공사 2" xfId="22826"/>
    <cellStyle name="_집행갑지 _수원율전조합_수원율전 실행내역" xfId="22827"/>
    <cellStyle name="_집행갑지 _수원율전조합_수원율전 실행내역 2" xfId="22828"/>
    <cellStyle name="_집행갑지 _수원율전조합_수원율전 실행내역 검토안" xfId="22829"/>
    <cellStyle name="_집행갑지 _수원율전조합_수원율전 실행내역 검토안 2" xfId="22830"/>
    <cellStyle name="_집행갑지 _수원율전조합_수원율전 실행내역 검토안_사본 - ☆태평동  도급내역" xfId="22831"/>
    <cellStyle name="_집행갑지 _수원율전조합_수원율전 실행내역 검토안_사본 - ☆태평동  도급내역 2" xfId="22832"/>
    <cellStyle name="_집행갑지 _수원율전조합_수원율전 실행내역 검토안_성남태평동설비공사" xfId="22833"/>
    <cellStyle name="_집행갑지 _수원율전조합_수원율전 실행내역 검토안_성남태평동설비공사 2" xfId="22834"/>
    <cellStyle name="_집행갑지 _수원율전조합_수원율전 실행내역 검토안_수정구 태평동 주상복합 실행내역 검토안" xfId="22835"/>
    <cellStyle name="_집행갑지 _수원율전조합_수원율전 실행내역 검토안_수정구 태평동 주상복합 실행내역 검토안 2" xfId="22836"/>
    <cellStyle name="_집행갑지 _수원율전조합_수원율전 실행내역 검토안_태평동 실행내역서" xfId="22837"/>
    <cellStyle name="_집행갑지 _수원율전조합_수원율전 실행내역 검토안_태평동 실행내역서 2" xfId="22838"/>
    <cellStyle name="_집행갑지 _수원율전조합_수원율전 실행내역 검토안_태평동도급내역(Rev.2)-12.26" xfId="22839"/>
    <cellStyle name="_집행갑지 _수원율전조합_수원율전 실행내역 검토안_태평동도급내역(Rev.2)-12.26 2" xfId="22840"/>
    <cellStyle name="_집행갑지 _수원율전조합_수정구 태평동 주상복합 실행내역 검토안" xfId="22841"/>
    <cellStyle name="_집행갑지 _수원율전조합_수정구 태평동 주상복합 실행내역 검토안 2" xfId="22842"/>
    <cellStyle name="_집행갑지 _수원율전조합_태평동 실행내역서" xfId="22843"/>
    <cellStyle name="_집행갑지 _수원율전조합_태평동 실행내역서 2" xfId="22844"/>
    <cellStyle name="_집행갑지 _수원율전조합_태평동도급내역(Rev.2)-12.26" xfId="22845"/>
    <cellStyle name="_집행갑지 _수원율전조합_태평동도급내역(Rev.2)-12.26 2" xfId="22846"/>
    <cellStyle name="_집행갑지 _수정구 태평동 주상복합 실행내역 검토안" xfId="22847"/>
    <cellStyle name="_집행갑지 _수정구 태평동 주상복합 실행내역 검토안 2" xfId="22848"/>
    <cellStyle name="_집행갑지 _지붕공사" xfId="22849"/>
    <cellStyle name="_집행갑지 _지붕공사 2" xfId="22850"/>
    <cellStyle name="_집행갑지 _지붕공사_1.흙막이공사 - 견적대비조서(입찰)" xfId="22851"/>
    <cellStyle name="_집행갑지 _지붕공사_1.흙막이공사 - 견적대비조서(입찰) 2" xfId="22852"/>
    <cellStyle name="_집행갑지 _지붕공사_사본 - ☆태평동  도급내역" xfId="22853"/>
    <cellStyle name="_집행갑지 _지붕공사_사본 - ☆태평동  도급내역 2" xfId="22854"/>
    <cellStyle name="_집행갑지 _지붕공사_성남태평동설비공사" xfId="22855"/>
    <cellStyle name="_집행갑지 _지붕공사_성남태평동설비공사 2" xfId="22856"/>
    <cellStyle name="_집행갑지 _지붕공사_수원율전 실행내역" xfId="22857"/>
    <cellStyle name="_집행갑지 _지붕공사_수원율전 실행내역 2" xfId="22858"/>
    <cellStyle name="_집행갑지 _지붕공사_수원율전 실행내역 검토안" xfId="22859"/>
    <cellStyle name="_집행갑지 _지붕공사_수원율전 실행내역 검토안 2" xfId="22860"/>
    <cellStyle name="_집행갑지 _지붕공사_수원율전 실행내역 검토안_사본 - ☆태평동  도급내역" xfId="22861"/>
    <cellStyle name="_집행갑지 _지붕공사_수원율전 실행내역 검토안_사본 - ☆태평동  도급내역 2" xfId="22862"/>
    <cellStyle name="_집행갑지 _지붕공사_수원율전 실행내역 검토안_성남태평동설비공사" xfId="22863"/>
    <cellStyle name="_집행갑지 _지붕공사_수원율전 실행내역 검토안_성남태평동설비공사 2" xfId="22864"/>
    <cellStyle name="_집행갑지 _지붕공사_수원율전 실행내역 검토안_수원율전 실행내역" xfId="22865"/>
    <cellStyle name="_집행갑지 _지붕공사_수원율전 실행내역 검토안_수원율전 실행내역 2" xfId="22866"/>
    <cellStyle name="_집행갑지 _지붕공사_수원율전 실행내역 검토안_수원율전 실행내역 검토안" xfId="22867"/>
    <cellStyle name="_집행갑지 _지붕공사_수원율전 실행내역 검토안_수원율전 실행내역 검토안 2" xfId="22868"/>
    <cellStyle name="_집행갑지 _지붕공사_수원율전 실행내역 검토안_수원율전 실행내역 검토안_사본 - ☆태평동  도급내역" xfId="22869"/>
    <cellStyle name="_집행갑지 _지붕공사_수원율전 실행내역 검토안_수원율전 실행내역 검토안_사본 - ☆태평동  도급내역 2" xfId="22870"/>
    <cellStyle name="_집행갑지 _지붕공사_수원율전 실행내역 검토안_수원율전 실행내역 검토안_성남태평동설비공사" xfId="22871"/>
    <cellStyle name="_집행갑지 _지붕공사_수원율전 실행내역 검토안_수원율전 실행내역 검토안_성남태평동설비공사 2" xfId="22872"/>
    <cellStyle name="_집행갑지 _지붕공사_수원율전 실행내역 검토안_수원율전 실행내역 검토안_수정구 태평동 주상복합 실행내역 검토안" xfId="22873"/>
    <cellStyle name="_집행갑지 _지붕공사_수원율전 실행내역 검토안_수원율전 실행내역 검토안_수정구 태평동 주상복합 실행내역 검토안 2" xfId="22874"/>
    <cellStyle name="_집행갑지 _지붕공사_수원율전 실행내역 검토안_수원율전 실행내역 검토안_태평동 실행내역서" xfId="22875"/>
    <cellStyle name="_집행갑지 _지붕공사_수원율전 실행내역 검토안_수원율전 실행내역 검토안_태평동 실행내역서 2" xfId="22876"/>
    <cellStyle name="_집행갑지 _지붕공사_수원율전 실행내역 검토안_수원율전 실행내역 검토안_태평동도급내역(Rev.2)-12.26" xfId="22877"/>
    <cellStyle name="_집행갑지 _지붕공사_수원율전 실행내역 검토안_수원율전 실행내역 검토안_태평동도급내역(Rev.2)-12.26 2" xfId="22878"/>
    <cellStyle name="_집행갑지 _지붕공사_수원율전 실행내역 검토안_수정구 태평동 주상복합 실행내역 검토안" xfId="22879"/>
    <cellStyle name="_집행갑지 _지붕공사_수원율전 실행내역 검토안_수정구 태평동 주상복합 실행내역 검토안 2" xfId="22880"/>
    <cellStyle name="_집행갑지 _지붕공사_수원율전 실행내역 검토안_태평동 실행내역서" xfId="22881"/>
    <cellStyle name="_집행갑지 _지붕공사_수원율전 실행내역 검토안_태평동 실행내역서 2" xfId="22882"/>
    <cellStyle name="_집행갑지 _지붕공사_수원율전 실행내역 검토안_태평동도급내역(Rev.2)-12.26" xfId="22883"/>
    <cellStyle name="_집행갑지 _지붕공사_수원율전 실행내역 검토안_태평동도급내역(Rev.2)-12.26 2" xfId="22884"/>
    <cellStyle name="_집행갑지 _지붕공사_수원율전조합" xfId="22885"/>
    <cellStyle name="_집행갑지 _지붕공사_수원율전조합 2" xfId="22886"/>
    <cellStyle name="_집행갑지 _지붕공사_수원율전조합_사본 - ☆태평동  도급내역" xfId="22887"/>
    <cellStyle name="_집행갑지 _지붕공사_수원율전조합_사본 - ☆태평동  도급내역 2" xfId="22888"/>
    <cellStyle name="_집행갑지 _지붕공사_수원율전조합_성남태평동설비공사" xfId="22889"/>
    <cellStyle name="_집행갑지 _지붕공사_수원율전조합_성남태평동설비공사 2" xfId="22890"/>
    <cellStyle name="_집행갑지 _지붕공사_수원율전조합_수원율전 실행내역" xfId="22891"/>
    <cellStyle name="_집행갑지 _지붕공사_수원율전조합_수원율전 실행내역 2" xfId="22892"/>
    <cellStyle name="_집행갑지 _지붕공사_수원율전조합_수원율전 실행내역 검토안" xfId="22893"/>
    <cellStyle name="_집행갑지 _지붕공사_수원율전조합_수원율전 실행내역 검토안 2" xfId="22894"/>
    <cellStyle name="_집행갑지 _지붕공사_수원율전조합_수원율전 실행내역 검토안_사본 - ☆태평동  도급내역" xfId="22895"/>
    <cellStyle name="_집행갑지 _지붕공사_수원율전조합_수원율전 실행내역 검토안_사본 - ☆태평동  도급내역 2" xfId="22896"/>
    <cellStyle name="_집행갑지 _지붕공사_수원율전조합_수원율전 실행내역 검토안_성남태평동설비공사" xfId="22897"/>
    <cellStyle name="_집행갑지 _지붕공사_수원율전조합_수원율전 실행내역 검토안_성남태평동설비공사 2" xfId="22898"/>
    <cellStyle name="_집행갑지 _지붕공사_수원율전조합_수원율전 실행내역 검토안_수정구 태평동 주상복합 실행내역 검토안" xfId="22899"/>
    <cellStyle name="_집행갑지 _지붕공사_수원율전조합_수원율전 실행내역 검토안_수정구 태평동 주상복합 실행내역 검토안 2" xfId="22900"/>
    <cellStyle name="_집행갑지 _지붕공사_수원율전조합_수원율전 실행내역 검토안_태평동 실행내역서" xfId="22901"/>
    <cellStyle name="_집행갑지 _지붕공사_수원율전조합_수원율전 실행내역 검토안_태평동 실행내역서 2" xfId="22902"/>
    <cellStyle name="_집행갑지 _지붕공사_수원율전조합_수원율전 실행내역 검토안_태평동도급내역(Rev.2)-12.26" xfId="22903"/>
    <cellStyle name="_집행갑지 _지붕공사_수원율전조합_수원율전 실행내역 검토안_태평동도급내역(Rev.2)-12.26 2" xfId="22904"/>
    <cellStyle name="_집행갑지 _지붕공사_수원율전조합_수정구 태평동 주상복합 실행내역 검토안" xfId="22905"/>
    <cellStyle name="_집행갑지 _지붕공사_수원율전조합_수정구 태평동 주상복합 실행내역 검토안 2" xfId="22906"/>
    <cellStyle name="_집행갑지 _지붕공사_수원율전조합_태평동 실행내역서" xfId="22907"/>
    <cellStyle name="_집행갑지 _지붕공사_수원율전조합_태평동 실행내역서 2" xfId="22908"/>
    <cellStyle name="_집행갑지 _지붕공사_수원율전조합_태평동도급내역(Rev.2)-12.26" xfId="22909"/>
    <cellStyle name="_집행갑지 _지붕공사_수원율전조합_태평동도급내역(Rev.2)-12.26 2" xfId="22910"/>
    <cellStyle name="_집행갑지 _지붕공사_수정구 태평동 주상복합 실행내역 검토안" xfId="22911"/>
    <cellStyle name="_집행갑지 _지붕공사_수정구 태평동 주상복합 실행내역 검토안 2" xfId="22912"/>
    <cellStyle name="_집행갑지 _지붕공사_태평동 실행내역서" xfId="22913"/>
    <cellStyle name="_집행갑지 _지붕공사_태평동 실행내역서 2" xfId="22914"/>
    <cellStyle name="_집행갑지 _지붕공사_태평동도급내역(Rev.2)-12.26" xfId="22915"/>
    <cellStyle name="_집행갑지 _지붕공사_태평동도급내역(Rev.2)-12.26 2" xfId="22916"/>
    <cellStyle name="_집행갑지 _태평동 실행내역서" xfId="22917"/>
    <cellStyle name="_집행갑지 _태평동 실행내역서 2" xfId="22918"/>
    <cellStyle name="_집행갑지 _태평동도급내역(Rev.2)-12.26" xfId="22919"/>
    <cellStyle name="_집행갑지 _태평동도급내역(Rev.2)-12.26 2" xfId="22920"/>
    <cellStyle name="_집행갑지 _투찰" xfId="22921"/>
    <cellStyle name="_집행갑지 _투찰 2" xfId="22922"/>
    <cellStyle name="_집행갑지 _투찰_Book1" xfId="22923"/>
    <cellStyle name="_집행갑지 _투찰_Book1 2" xfId="22924"/>
    <cellStyle name="_집행갑지 _투찰_Book1_내역서(최초)" xfId="22925"/>
    <cellStyle name="_집행갑지 _투찰_Book1_내역서(최초) 2" xfId="22926"/>
    <cellStyle name="_집행갑지 _투찰_Book1_설계내역서" xfId="22927"/>
    <cellStyle name="_집행갑지 _투찰_Book1_설계내역서 2" xfId="22928"/>
    <cellStyle name="_집행갑지 _투찰_Book1_설계내역서(2차)" xfId="22929"/>
    <cellStyle name="_집행갑지 _투찰_Book1_설계내역서(2차) 2" xfId="22930"/>
    <cellStyle name="_집행갑지 _투찰_P-(현리-신팔)" xfId="22931"/>
    <cellStyle name="_집행갑지 _투찰_P-(현리-신팔) 2" xfId="22932"/>
    <cellStyle name="_집행갑지 _투찰_P-(현리-신팔)_내역서(최초)" xfId="22933"/>
    <cellStyle name="_집행갑지 _투찰_P-(현리-신팔)_내역서(최초) 2" xfId="22934"/>
    <cellStyle name="_집행갑지 _투찰_P-(현리-신팔)_설계내역서" xfId="22935"/>
    <cellStyle name="_집행갑지 _투찰_P-(현리-신팔)_설계내역서 2" xfId="22936"/>
    <cellStyle name="_집행갑지 _투찰_P-(현리-신팔)_설계내역서(2차)" xfId="22937"/>
    <cellStyle name="_집행갑지 _투찰_P-(현리-신팔)_설계내역서(2차) 2" xfId="22938"/>
    <cellStyle name="_집행갑지 _투찰_내역서(최초)" xfId="22939"/>
    <cellStyle name="_집행갑지 _투찰_내역서(최초) 2" xfId="22940"/>
    <cellStyle name="_집행갑지 _투찰_부대결과" xfId="22941"/>
    <cellStyle name="_집행갑지 _투찰_부대결과 2" xfId="22942"/>
    <cellStyle name="_집행갑지 _투찰_부대결과_Book1" xfId="22943"/>
    <cellStyle name="_집행갑지 _투찰_부대결과_Book1 2" xfId="22944"/>
    <cellStyle name="_집행갑지 _투찰_부대결과_Book1_내역서(최초)" xfId="22945"/>
    <cellStyle name="_집행갑지 _투찰_부대결과_Book1_내역서(최초) 2" xfId="22946"/>
    <cellStyle name="_집행갑지 _투찰_부대결과_Book1_설계내역서" xfId="22947"/>
    <cellStyle name="_집행갑지 _투찰_부대결과_Book1_설계내역서 2" xfId="22948"/>
    <cellStyle name="_집행갑지 _투찰_부대결과_Book1_설계내역서(2차)" xfId="22949"/>
    <cellStyle name="_집행갑지 _투찰_부대결과_Book1_설계내역서(2차) 2" xfId="22950"/>
    <cellStyle name="_집행갑지 _투찰_부대결과_P-(현리-신팔)" xfId="22951"/>
    <cellStyle name="_집행갑지 _투찰_부대결과_P-(현리-신팔) 2" xfId="22952"/>
    <cellStyle name="_집행갑지 _투찰_부대결과_P-(현리-신팔)_내역서(최초)" xfId="22953"/>
    <cellStyle name="_집행갑지 _투찰_부대결과_P-(현리-신팔)_내역서(최초) 2" xfId="22954"/>
    <cellStyle name="_집행갑지 _투찰_부대결과_P-(현리-신팔)_설계내역서" xfId="22955"/>
    <cellStyle name="_집행갑지 _투찰_부대결과_P-(현리-신팔)_설계내역서 2" xfId="22956"/>
    <cellStyle name="_집행갑지 _투찰_부대결과_P-(현리-신팔)_설계내역서(2차)" xfId="22957"/>
    <cellStyle name="_집행갑지 _투찰_부대결과_P-(현리-신팔)_설계내역서(2차) 2" xfId="22958"/>
    <cellStyle name="_집행갑지 _투찰_부대결과_내역서(최초)" xfId="22959"/>
    <cellStyle name="_집행갑지 _투찰_부대결과_내역서(최초) 2" xfId="22960"/>
    <cellStyle name="_집행갑지 _투찰_부대결과_설계내역서" xfId="22961"/>
    <cellStyle name="_집행갑지 _투찰_부대결과_설계내역서 2" xfId="22962"/>
    <cellStyle name="_집행갑지 _투찰_부대결과_설계내역서(2차)" xfId="22963"/>
    <cellStyle name="_집행갑지 _투찰_부대결과_설계내역서(2차) 2" xfId="22964"/>
    <cellStyle name="_집행갑지 _투찰_부대결과_현리-신팔도로설계" xfId="22965"/>
    <cellStyle name="_집행갑지 _투찰_부대결과_현리-신팔도로설계 2" xfId="22966"/>
    <cellStyle name="_집행갑지 _투찰_부대결과_현리-신팔도로설계_내역서(최초)" xfId="22967"/>
    <cellStyle name="_집행갑지 _투찰_부대결과_현리-신팔도로설계_내역서(최초) 2" xfId="22968"/>
    <cellStyle name="_집행갑지 _투찰_부대결과_현리-신팔도로설계_설계내역서" xfId="22969"/>
    <cellStyle name="_집행갑지 _투찰_부대결과_현리-신팔도로설계_설계내역서 2" xfId="22970"/>
    <cellStyle name="_집행갑지 _투찰_부대결과_현리-신팔도로설계_설계내역서(2차)" xfId="22971"/>
    <cellStyle name="_집행갑지 _투찰_부대결과_현리-신팔도로설계_설계내역서(2차) 2" xfId="22972"/>
    <cellStyle name="_집행갑지 _투찰_설계내역서" xfId="22973"/>
    <cellStyle name="_집행갑지 _투찰_설계내역서 2" xfId="22974"/>
    <cellStyle name="_집행갑지 _투찰_설계내역서(2차)" xfId="22975"/>
    <cellStyle name="_집행갑지 _투찰_설계내역서(2차) 2" xfId="22976"/>
    <cellStyle name="_집행갑지 _투찰_현리-신팔도로설계" xfId="22977"/>
    <cellStyle name="_집행갑지 _투찰_현리-신팔도로설계 2" xfId="22978"/>
    <cellStyle name="_집행갑지 _투찰_현리-신팔도로설계_내역서(최초)" xfId="22979"/>
    <cellStyle name="_집행갑지 _투찰_현리-신팔도로설계_내역서(최초) 2" xfId="22980"/>
    <cellStyle name="_집행갑지 _투찰_현리-신팔도로설계_설계내역서" xfId="22981"/>
    <cellStyle name="_집행갑지 _투찰_현리-신팔도로설계_설계내역서 2" xfId="22982"/>
    <cellStyle name="_집행갑지 _투찰_현리-신팔도로설계_설계내역서(2차)" xfId="22983"/>
    <cellStyle name="_집행갑지 _투찰_현리-신팔도로설계_설계내역서(2차) 2" xfId="22984"/>
    <cellStyle name="_집행갑지 _현리-신팔도로설계" xfId="22985"/>
    <cellStyle name="_집행갑지 _현리-신팔도로설계 2" xfId="22986"/>
    <cellStyle name="_집행갑지 _현리-신팔도로설계_내역서(최초)" xfId="22987"/>
    <cellStyle name="_집행갑지 _현리-신팔도로설계_내역서(최초) 2" xfId="22988"/>
    <cellStyle name="_집행갑지 _현리-신팔도로설계_설계내역서" xfId="22989"/>
    <cellStyle name="_집행갑지 _현리-신팔도로설계_설계내역서 2" xfId="22990"/>
    <cellStyle name="_집행갑지 _현리-신팔도로설계_설계내역서(2차)" xfId="22991"/>
    <cellStyle name="_집행갑지 _현리-신팔도로설계_설계내역서(2차) 2" xfId="22992"/>
    <cellStyle name="_집행내역서(Rev.0)" xfId="22993"/>
    <cellStyle name="_집행내역서(Rev.0) 2" xfId="22994"/>
    <cellStyle name="_집행내역서(Rev.0)_Book2" xfId="22995"/>
    <cellStyle name="_집행내역서(Rev.0)_Book2 2" xfId="22996"/>
    <cellStyle name="_집행내역서(Rev.0)_Book4" xfId="22997"/>
    <cellStyle name="_집행내역서(Rev.0)_Book4 2" xfId="22998"/>
    <cellStyle name="_집행양식" xfId="22999"/>
    <cellStyle name="_집행양식 2" xfId="23000"/>
    <cellStyle name="_차도부현황" xfId="23001"/>
    <cellStyle name="_착공계-뉴버전" xfId="23002"/>
    <cellStyle name="_착공계-뉴버전 2" xfId="23003"/>
    <cellStyle name="_착공서류1" xfId="23004"/>
    <cellStyle name="_착공서류1 2" xfId="23005"/>
    <cellStyle name="_착공서류1_서울숲교회 02-15" xfId="23006"/>
    <cellStyle name="_착공서류1_서울숲교회 02-15 2" xfId="23007"/>
    <cellStyle name="_착공서류1_서울숲교회01-19" xfId="23008"/>
    <cellStyle name="_착공서류1_서울숲교회01-19 2" xfId="23009"/>
    <cellStyle name="_착공서류1_서울숲교회02-07" xfId="23010"/>
    <cellStyle name="_착공서류1_서울숲교회02-07 2" xfId="23011"/>
    <cellStyle name="_착공서류1_서울숲교회부속실02-07" xfId="23012"/>
    <cellStyle name="_착공서류1_서울숲교회부속실02-07 2" xfId="23013"/>
    <cellStyle name="_착공서류1_서울숲교회부속실영상2-7" xfId="23014"/>
    <cellStyle name="_착공서류1_서울숲교회부속실영상2-7 2" xfId="23015"/>
    <cellStyle name="_착공서류1_효성교회견적계약" xfId="23016"/>
    <cellStyle name="_착공서류1_효성교회견적계약 2" xfId="23017"/>
    <cellStyle name="_창원상수도(투찰)-0.815%" xfId="23018"/>
    <cellStyle name="_창원상수도(투찰)-0.815% 2" xfId="23019"/>
    <cellStyle name="_천사의도시3오피스텔-결재" xfId="23020"/>
    <cellStyle name="_천사의도시3오피스텔-결재 2" xfId="23021"/>
    <cellStyle name="_천사의도시3오피스텔-결재_내역서(건설사)" xfId="23022"/>
    <cellStyle name="_천사의도시3오피스텔-결재_내역서(건설사) 2" xfId="23023"/>
    <cellStyle name="_천사의도시3오피스텔-결재_내역서(작업)" xfId="23024"/>
    <cellStyle name="_천사의도시3오피스텔-결재_내역서(작업) 2" xfId="23025"/>
    <cellStyle name="_천사의도시3오피스텔-결재_휴게소-결재" xfId="23026"/>
    <cellStyle name="_천사의도시3오피스텔-결재_휴게소-결재 2" xfId="23027"/>
    <cellStyle name="_천사의도시3오피스텔-결재_휴게소-결재_내역서(건설사)" xfId="23028"/>
    <cellStyle name="_천사의도시3오피스텔-결재_휴게소-결재_내역서(건설사) 2" xfId="23029"/>
    <cellStyle name="_천사의도시3오피스텔-결재_휴게소-결재_내역서(작업)" xfId="23030"/>
    <cellStyle name="_천사의도시3오피스텔-결재_휴게소-결재_내역서(작업) 2" xfId="23031"/>
    <cellStyle name="_천안 고객 PLAZA 내장공사" xfId="23032"/>
    <cellStyle name="_천안 고객 PLAZA 내장공사 2" xfId="23033"/>
    <cellStyle name="_천안용곡동토목" xfId="23034"/>
    <cellStyle name="_천안용곡동토목 2" xfId="23035"/>
    <cellStyle name="_철도청통합사령실(대명)" xfId="23036"/>
    <cellStyle name="_철도청통합사령실(대명) 2" xfId="23037"/>
    <cellStyle name="_청담동에어컨 계약내역서" xfId="23038"/>
    <cellStyle name="_청소년수련관산출근거조서" xfId="23039"/>
    <cellStyle name="_청소년수련관산출근거조서 2" xfId="23040"/>
    <cellStyle name="_청소년수련관산출근거조서_1" xfId="23041"/>
    <cellStyle name="_청소년수련관산출근거조서_1 2" xfId="23042"/>
    <cellStyle name="_청소년수련관일위대가" xfId="23043"/>
    <cellStyle name="_청소년수련관일위대가 2" xfId="23044"/>
    <cellStyle name="_청소년수련관일위대가_1" xfId="23045"/>
    <cellStyle name="_청소년수련관일위대가_1 2" xfId="23046"/>
    <cellStyle name="_체육관동 골재포설투입집계" xfId="23047"/>
    <cellStyle name="_체육관동 골재포설투입집계 2" xfId="23048"/>
    <cellStyle name="_총괄7월보고809" xfId="23049"/>
    <cellStyle name="_총괄7월보고809 2" xfId="23050"/>
    <cellStyle name="_총괄공내역서-20070522" xfId="23051"/>
    <cellStyle name="_총괄공내역서-20070522 2" xfId="23052"/>
    <cellStyle name="_총괄공사대갑 " xfId="23053"/>
    <cellStyle name="_총괄별 (2)" xfId="23054"/>
    <cellStyle name="_총괄별 (2) 2" xfId="23055"/>
    <cellStyle name="_총괄보고" xfId="23056"/>
    <cellStyle name="_총괄보고 2" xfId="23057"/>
    <cellStyle name="_최저임금" xfId="23058"/>
    <cellStyle name="_최저임금 2" xfId="23059"/>
    <cellStyle name="_최종" xfId="23060"/>
    <cellStyle name="_최종 2" xfId="23061"/>
    <cellStyle name="_최종_서울숲교회 02-15" xfId="23063"/>
    <cellStyle name="_최종_서울숲교회 02-15 2" xfId="23064"/>
    <cellStyle name="_최종_서울숲교회01-19" xfId="23065"/>
    <cellStyle name="_최종_서울숲교회01-19 2" xfId="23066"/>
    <cellStyle name="_최종_서울숲교회02-07" xfId="23067"/>
    <cellStyle name="_최종_서울숲교회02-07 2" xfId="23068"/>
    <cellStyle name="_최종_서울숲교회부속실02-07" xfId="23069"/>
    <cellStyle name="_최종_서울숲교회부속실02-07 2" xfId="23070"/>
    <cellStyle name="_최종_서울숲교회부속실영상2-7" xfId="23071"/>
    <cellStyle name="_최종_서울숲교회부속실영상2-7 2" xfId="23072"/>
    <cellStyle name="_최종_효성교회견적계약" xfId="23073"/>
    <cellStyle name="_최종_효성교회견적계약 2" xfId="23074"/>
    <cellStyle name="_최종내역서" xfId="23075"/>
    <cellStyle name="_최종내역서 2" xfId="23076"/>
    <cellStyle name="_최종시아스기계_내역명2" xfId="23077"/>
    <cellStyle name="_최종-청계천 복원공사 동원계획" xfId="23062"/>
    <cellStyle name="_추가일위대가표 총괄" xfId="23078"/>
    <cellStyle name="_추가일위대가표 총괄 2" xfId="23079"/>
    <cellStyle name="_축령산야영수련장조성및기타공사(동일)" xfId="23080"/>
    <cellStyle name="_축령산야영수련장조성및기타공사(동일) 2" xfId="23081"/>
    <cellStyle name="_춘천전화국증축통신+개요" xfId="23082"/>
    <cellStyle name="_춘천전화국증축통신+개요 2" xfId="23083"/>
    <cellStyle name="_춘천합동내역+개요(수정한최종)" xfId="23084"/>
    <cellStyle name="_춘천합동내역+개요(수정한최종) 2" xfId="23085"/>
    <cellStyle name="_충남대테니스장내역서수정분" xfId="23086"/>
    <cellStyle name="_충남외고(실행)" xfId="23087"/>
    <cellStyle name="_충남외고(실행) 2" xfId="23088"/>
    <cellStyle name="_충북지방경찰청" xfId="23089"/>
    <cellStyle name="_충북지방경찰청 2" xfId="23090"/>
    <cellStyle name="_충주공용버스터미널" xfId="23091"/>
    <cellStyle name="_충주공용버스터미널 2" xfId="23092"/>
    <cellStyle name="_충주점" xfId="23093"/>
    <cellStyle name="_측량하도승인요청" xfId="23094"/>
    <cellStyle name="_측량하도승인요청 2" xfId="23095"/>
    <cellStyle name="_침입감시 견적서" xfId="23096"/>
    <cellStyle name="_침입감시 견적서 2" xfId="23097"/>
    <cellStyle name="_케노피원가 2005.8(대전조달출장소)" xfId="23098"/>
    <cellStyle name="_케노피원가 2005.8(대전조달출장소) 2" xfId="23099"/>
    <cellStyle name="_코어백앤드원가산출내역서_20050606_v1(1).0" xfId="23100"/>
    <cellStyle name="_코어백앤드원가산출내역서_20050606_v1(1).0 2" xfId="23101"/>
    <cellStyle name="_코오롱판교빌라내역(1202)" xfId="23102"/>
    <cellStyle name="_코오롱판교빌라내역(1202) 2" xfId="23103"/>
    <cellStyle name="_코원시스템사옥050907)" xfId="23104"/>
    <cellStyle name="_코원시스템사옥050907) 2" xfId="23105"/>
    <cellStyle name="_타견적" xfId="23106"/>
    <cellStyle name="_타견적 2" xfId="23107"/>
    <cellStyle name="_타견적_서울숲교회 02-15" xfId="23108"/>
    <cellStyle name="_타견적_서울숲교회 02-15 2" xfId="23109"/>
    <cellStyle name="_타견적_서울숲교회01-19" xfId="23110"/>
    <cellStyle name="_타견적_서울숲교회01-19 2" xfId="23111"/>
    <cellStyle name="_타견적_서울숲교회02-07" xfId="23112"/>
    <cellStyle name="_타견적_서울숲교회02-07 2" xfId="23113"/>
    <cellStyle name="_타견적_서울숲교회부속실02-07" xfId="23114"/>
    <cellStyle name="_타견적_서울숲교회부속실02-07 2" xfId="23115"/>
    <cellStyle name="_타견적_서울숲교회부속실영상2-7" xfId="23116"/>
    <cellStyle name="_타견적_서울숲교회부속실영상2-7 2" xfId="23117"/>
    <cellStyle name="_타견적_효성교회견적계약" xfId="23118"/>
    <cellStyle name="_타견적_효성교회견적계약 2" xfId="23119"/>
    <cellStyle name="_터미널현장 토사반입(낙찰적용,시속35)" xfId="23120"/>
    <cellStyle name="_토공" xfId="23121"/>
    <cellStyle name="_토공 2" xfId="23122"/>
    <cellStyle name="_토공사비 비교" xfId="23123"/>
    <cellStyle name="_토공사비 비교 2" xfId="23124"/>
    <cellStyle name="_토공자재집계" xfId="23125"/>
    <cellStyle name="_토목" xfId="23126"/>
    <cellStyle name="_토목 2" xfId="23127"/>
    <cellStyle name="_토목계약서(정릉)" xfId="23128"/>
    <cellStyle name="_토목계약서(정릉) 2" xfId="23129"/>
    <cellStyle name="_토목공내역서" xfId="23130"/>
    <cellStyle name="_토목공내역서 2" xfId="23131"/>
    <cellStyle name="_토적" xfId="23132"/>
    <cellStyle name="_토적 2" xfId="23133"/>
    <cellStyle name="_토적표2" xfId="23134"/>
    <cellStyle name="_토지건물 (2)" xfId="23135"/>
    <cellStyle name="_토지건물 (2) 2" xfId="23136"/>
    <cellStyle name="_통신공사원가, 단가대비" xfId="23137"/>
    <cellStyle name="_통신공사원가, 단가대비 2" xfId="23138"/>
    <cellStyle name="_통신공사원가, 단가대비_서울숲교회 02-15" xfId="23139"/>
    <cellStyle name="_통신공사원가, 단가대비_서울숲교회 02-15 2" xfId="23140"/>
    <cellStyle name="_통신공사원가, 단가대비_서울숲교회01-19" xfId="23141"/>
    <cellStyle name="_통신공사원가, 단가대비_서울숲교회01-19 2" xfId="23142"/>
    <cellStyle name="_통신공사원가, 단가대비_서울숲교회02-07" xfId="23143"/>
    <cellStyle name="_통신공사원가, 단가대비_서울숲교회02-07 2" xfId="23144"/>
    <cellStyle name="_통신공사원가, 단가대비_서울숲교회부속실02-07" xfId="23145"/>
    <cellStyle name="_통신공사원가, 단가대비_서울숲교회부속실02-07 2" xfId="23146"/>
    <cellStyle name="_통신공사원가, 단가대비_서울숲교회부속실영상2-7" xfId="23147"/>
    <cellStyle name="_통신공사원가, 단가대비_서울숲교회부속실영상2-7 2" xfId="23148"/>
    <cellStyle name="_통신공사원가, 단가대비_효성교회견적계약" xfId="23149"/>
    <cellStyle name="_통신공사원가, 단가대비_효성교회견적계약 2" xfId="23150"/>
    <cellStyle name="_통신소방산출서" xfId="23151"/>
    <cellStyle name="_통신소방산출서 2" xfId="23152"/>
    <cellStyle name="_통신소방산출서_서울숲교회 02-15" xfId="23153"/>
    <cellStyle name="_통신소방산출서_서울숲교회 02-15 2" xfId="23154"/>
    <cellStyle name="_통신소방산출서_서울숲교회01-19" xfId="23155"/>
    <cellStyle name="_통신소방산출서_서울숲교회01-19 2" xfId="23156"/>
    <cellStyle name="_통신소방산출서_서울숲교회02-07" xfId="23157"/>
    <cellStyle name="_통신소방산출서_서울숲교회02-07 2" xfId="23158"/>
    <cellStyle name="_통신소방산출서_서울숲교회부속실02-07" xfId="23159"/>
    <cellStyle name="_통신소방산출서_서울숲교회부속실02-07 2" xfId="23160"/>
    <cellStyle name="_통신소방산출서_서울숲교회부속실영상2-7" xfId="23161"/>
    <cellStyle name="_통신소방산출서_서울숲교회부속실영상2-7 2" xfId="23162"/>
    <cellStyle name="_통신소방산출서_효성교회견적계약" xfId="23163"/>
    <cellStyle name="_통신소방산출서_효성교회견적계약 2" xfId="23164"/>
    <cellStyle name="_투자전망(0320)" xfId="23165"/>
    <cellStyle name="_투자전망(0320) 2" xfId="23166"/>
    <cellStyle name="_투찰" xfId="23167"/>
    <cellStyle name="_투찰 2" xfId="23168"/>
    <cellStyle name="_투찰_Book1" xfId="23169"/>
    <cellStyle name="_투찰_Book1 2" xfId="23170"/>
    <cellStyle name="_투찰_Book1_내역서(최초)" xfId="23171"/>
    <cellStyle name="_투찰_Book1_내역서(최초) 2" xfId="23172"/>
    <cellStyle name="_투찰_Book1_설계내역서" xfId="23173"/>
    <cellStyle name="_투찰_Book1_설계내역서 2" xfId="23174"/>
    <cellStyle name="_투찰_Book1_설계내역서(2차)" xfId="23175"/>
    <cellStyle name="_투찰_Book1_설계내역서(2차) 2" xfId="23176"/>
    <cellStyle name="_투찰_P-(현리-신팔)" xfId="23177"/>
    <cellStyle name="_투찰_P-(현리-신팔) 2" xfId="23178"/>
    <cellStyle name="_투찰_P-(현리-신팔)_내역서(최초)" xfId="23179"/>
    <cellStyle name="_투찰_P-(현리-신팔)_내역서(최초) 2" xfId="23180"/>
    <cellStyle name="_투찰_P-(현리-신팔)_설계내역서" xfId="23181"/>
    <cellStyle name="_투찰_P-(현리-신팔)_설계내역서 2" xfId="23182"/>
    <cellStyle name="_투찰_P-(현리-신팔)_설계내역서(2차)" xfId="23183"/>
    <cellStyle name="_투찰_P-(현리-신팔)_설계내역서(2차) 2" xfId="23184"/>
    <cellStyle name="_투찰_내역서(최초)" xfId="23185"/>
    <cellStyle name="_투찰_내역서(최초) 2" xfId="23186"/>
    <cellStyle name="_투찰_부대결과" xfId="23187"/>
    <cellStyle name="_투찰_부대결과 2" xfId="23188"/>
    <cellStyle name="_투찰_부대결과_Book1" xfId="23189"/>
    <cellStyle name="_투찰_부대결과_Book1 2" xfId="23190"/>
    <cellStyle name="_투찰_부대결과_Book1_내역서(최초)" xfId="23191"/>
    <cellStyle name="_투찰_부대결과_Book1_내역서(최초) 2" xfId="23192"/>
    <cellStyle name="_투찰_부대결과_Book1_설계내역서" xfId="23193"/>
    <cellStyle name="_투찰_부대결과_Book1_설계내역서 2" xfId="23194"/>
    <cellStyle name="_투찰_부대결과_Book1_설계내역서(2차)" xfId="23195"/>
    <cellStyle name="_투찰_부대결과_Book1_설계내역서(2차) 2" xfId="23196"/>
    <cellStyle name="_투찰_부대결과_P-(현리-신팔)" xfId="23197"/>
    <cellStyle name="_투찰_부대결과_P-(현리-신팔) 2" xfId="23198"/>
    <cellStyle name="_투찰_부대결과_P-(현리-신팔)_내역서(최초)" xfId="23199"/>
    <cellStyle name="_투찰_부대결과_P-(현리-신팔)_내역서(최초) 2" xfId="23200"/>
    <cellStyle name="_투찰_부대결과_P-(현리-신팔)_설계내역서" xfId="23201"/>
    <cellStyle name="_투찰_부대결과_P-(현리-신팔)_설계내역서 2" xfId="23202"/>
    <cellStyle name="_투찰_부대결과_P-(현리-신팔)_설계내역서(2차)" xfId="23203"/>
    <cellStyle name="_투찰_부대결과_P-(현리-신팔)_설계내역서(2차) 2" xfId="23204"/>
    <cellStyle name="_투찰_부대결과_내역서(최초)" xfId="23205"/>
    <cellStyle name="_투찰_부대결과_내역서(최초) 2" xfId="23206"/>
    <cellStyle name="_투찰_부대결과_설계내역서" xfId="23207"/>
    <cellStyle name="_투찰_부대결과_설계내역서 2" xfId="23208"/>
    <cellStyle name="_투찰_부대결과_설계내역서(2차)" xfId="23209"/>
    <cellStyle name="_투찰_부대결과_설계내역서(2차) 2" xfId="23210"/>
    <cellStyle name="_투찰_부대결과_현리-신팔도로설계" xfId="23211"/>
    <cellStyle name="_투찰_부대결과_현리-신팔도로설계 2" xfId="23212"/>
    <cellStyle name="_투찰_부대결과_현리-신팔도로설계_내역서(최초)" xfId="23213"/>
    <cellStyle name="_투찰_부대결과_현리-신팔도로설계_내역서(최초) 2" xfId="23214"/>
    <cellStyle name="_투찰_부대결과_현리-신팔도로설계_설계내역서" xfId="23215"/>
    <cellStyle name="_투찰_부대결과_현리-신팔도로설계_설계내역서 2" xfId="23216"/>
    <cellStyle name="_투찰_부대결과_현리-신팔도로설계_설계내역서(2차)" xfId="23217"/>
    <cellStyle name="_투찰_부대결과_현리-신팔도로설계_설계내역서(2차) 2" xfId="23218"/>
    <cellStyle name="_투찰_설계내역서" xfId="23219"/>
    <cellStyle name="_투찰_설계내역서 2" xfId="23220"/>
    <cellStyle name="_투찰_설계내역서(2차)" xfId="23221"/>
    <cellStyle name="_투찰_설계내역서(2차) 2" xfId="23222"/>
    <cellStyle name="_투찰_현리-신팔도로설계" xfId="23223"/>
    <cellStyle name="_투찰_현리-신팔도로설계 2" xfId="23224"/>
    <cellStyle name="_투찰_현리-신팔도로설계_내역서(최초)" xfId="23225"/>
    <cellStyle name="_투찰_현리-신팔도로설계_내역서(최초) 2" xfId="23226"/>
    <cellStyle name="_투찰_현리-신팔도로설계_설계내역서" xfId="23227"/>
    <cellStyle name="_투찰_현리-신팔도로설계_설계내역서 2" xfId="23228"/>
    <cellStyle name="_투찰_현리-신팔도로설계_설계내역서(2차)" xfId="23229"/>
    <cellStyle name="_투찰_현리-신팔도로설계_설계내역서(2차) 2" xfId="23230"/>
    <cellStyle name="_투찰내역" xfId="23231"/>
    <cellStyle name="_투찰내역 2" xfId="23232"/>
    <cellStyle name="_파주물류센터내역서(실행)" xfId="23233"/>
    <cellStyle name="_파주물류센터내역서(실행) 2" xfId="23234"/>
    <cellStyle name="_파주출판물" xfId="23235"/>
    <cellStyle name="_파주출판물 2" xfId="23236"/>
    <cellStyle name="_팩스지" xfId="23237"/>
    <cellStyle name="_팩스지 2" xfId="23238"/>
    <cellStyle name="_팩스지_2007현황보고양식" xfId="23239"/>
    <cellStyle name="_팩스지_2007현황보고양식 2" xfId="23240"/>
    <cellStyle name="_평화중학교 신축 및 부지정지공사(검토용)" xfId="23241"/>
    <cellStyle name="_평화중학교 신축 및 부지정지공사(검토용) 2" xfId="23242"/>
    <cellStyle name="_포항교도소(대동)" xfId="23243"/>
    <cellStyle name="_포항교도소(대동) 2" xfId="23244"/>
    <cellStyle name="_포항교도소(원본)" xfId="23245"/>
    <cellStyle name="_포항교도소(원본) 2" xfId="23246"/>
    <cellStyle name="_포항실행견적내역" xfId="23247"/>
    <cellStyle name="_포항실행견적내역 2" xfId="23248"/>
    <cellStyle name="_포항점1공구변경내역서" xfId="23249"/>
    <cellStyle name="_포항점1공구변경내역서 2" xfId="23250"/>
    <cellStyle name="_포항점내역(건설본부)" xfId="23251"/>
    <cellStyle name="_표지" xfId="23252"/>
    <cellStyle name="_표지 2" xfId="23253"/>
    <cellStyle name="_표지(전기+통신+소방)" xfId="23254"/>
    <cellStyle name="_표지(전기+통신+소방) 2" xfId="23255"/>
    <cellStyle name="_표지(전기+통신+소방)_서울숲교회 02-15" xfId="23256"/>
    <cellStyle name="_표지(전기+통신+소방)_서울숲교회 02-15 2" xfId="23257"/>
    <cellStyle name="_표지(전기+통신+소방)_서울숲교회01-19" xfId="23258"/>
    <cellStyle name="_표지(전기+통신+소방)_서울숲교회01-19 2" xfId="23259"/>
    <cellStyle name="_표지(전기+통신+소방)_서울숲교회02-07" xfId="23260"/>
    <cellStyle name="_표지(전기+통신+소방)_서울숲교회02-07 2" xfId="23261"/>
    <cellStyle name="_표지(전기+통신+소방)_서울숲교회부속실02-07" xfId="23262"/>
    <cellStyle name="_표지(전기+통신+소방)_서울숲교회부속실02-07 2" xfId="23263"/>
    <cellStyle name="_표지(전기+통신+소방)_서울숲교회부속실영상2-7" xfId="23264"/>
    <cellStyle name="_표지(전기+통신+소방)_서울숲교회부속실영상2-7 2" xfId="23265"/>
    <cellStyle name="_표지(전기+통신+소방)_효성교회견적계약" xfId="23266"/>
    <cellStyle name="_표지(전기+통신+소방)_효성교회견적계약 2" xfId="23267"/>
    <cellStyle name="_표지10" xfId="23268"/>
    <cellStyle name="_표지10 2" xfId="23269"/>
    <cellStyle name="_표지6" xfId="23270"/>
    <cellStyle name="_표지6 2" xfId="23271"/>
    <cellStyle name="_표지8" xfId="23272"/>
    <cellStyle name="_표지8 2" xfId="23273"/>
    <cellStyle name="_표지및원가계산" xfId="23274"/>
    <cellStyle name="_표지및원가계산 2" xfId="23275"/>
    <cellStyle name="_품의(외벽로프공)" xfId="23276"/>
    <cellStyle name="_품의(외벽로프공) 2" xfId="23277"/>
    <cellStyle name="_풋살경기장내역서" xfId="23278"/>
    <cellStyle name="_하나로정보센터 견적(각층별 최종)" xfId="23279"/>
    <cellStyle name="_하나로정보센터 견적(각층별 최종) 2" xfId="23280"/>
    <cellStyle name="_하도급분류- 대전노은2-1" xfId="23281"/>
    <cellStyle name="_하도급분류- 대전노은2-1 2" xfId="23282"/>
    <cellStyle name="_하도급분류- 대전노은2-1_내역서(건설사)" xfId="23283"/>
    <cellStyle name="_하도급분류- 대전노은2-1_내역서(건설사) 2" xfId="23284"/>
    <cellStyle name="_하도급분류- 대전노은2-1_내역서(작업)" xfId="23285"/>
    <cellStyle name="_하도급분류- 대전노은2-1_내역서(작업) 2" xfId="23286"/>
    <cellStyle name="_하도급분류- 대전노은2-1_하도급분류- 대전노은2-1" xfId="23287"/>
    <cellStyle name="_하도급분류- 대전노은2-1_하도급분류- 대전노은2-1 2" xfId="23288"/>
    <cellStyle name="_하도급분류- 대전노은2-1_하도급분류- 대전노은2-1_내역서(건설사)" xfId="23289"/>
    <cellStyle name="_하도급분류- 대전노은2-1_하도급분류- 대전노은2-1_내역서(건설사) 2" xfId="23290"/>
    <cellStyle name="_하도급분류- 대전노은2-1_하도급분류- 대전노은2-1_내역서(작업)" xfId="23291"/>
    <cellStyle name="_하도급분류- 대전노은2-1_하도급분류- 대전노은2-1_내역서(작업) 2" xfId="23292"/>
    <cellStyle name="_하도급분류- 대전노은2-1_하도급분류- 대전노은2-1_용인동백공사비분석" xfId="23293"/>
    <cellStyle name="_하도급분류- 대전노은2-1_하도급분류- 대전노은2-1_용인동백공사비분석 2" xfId="23294"/>
    <cellStyle name="_하도급분류- 대전노은2-1_하도급분류- 대전노은2-1_용인동백공사비분석_내역서(건설사)" xfId="23295"/>
    <cellStyle name="_하도급분류- 대전노은2-1_하도급분류- 대전노은2-1_용인동백공사비분석_내역서(건설사) 2" xfId="23296"/>
    <cellStyle name="_하도급분류- 대전노은2-1_하도급분류- 대전노은2-1_용인동백공사비분석_내역서(작업)" xfId="23297"/>
    <cellStyle name="_하도급분류- 대전노은2-1_하도급분류- 대전노은2-1_용인동백공사비분석_내역서(작업) 2" xfId="23298"/>
    <cellStyle name="_하도급양식" xfId="23299"/>
    <cellStyle name="_하도급양식 2" xfId="23300"/>
    <cellStyle name="_한경기숙사설계내역서(방송)-2월16일" xfId="23301"/>
    <cellStyle name="_한경기숙사설계내역서(방송)-2월16일 2" xfId="23302"/>
    <cellStyle name="_한서초(정문)수정3" xfId="23303"/>
    <cellStyle name="_한서초(정문)수정3 2" xfId="23304"/>
    <cellStyle name="_한솔건설(주)" xfId="23305"/>
    <cellStyle name="_한솔건설(주) 2" xfId="23306"/>
    <cellStyle name="_한전연구견적" xfId="23307"/>
    <cellStyle name="_한전연구견적 2" xfId="23308"/>
    <cellStyle name="_합성수지창호" xfId="23309"/>
    <cellStyle name="_합성수지창호 2" xfId="23310"/>
    <cellStyle name="_합성수지창호_매크로1_분양_메뉴얼(200809)" xfId="23311"/>
    <cellStyle name="_합성수지창호_매크로1_분양_메뉴얼(200809) 2" xfId="23312"/>
    <cellStyle name="_합성수지창호_매크로1_분양_메뉴얼(200809)_09년상반기" xfId="23313"/>
    <cellStyle name="_합성수지창호_매크로1_분양_메뉴얼(200809)_09년상반기 2" xfId="23314"/>
    <cellStyle name="_합성수지창호_매크로1_분양_메뉴얼(200909)_09년하반기" xfId="23315"/>
    <cellStyle name="_합성수지창호_매크로1_분양_메뉴얼(200909)_09년하반기 2" xfId="23316"/>
    <cellStyle name="_합성수지창호_매크로1_분양_메뉴얼(최종)_2008년_03월_수정하기_08.04.01" xfId="23317"/>
    <cellStyle name="_합성수지창호_매크로1_분양_메뉴얼(최종)_2008년_03월_수정하기_08.04.01 (version 1)" xfId="23318"/>
    <cellStyle name="_합성수지창호_매크로1_분양_메뉴얼(최종)_2008년_03월_수정하기_08.04.01 (version 1) 2" xfId="23319"/>
    <cellStyle name="_합성수지창호_매크로1_분양_메뉴얼(최종)_2008년_03월_수정하기_08.04.01 2" xfId="23320"/>
    <cellStyle name="_합성수지창호산출(060901)-tool" xfId="23321"/>
    <cellStyle name="_합성수지창호산출(060901)-tool 2" xfId="23322"/>
    <cellStyle name="_합성수지창호산출(070101)" xfId="23323"/>
    <cellStyle name="_합성수지창호산출(070101) 2" xfId="23324"/>
    <cellStyle name="_합성수지창호산출_080314" xfId="23325"/>
    <cellStyle name="_합성수지창호산출_080314 2" xfId="23326"/>
    <cellStyle name="_합성수지창호산출_TOOL(071026)" xfId="23327"/>
    <cellStyle name="_합성수지창호산출_TOOL(071026) 2" xfId="23328"/>
    <cellStyle name="_합성수지창호산출_TOOL(071201)" xfId="23329"/>
    <cellStyle name="_합성수지창호산출_TOOL(071201) 2" xfId="23330"/>
    <cellStyle name="_합의서" xfId="23331"/>
    <cellStyle name="_합의서_범향 구월동 교회" xfId="23332"/>
    <cellStyle name="_합의서_선정안(삼산)" xfId="23333"/>
    <cellStyle name="_합의서_선정안(삼산)_범향 구월동 교회" xfId="23334"/>
    <cellStyle name="_합의서_추풍령" xfId="23335"/>
    <cellStyle name="_합의서_추풍령_범향 구월동 교회" xfId="23338"/>
    <cellStyle name="_합의서_추풍령-1" xfId="23336"/>
    <cellStyle name="_합의서_추풍령-1_범향 구월동 교회" xfId="23337"/>
    <cellStyle name="_합천임대아파트내역서(토적표외)" xfId="23339"/>
    <cellStyle name="_합천임대아파트내역서(토적표외) 2" xfId="23340"/>
    <cellStyle name="_해태마트동작점A" xfId="23341"/>
    <cellStyle name="_해태마트동작점A 2" xfId="23342"/>
    <cellStyle name="_현대건설 대구UP" xfId="23343"/>
    <cellStyle name="_현대건설 대구UP 2" xfId="23344"/>
    <cellStyle name="_현대건설 대구대천" xfId="23345"/>
    <cellStyle name="_현대건설 대구대천 2" xfId="23346"/>
    <cellStyle name="_현대건설 신문로" xfId="23347"/>
    <cellStyle name="_현대건설 신문로 2" xfId="23348"/>
    <cellStyle name="_현대건설 아산홈타운" xfId="23349"/>
    <cellStyle name="_현대건설 아산홈타운 2" xfId="23350"/>
    <cellStyle name="_현대건설 용산" xfId="23351"/>
    <cellStyle name="_현대건설 용산 2" xfId="23352"/>
    <cellStyle name="_현대건설 용인상현리" xfId="23353"/>
    <cellStyle name="_현대건설 용인상현리 2" xfId="23354"/>
    <cellStyle name="_현리-신팔도로설계" xfId="23355"/>
    <cellStyle name="_현리-신팔도로설계 2" xfId="23356"/>
    <cellStyle name="_현리-신팔도로설계_내역서(최초)" xfId="23357"/>
    <cellStyle name="_현리-신팔도로설계_내역서(최초) 2" xfId="23358"/>
    <cellStyle name="_현리-신팔도로설계_설계내역서" xfId="23359"/>
    <cellStyle name="_현리-신팔도로설계_설계내역서 2" xfId="23360"/>
    <cellStyle name="_현리-신팔도로설계_설계내역서(2차)" xfId="23361"/>
    <cellStyle name="_현리-신팔도로설계_설계내역서(2차) 2" xfId="23362"/>
    <cellStyle name="_현황정리_리빙1" xfId="23363"/>
    <cellStyle name="_현황정리_리빙1 2" xfId="23364"/>
    <cellStyle name="_현황정리_사업부요청" xfId="23365"/>
    <cellStyle name="_현황정리_사업부요청 2" xfId="23366"/>
    <cellStyle name="_현황정리_사업부요청투자" xfId="23367"/>
    <cellStyle name="_현황정리_사업부요청투자 2" xfId="23368"/>
    <cellStyle name="_협력업체list" xfId="23369"/>
    <cellStyle name="_협의회부속1103" xfId="23370"/>
    <cellStyle name="_협의회부속1103 2" xfId="23371"/>
    <cellStyle name="_협의회부속양식_최종" xfId="23372"/>
    <cellStyle name="_협의회부속양식_최종 2" xfId="23373"/>
    <cellStyle name="_형곡고등학교 - 내역서(3자단가 품목)" xfId="23374"/>
    <cellStyle name="_형곡고등학교 - 내역서(3자단가 품목) 2" xfId="23375"/>
    <cellStyle name="_호남선두계역외2개소연결통로" xfId="23376"/>
    <cellStyle name="_호남선두계역외2개소연결통로 2" xfId="23377"/>
    <cellStyle name="_호텔동 임시동력공사" xfId="23378"/>
    <cellStyle name="_호텔약전전기공사(1공구)-발의" xfId="23379"/>
    <cellStyle name="_호텔약전전기공사(1공구)-발의 2" xfId="23380"/>
    <cellStyle name="_홈플러스 대구칠성점 내역서 " xfId="23381"/>
    <cellStyle name="_홈플러스인천가좌점-수의계약용" xfId="23382"/>
    <cellStyle name="_홈플러스인천가좌점-수의계약용 2" xfId="23383"/>
    <cellStyle name="_홍대,화정견적" xfId="23384"/>
    <cellStyle name="_홍제초등학교(강산)" xfId="23385"/>
    <cellStyle name="_홍제초등학교(강산) 2" xfId="23386"/>
    <cellStyle name="_홍천중(강임계약내역)" xfId="23387"/>
    <cellStyle name="_홍천중(강임계약내역) 2" xfId="23388"/>
    <cellStyle name="_화동초-전기" xfId="23389"/>
    <cellStyle name="_화동초-전기 2" xfId="23390"/>
    <cellStyle name="_화동초-전기_서울숲교회 02-15" xfId="23391"/>
    <cellStyle name="_화동초-전기_서울숲교회 02-15 2" xfId="23392"/>
    <cellStyle name="_화동초-전기_서울숲교회01-19" xfId="23393"/>
    <cellStyle name="_화동초-전기_서울숲교회01-19 2" xfId="23394"/>
    <cellStyle name="_화동초-전기_서울숲교회02-07" xfId="23395"/>
    <cellStyle name="_화동초-전기_서울숲교회02-07 2" xfId="23396"/>
    <cellStyle name="_화동초-전기_서울숲교회부속실02-07" xfId="23397"/>
    <cellStyle name="_화동초-전기_서울숲교회부속실02-07 2" xfId="23398"/>
    <cellStyle name="_화동초-전기_서울숲교회부속실영상2-7" xfId="23399"/>
    <cellStyle name="_화동초-전기_서울숲교회부속실영상2-7 2" xfId="23400"/>
    <cellStyle name="_화동초-전기_효성교회견적계약" xfId="23401"/>
    <cellStyle name="_화동초-전기_효성교회견적계약 2" xfId="23402"/>
    <cellStyle name="_화명 일반전기(금양) 정산" xfId="23403"/>
    <cellStyle name="_화명통신정산" xfId="23404"/>
    <cellStyle name="_화성점공조제연닥트(견적실행)" xfId="23405"/>
    <cellStyle name="_화성점공조제연닥트(견적실행) 2" xfId="23406"/>
    <cellStyle name="_화성태안아파트" xfId="23407"/>
    <cellStyle name="_화성태안아파트 2" xfId="23408"/>
    <cellStyle name="_화성팔탄내역서" xfId="23409"/>
    <cellStyle name="_화장실내역" xfId="23410"/>
    <cellStyle name="_화장실내역 2" xfId="23411"/>
    <cellStyle name="_화장실내역_서울숲교회 02-15" xfId="23412"/>
    <cellStyle name="_화장실내역_서울숲교회 02-15 2" xfId="23413"/>
    <cellStyle name="_화장실내역_서울숲교회01-19" xfId="23414"/>
    <cellStyle name="_화장실내역_서울숲교회01-19 2" xfId="23415"/>
    <cellStyle name="_화장실내역_서울숲교회02-07" xfId="23416"/>
    <cellStyle name="_화장실내역_서울숲교회02-07 2" xfId="23417"/>
    <cellStyle name="_화장실내역_서울숲교회부속실02-07" xfId="23418"/>
    <cellStyle name="_화장실내역_서울숲교회부속실02-07 2" xfId="23419"/>
    <cellStyle name="_화장실내역_서울숲교회부속실영상2-7" xfId="23420"/>
    <cellStyle name="_화장실내역_서울숲교회부속실영상2-7 2" xfId="23421"/>
    <cellStyle name="_화장실내역_효성교회견적계약" xfId="23422"/>
    <cellStyle name="_화장실내역_효성교회견적계약 2" xfId="23423"/>
    <cellStyle name="_환POSITION" xfId="23424"/>
    <cellStyle name="_환POSITION 2" xfId="23425"/>
    <cellStyle name="_황산교회" xfId="23426"/>
    <cellStyle name="_황산교회 2" xfId="23427"/>
    <cellStyle name="_횡천교 교각수량" xfId="23428"/>
    <cellStyle name="_횡천교 교각수량 산출 및 집계" xfId="23429"/>
    <cellStyle name="_횡천교 교대 수량산출" xfId="23430"/>
    <cellStyle name="_효성교회견적계약" xfId="23431"/>
    <cellStyle name="_효성교회견적계약 2" xfId="23432"/>
    <cellStyle name="_효성교회견적계약_서울숲교회01-19" xfId="23433"/>
    <cellStyle name="_효성교회견적계약_서울숲교회01-19 2" xfId="23434"/>
    <cellStyle name="_효성교회견적계약_서울숲교회부속실02-07" xfId="23435"/>
    <cellStyle name="_효성교회견적계약_서울숲교회부속실02-07 2" xfId="23436"/>
    <cellStyle name="_휴게소-결재" xfId="23437"/>
    <cellStyle name="_휴게소-결재 2" xfId="23438"/>
    <cellStyle name="_휴게소-결재_내역서(건설사)" xfId="23439"/>
    <cellStyle name="_휴게소-결재_내역서(건설사) 2" xfId="23440"/>
    <cellStyle name="_휴게소-결재_내역서(작업)" xfId="23441"/>
    <cellStyle name="_휴게소-결재_내역서(작업) 2" xfId="23442"/>
    <cellStyle name="_흙막이공사(일위)" xfId="23443"/>
    <cellStyle name="_흙막이공사(일위) 2" xfId="23444"/>
    <cellStyle name="¡¾¨u￠￢ⓒ÷A¨u," xfId="28016"/>
    <cellStyle name="¡¾¨u￠￢ⓒ÷A¨u, 2" xfId="28017"/>
    <cellStyle name="¡E￠￥@?e_TEST-1 " xfId="28015"/>
    <cellStyle name="´þ·?" xfId="28133"/>
    <cellStyle name="´þ·? 2" xfId="28134"/>
    <cellStyle name="´þ·¯" xfId="28135"/>
    <cellStyle name="´þ·¯ 2" xfId="28136"/>
    <cellStyle name="’E‰Y [0.00]_laroux" xfId="31014"/>
    <cellStyle name="’E‰Y_laroux" xfId="31015"/>
    <cellStyle name="¤@?e_TEST-1 " xfId="28018"/>
    <cellStyle name="\MNPREF32.DLL&amp;" xfId="8740"/>
    <cellStyle name="\MNPREF32.DLL&amp; 2" xfId="8741"/>
    <cellStyle name="+,-,0" xfId="4930"/>
    <cellStyle name="+,-,0 2" xfId="4931"/>
    <cellStyle name="≫o±O[0]_≫a×U " xfId="31016"/>
    <cellStyle name="≫o±O_≫a×U " xfId="31017"/>
    <cellStyle name="△ []" xfId="31024"/>
    <cellStyle name="△ [] 2" xfId="31025"/>
    <cellStyle name="△ [0]" xfId="31022"/>
    <cellStyle name="△ [0] 2" xfId="31023"/>
    <cellStyle name="△백분율" xfId="31026"/>
    <cellStyle name="△백분율 2" xfId="31027"/>
    <cellStyle name="△콤마" xfId="31028"/>
    <cellStyle name="△콤마 2" xfId="31029"/>
    <cellStyle name="°ia¤¼o " xfId="28037"/>
    <cellStyle name="°ia¤¼o  2" xfId="28038"/>
    <cellStyle name="°ia¤¼o  2 2" xfId="28039"/>
    <cellStyle name="°ia¤¼o  3" xfId="28040"/>
    <cellStyle name="°ia¤¼o  3 2" xfId="28041"/>
    <cellStyle name="°ia¤¼o  4" xfId="28042"/>
    <cellStyle name="°ia¤¼o  4 2" xfId="28043"/>
    <cellStyle name="°ia¤¼o  5" xfId="28044"/>
    <cellStyle name="°ia¤¼o  5 2" xfId="28045"/>
    <cellStyle name="°ia¤¼o  6" xfId="28046"/>
    <cellStyle name="°ia¤¼o  6 2" xfId="28047"/>
    <cellStyle name="°ia¤¼o  7" xfId="28048"/>
    <cellStyle name="°ia¤¼o  7 2" xfId="28049"/>
    <cellStyle name="°ia¤¼o  8" xfId="28050"/>
    <cellStyle name="°ia¤¼o¼ya¡" xfId="28051"/>
    <cellStyle name="°íá¤¼ò¼ýá¡" xfId="28113"/>
    <cellStyle name="°íÁ¤¼Ò¼ýÁ¡ 10" xfId="28053"/>
    <cellStyle name="°íÁ¤¼Ò¼ýÁ¡ 10 2" xfId="28054"/>
    <cellStyle name="°íÁ¤¼Ò¼ýÁ¡ 11" xfId="28055"/>
    <cellStyle name="°íÁ¤¼Ò¼ýÁ¡ 11 2" xfId="28056"/>
    <cellStyle name="°íá¤¼ò¼ýá¡ 12" xfId="28114"/>
    <cellStyle name="°íá¤¼ò¼ýá¡ 12 2" xfId="28115"/>
    <cellStyle name="°íá¤¼ò¼ýá¡ 13" xfId="28116"/>
    <cellStyle name="°ia¤¼o¼ya¡ 2" xfId="28052"/>
    <cellStyle name="°íÁ¤¼Ò¼ýÁ¡ 2" xfId="28057"/>
    <cellStyle name="°íÁ¤¼Ò¼ýÁ¡ 2 2" xfId="28058"/>
    <cellStyle name="°íÁ¤¼Ò¼ýÁ¡ 3" xfId="28059"/>
    <cellStyle name="°íÁ¤¼Ò¼ýÁ¡ 3 2" xfId="28060"/>
    <cellStyle name="°íÁ¤¼Ò¼ýÁ¡ 4" xfId="28061"/>
    <cellStyle name="°íÁ¤¼Ò¼ýÁ¡ 4 2" xfId="28062"/>
    <cellStyle name="°íÁ¤¼Ò¼ýÁ¡ 5" xfId="28063"/>
    <cellStyle name="°íÁ¤¼Ò¼ýÁ¡ 5 2" xfId="28064"/>
    <cellStyle name="°íÁ¤¼Ò¼ýÁ¡ 6" xfId="28065"/>
    <cellStyle name="°íÁ¤¼Ò¼ýÁ¡ 6 2" xfId="28066"/>
    <cellStyle name="°íÁ¤¼Ò¼ýÁ¡ 7" xfId="28067"/>
    <cellStyle name="°íÁ¤¼Ò¼ýÁ¡ 7 2" xfId="28068"/>
    <cellStyle name="°íÁ¤¼Ò¼ýÁ¡ 8" xfId="28069"/>
    <cellStyle name="°íÁ¤¼Ò¼ýÁ¡ 8 2" xfId="28070"/>
    <cellStyle name="°íÁ¤¼Ò¼ýÁ¡ 9" xfId="28071"/>
    <cellStyle name="°íÁ¤¼Ò¼ýÁ¡ 9 2" xfId="28072"/>
    <cellStyle name="°ia¤aa " xfId="28019"/>
    <cellStyle name="°ia¤aa  2" xfId="28020"/>
    <cellStyle name="°ia¤aa  2 2" xfId="28021"/>
    <cellStyle name="°ia¤aa  3" xfId="28022"/>
    <cellStyle name="°ia¤aa  3 2" xfId="28023"/>
    <cellStyle name="°ia¤aa  4" xfId="28024"/>
    <cellStyle name="°ia¤aa  4 2" xfId="28025"/>
    <cellStyle name="°ia¤aa  5" xfId="28026"/>
    <cellStyle name="°ia¤aa  5 2" xfId="28027"/>
    <cellStyle name="°ia¤aa  6" xfId="28028"/>
    <cellStyle name="°ia¤aa  6 2" xfId="28029"/>
    <cellStyle name="°ia¤aa  7" xfId="28030"/>
    <cellStyle name="°ia¤aa  7 2" xfId="28031"/>
    <cellStyle name="°ia¤aa  8" xfId="28032"/>
    <cellStyle name="°ia¤aa·a1" xfId="28033"/>
    <cellStyle name="°íá¤ãâ·â1" xfId="28117"/>
    <cellStyle name="°íÁ¤Ãâ·Â1 10" xfId="28073"/>
    <cellStyle name="°íÁ¤Ãâ·Â1 10 2" xfId="28074"/>
    <cellStyle name="°íÁ¤Ãâ·Â1 11" xfId="28075"/>
    <cellStyle name="°íÁ¤Ãâ·Â1 11 2" xfId="28076"/>
    <cellStyle name="°íá¤ãâ·â1 12" xfId="28118"/>
    <cellStyle name="°íá¤ãâ·â1 12 2" xfId="28119"/>
    <cellStyle name="°íá¤ãâ·â1 13" xfId="28120"/>
    <cellStyle name="°ia¤aa·a1 2" xfId="28034"/>
    <cellStyle name="°íÁ¤Ãâ·Â1 2" xfId="28077"/>
    <cellStyle name="°íÁ¤Ãâ·Â1 2 2" xfId="28078"/>
    <cellStyle name="°íÁ¤Ãâ·Â1 3" xfId="28079"/>
    <cellStyle name="°íÁ¤Ãâ·Â1 3 2" xfId="28080"/>
    <cellStyle name="°íÁ¤Ãâ·Â1 4" xfId="28081"/>
    <cellStyle name="°íÁ¤Ãâ·Â1 4 2" xfId="28082"/>
    <cellStyle name="°íÁ¤Ãâ·Â1 5" xfId="28083"/>
    <cellStyle name="°íÁ¤Ãâ·Â1 5 2" xfId="28084"/>
    <cellStyle name="°íÁ¤Ãâ·Â1 6" xfId="28085"/>
    <cellStyle name="°íÁ¤Ãâ·Â1 6 2" xfId="28086"/>
    <cellStyle name="°íÁ¤Ãâ·Â1 7" xfId="28087"/>
    <cellStyle name="°íÁ¤Ãâ·Â1 7 2" xfId="28088"/>
    <cellStyle name="°íÁ¤Ãâ·Â1 8" xfId="28089"/>
    <cellStyle name="°íÁ¤Ãâ·Â1 8 2" xfId="28090"/>
    <cellStyle name="°íÁ¤Ãâ·Â1 9" xfId="28091"/>
    <cellStyle name="°íÁ¤Ãâ·Â1 9 2" xfId="28092"/>
    <cellStyle name="°ia¤aa·a2" xfId="28035"/>
    <cellStyle name="°íá¤ãâ·â2" xfId="28121"/>
    <cellStyle name="°íÁ¤Ãâ·Â2 10" xfId="28093"/>
    <cellStyle name="°íÁ¤Ãâ·Â2 10 2" xfId="28094"/>
    <cellStyle name="°íÁ¤Ãâ·Â2 11" xfId="28095"/>
    <cellStyle name="°íÁ¤Ãâ·Â2 11 2" xfId="28096"/>
    <cellStyle name="°íá¤ãâ·â2 12" xfId="28122"/>
    <cellStyle name="°íá¤ãâ·â2 12 2" xfId="28123"/>
    <cellStyle name="°íá¤ãâ·â2 13" xfId="28124"/>
    <cellStyle name="°ia¤aa·a2 2" xfId="28036"/>
    <cellStyle name="°íÁ¤Ãâ·Â2 2" xfId="28097"/>
    <cellStyle name="°íÁ¤Ãâ·Â2 2 2" xfId="28098"/>
    <cellStyle name="°íÁ¤Ãâ·Â2 3" xfId="28099"/>
    <cellStyle name="°íÁ¤Ãâ·Â2 3 2" xfId="28100"/>
    <cellStyle name="°íÁ¤Ãâ·Â2 4" xfId="28101"/>
    <cellStyle name="°íÁ¤Ãâ·Â2 4 2" xfId="28102"/>
    <cellStyle name="°íÁ¤Ãâ·Â2 5" xfId="28103"/>
    <cellStyle name="°íÁ¤Ãâ·Â2 5 2" xfId="28104"/>
    <cellStyle name="°íÁ¤Ãâ·Â2 6" xfId="28105"/>
    <cellStyle name="°íÁ¤Ãâ·Â2 6 2" xfId="28106"/>
    <cellStyle name="°íÁ¤Ãâ·Â2 7" xfId="28107"/>
    <cellStyle name="°íÁ¤Ãâ·Â2 7 2" xfId="28108"/>
    <cellStyle name="°íÁ¤Ãâ·Â2 8" xfId="28109"/>
    <cellStyle name="°íÁ¤Ãâ·Â2 8 2" xfId="28110"/>
    <cellStyle name="°íÁ¤Ãâ·Â2 9" xfId="28111"/>
    <cellStyle name="°íÁ¤Ãâ·Â2 9 2" xfId="28112"/>
    <cellStyle name="" xfId="28006"/>
    <cellStyle name="_x0007_ _x000d__x000d_­­_x0007_ ­" xfId="28007"/>
    <cellStyle name="_x005f_x0007_ _x005f_x000d__x005f_x000d_­­_x005f_x0007_ ­" xfId="28008"/>
    <cellStyle name="æØè [0.00]_NT Server " xfId="28009"/>
    <cellStyle name="æØè_NT Server " xfId="28010"/>
    <cellStyle name="ÊÝ [0.00]_NT Server " xfId="28011"/>
    <cellStyle name="ÊÝ_NT Server " xfId="28012"/>
    <cellStyle name="W?_½RmF¼° " xfId="28013"/>
    <cellStyle name="W_Pacific Region P&amp;L" xfId="28014"/>
    <cellStyle name="0" xfId="4940"/>
    <cellStyle name="0 2" xfId="4941"/>
    <cellStyle name="0%" xfId="4942"/>
    <cellStyle name="0% 2" xfId="4943"/>
    <cellStyle name="0,0_x000d__x000a_NA_x000d__x000a_" xfId="4944"/>
    <cellStyle name="0,0_x000d__x000a_NA_x000d__x000a_ 2" xfId="4945"/>
    <cellStyle name="0,0_x000d__x000a_NA_x000d__x000a_ 2 2" xfId="4946"/>
    <cellStyle name="0,0_x000d__x000a_NA_x000d__x000a_ 3" xfId="4947"/>
    <cellStyle name="0.0" xfId="4948"/>
    <cellStyle name="0.0 2" xfId="4949"/>
    <cellStyle name="0.0%" xfId="4950"/>
    <cellStyle name="0.0% 2" xfId="4951"/>
    <cellStyle name="0.00" xfId="4952"/>
    <cellStyle name="0.00 2" xfId="4953"/>
    <cellStyle name="0.00%" xfId="4954"/>
    <cellStyle name="0.00% 2" xfId="4955"/>
    <cellStyle name="0.000%" xfId="4956"/>
    <cellStyle name="0.000% 2" xfId="4957"/>
    <cellStyle name="0.0000%" xfId="4958"/>
    <cellStyle name="0.0000% 2" xfId="4959"/>
    <cellStyle name="0_발주내역서 " xfId="4964"/>
    <cellStyle name="00" xfId="4960"/>
    <cellStyle name="00 2" xfId="4961"/>
    <cellStyle name="00?" xfId="4962"/>
    <cellStyle name="00? 2" xfId="4963"/>
    <cellStyle name="1" xfId="4965"/>
    <cellStyle name="1 10" xfId="4966"/>
    <cellStyle name="1 10 2" xfId="4967"/>
    <cellStyle name="1 11" xfId="4968"/>
    <cellStyle name="1 11 2" xfId="4969"/>
    <cellStyle name="1 12" xfId="4970"/>
    <cellStyle name="1 12 2" xfId="4971"/>
    <cellStyle name="1 13" xfId="4972"/>
    <cellStyle name="1 2" xfId="4973"/>
    <cellStyle name="1 2 2" xfId="4974"/>
    <cellStyle name="1 3" xfId="4975"/>
    <cellStyle name="1 3 2" xfId="4976"/>
    <cellStyle name="1 4" xfId="4977"/>
    <cellStyle name="1 4 2" xfId="4978"/>
    <cellStyle name="1 5" xfId="4979"/>
    <cellStyle name="1 5 2" xfId="4980"/>
    <cellStyle name="1 6" xfId="4981"/>
    <cellStyle name="1 6 2" xfId="4982"/>
    <cellStyle name="1 7" xfId="4983"/>
    <cellStyle name="1 7 2" xfId="4984"/>
    <cellStyle name="1 8" xfId="4985"/>
    <cellStyle name="1 8 2" xfId="4986"/>
    <cellStyle name="1 9" xfId="4987"/>
    <cellStyle name="1 9 2" xfId="4988"/>
    <cellStyle name="1.XLS" xfId="4989"/>
    <cellStyle name="1.XLS 2" xfId="4990"/>
    <cellStyle name="1_2.20작은자리최종내역-기계설비" xfId="4999"/>
    <cellStyle name="1_20030305058-01_천안불당중 (공내역서)" xfId="5000"/>
    <cellStyle name="1_20030305058-01_천안불당중 (공내역서) 2" xfId="5001"/>
    <cellStyle name="1_345kv신안산변전토건공사(해동완료)" xfId="5002"/>
    <cellStyle name="1_345kv신안산변전토건공사(해동완료) 2" xfId="5003"/>
    <cellStyle name="1_Book1" xfId="5004"/>
    <cellStyle name="1_Book1 2" xfId="5005"/>
    <cellStyle name="1_Book2" xfId="5006"/>
    <cellStyle name="1_Book2 2" xfId="5007"/>
    <cellStyle name="1_Book3" xfId="5008"/>
    <cellStyle name="1_Book3 2" xfId="5009"/>
    <cellStyle name="1_Book3_1" xfId="5010"/>
    <cellStyle name="1_Book3_1 2" xfId="5011"/>
    <cellStyle name="1_Book4" xfId="5012"/>
    <cellStyle name="1_Book4 2" xfId="5013"/>
    <cellStyle name="1_laroux" xfId="5014"/>
    <cellStyle name="1_laroux 2" xfId="5015"/>
    <cellStyle name="1_laroux_ATC-YOON1" xfId="5016"/>
    <cellStyle name="1_laroux_ATC-YOON1 2" xfId="5017"/>
    <cellStyle name="1_tree_10.24종합_NEW단위수량-주산_발주내역서 " xfId="5018"/>
    <cellStyle name="1_tree_10.24종합_남대천단위수량_발주내역서 " xfId="5019"/>
    <cellStyle name="1_tree_10.24종합_단위수량_발주내역서 " xfId="5022"/>
    <cellStyle name="1_tree_10.24종합_단위수량1_발주내역서 " xfId="5021"/>
    <cellStyle name="1_tree_10.24종합_단위수량15_발주내역서 " xfId="5020"/>
    <cellStyle name="1_tree_10.24종합_도곡단위수량_발주내역서 " xfId="5023"/>
    <cellStyle name="1_tree_10.24종합_발주내역서 " xfId="5024"/>
    <cellStyle name="1_tree_10.24종합_수량산출서-11.25_NEW단위수량-주산_발주내역서 " xfId="5025"/>
    <cellStyle name="1_tree_10.24종합_수량산출서-11.25_남대천단위수량_발주내역서 " xfId="5026"/>
    <cellStyle name="1_tree_10.24종합_수량산출서-11.25_단위수량_발주내역서 " xfId="5029"/>
    <cellStyle name="1_tree_10.24종합_수량산출서-11.25_단위수량1_발주내역서 " xfId="5028"/>
    <cellStyle name="1_tree_10.24종합_수량산출서-11.25_단위수량15_발주내역서 " xfId="5027"/>
    <cellStyle name="1_tree_10.24종합_수량산출서-11.25_도곡단위수량_발주내역서 " xfId="5030"/>
    <cellStyle name="1_tree_10.24종합_수량산출서-11.25_발주내역서 " xfId="5031"/>
    <cellStyle name="1_tree_10.24종합_수량산출서-11.25_철거단위수량_발주내역서 " xfId="5032"/>
    <cellStyle name="1_tree_10.24종합_수량산출서-11.25_철거수량_발주내역서 " xfId="5033"/>
    <cellStyle name="1_tree_10.24종합_수량산출서-11.25_한수단위수량_발주내역서 " xfId="5034"/>
    <cellStyle name="1_tree_10.24종합_수량산출서-1201_NEW단위수량-주산_발주내역서 " xfId="5035"/>
    <cellStyle name="1_tree_10.24종합_수량산출서-1201_남대천단위수량_발주내역서 " xfId="5036"/>
    <cellStyle name="1_tree_10.24종합_수량산출서-1201_단위수량_발주내역서 " xfId="5039"/>
    <cellStyle name="1_tree_10.24종합_수량산출서-1201_단위수량1_발주내역서 " xfId="5038"/>
    <cellStyle name="1_tree_10.24종합_수량산출서-1201_단위수량15_발주내역서 " xfId="5037"/>
    <cellStyle name="1_tree_10.24종합_수량산출서-1201_도곡단위수량_발주내역서 " xfId="5040"/>
    <cellStyle name="1_tree_10.24종합_수량산출서-1201_발주내역서 " xfId="5041"/>
    <cellStyle name="1_tree_10.24종합_수량산출서-1201_철거단위수량_발주내역서 " xfId="5042"/>
    <cellStyle name="1_tree_10.24종합_수량산출서-1201_철거수량_발주내역서 " xfId="5043"/>
    <cellStyle name="1_tree_10.24종합_수량산출서-1201_한수단위수량_발주내역서 " xfId="5044"/>
    <cellStyle name="1_tree_10.24종합_시설물단위수량_발주내역서 " xfId="5047"/>
    <cellStyle name="1_tree_10.24종합_시설물단위수량1_발주내역서 " xfId="5045"/>
    <cellStyle name="1_tree_10.24종합_시설물단위수량1_시설물단위수량_발주내역서 " xfId="5046"/>
    <cellStyle name="1_tree_10.24종합_오창수량산출서_NEW단위수량-주산_발주내역서 " xfId="5048"/>
    <cellStyle name="1_tree_10.24종합_오창수량산출서_남대천단위수량_발주내역서 " xfId="5049"/>
    <cellStyle name="1_tree_10.24종합_오창수량산출서_단위수량_발주내역서 " xfId="5052"/>
    <cellStyle name="1_tree_10.24종합_오창수량산출서_단위수량1_발주내역서 " xfId="5051"/>
    <cellStyle name="1_tree_10.24종합_오창수량산출서_단위수량15_발주내역서 " xfId="5050"/>
    <cellStyle name="1_tree_10.24종합_오창수량산출서_도곡단위수량_발주내역서 " xfId="5053"/>
    <cellStyle name="1_tree_10.24종합_오창수량산출서_발주내역서 " xfId="5054"/>
    <cellStyle name="1_tree_10.24종합_오창수량산출서_수량산출서-11.25_NEW단위수량-주산_발주내역서 " xfId="5055"/>
    <cellStyle name="1_tree_10.24종합_오창수량산출서_수량산출서-11.25_남대천단위수량_발주내역서 " xfId="5056"/>
    <cellStyle name="1_tree_10.24종합_오창수량산출서_수량산출서-11.25_단위수량_발주내역서 " xfId="5059"/>
    <cellStyle name="1_tree_10.24종합_오창수량산출서_수량산출서-11.25_단위수량1_발주내역서 " xfId="5058"/>
    <cellStyle name="1_tree_10.24종합_오창수량산출서_수량산출서-11.25_단위수량15_발주내역서 " xfId="5057"/>
    <cellStyle name="1_tree_10.24종합_오창수량산출서_수량산출서-11.25_도곡단위수량_발주내역서 " xfId="5060"/>
    <cellStyle name="1_tree_10.24종합_오창수량산출서_수량산출서-11.25_발주내역서 " xfId="5061"/>
    <cellStyle name="1_tree_10.24종합_오창수량산출서_수량산출서-11.25_철거단위수량_발주내역서 " xfId="5062"/>
    <cellStyle name="1_tree_10.24종합_오창수량산출서_수량산출서-11.25_철거수량_발주내역서 " xfId="5063"/>
    <cellStyle name="1_tree_10.24종합_오창수량산출서_수량산출서-11.25_한수단위수량_발주내역서 " xfId="5064"/>
    <cellStyle name="1_tree_10.24종합_오창수량산출서_수량산출서-1201_NEW단위수량-주산_발주내역서 " xfId="5065"/>
    <cellStyle name="1_tree_10.24종합_오창수량산출서_수량산출서-1201_남대천단위수량_발주내역서 " xfId="5066"/>
    <cellStyle name="1_tree_10.24종합_오창수량산출서_수량산출서-1201_단위수량_발주내역서 " xfId="5069"/>
    <cellStyle name="1_tree_10.24종합_오창수량산출서_수량산출서-1201_단위수량1_발주내역서 " xfId="5068"/>
    <cellStyle name="1_tree_10.24종합_오창수량산출서_수량산출서-1201_단위수량15_발주내역서 " xfId="5067"/>
    <cellStyle name="1_tree_10.24종합_오창수량산출서_수량산출서-1201_도곡단위수량_발주내역서 " xfId="5070"/>
    <cellStyle name="1_tree_10.24종합_오창수량산출서_수량산출서-1201_발주내역서 " xfId="5071"/>
    <cellStyle name="1_tree_10.24종합_오창수량산출서_수량산출서-1201_철거단위수량_발주내역서 " xfId="5072"/>
    <cellStyle name="1_tree_10.24종합_오창수량산출서_수량산출서-1201_철거수량_발주내역서 " xfId="5073"/>
    <cellStyle name="1_tree_10.24종합_오창수량산출서_수량산출서-1201_한수단위수량_발주내역서 " xfId="5074"/>
    <cellStyle name="1_tree_10.24종합_오창수량산출서_시설물단위수량_발주내역서 " xfId="5077"/>
    <cellStyle name="1_tree_10.24종합_오창수량산출서_시설물단위수량1_발주내역서 " xfId="5075"/>
    <cellStyle name="1_tree_10.24종합_오창수량산출서_시설물단위수량1_시설물단위수량_발주내역서 " xfId="5076"/>
    <cellStyle name="1_tree_10.24종합_오창수량산출서_철거단위수량_발주내역서 " xfId="5078"/>
    <cellStyle name="1_tree_10.24종합_오창수량산출서_철거수량_발주내역서 " xfId="5079"/>
    <cellStyle name="1_tree_10.24종합_오창수량산출서_한수단위수량_발주내역서 " xfId="5080"/>
    <cellStyle name="1_tree_10.24종합_철거단위수량_발주내역서 " xfId="5081"/>
    <cellStyle name="1_tree_10.24종합_철거수량_발주내역서 " xfId="5082"/>
    <cellStyle name="1_tree_10.24종합_한수단위수량_발주내역서 " xfId="5083"/>
    <cellStyle name="1_tree_NEW단위수량_발주내역서 " xfId="5086"/>
    <cellStyle name="1_tree_NEW단위수량-영동_발주내역서 " xfId="5084"/>
    <cellStyle name="1_tree_NEW단위수량-주산_발주내역서 " xfId="5085"/>
    <cellStyle name="1_tree_관로시설물_NEW단위수량-주산_발주내역서 " xfId="5087"/>
    <cellStyle name="1_tree_관로시설물_남대천단위수량_발주내역서 " xfId="5088"/>
    <cellStyle name="1_tree_관로시설물_단위수량_발주내역서 " xfId="5091"/>
    <cellStyle name="1_tree_관로시설물_단위수량1_발주내역서 " xfId="5090"/>
    <cellStyle name="1_tree_관로시설물_단위수량15_발주내역서 " xfId="5089"/>
    <cellStyle name="1_tree_관로시설물_도곡단위수량_발주내역서 " xfId="5092"/>
    <cellStyle name="1_tree_관로시설물_발주내역서 " xfId="5093"/>
    <cellStyle name="1_tree_관로시설물_수량산출서-11.25_NEW단위수량-주산_발주내역서 " xfId="5094"/>
    <cellStyle name="1_tree_관로시설물_수량산출서-11.25_남대천단위수량_발주내역서 " xfId="5095"/>
    <cellStyle name="1_tree_관로시설물_수량산출서-11.25_단위수량_발주내역서 " xfId="5098"/>
    <cellStyle name="1_tree_관로시설물_수량산출서-11.25_단위수량1_발주내역서 " xfId="5097"/>
    <cellStyle name="1_tree_관로시설물_수량산출서-11.25_단위수량15_발주내역서 " xfId="5096"/>
    <cellStyle name="1_tree_관로시설물_수량산출서-11.25_도곡단위수량_발주내역서 " xfId="5099"/>
    <cellStyle name="1_tree_관로시설물_수량산출서-11.25_발주내역서 " xfId="5100"/>
    <cellStyle name="1_tree_관로시설물_수량산출서-11.25_철거단위수량_발주내역서 " xfId="5101"/>
    <cellStyle name="1_tree_관로시설물_수량산출서-11.25_철거수량_발주내역서 " xfId="5102"/>
    <cellStyle name="1_tree_관로시설물_수량산출서-11.25_한수단위수량_발주내역서 " xfId="5103"/>
    <cellStyle name="1_tree_관로시설물_수량산출서-1201_NEW단위수량-주산_발주내역서 " xfId="5104"/>
    <cellStyle name="1_tree_관로시설물_수량산출서-1201_남대천단위수량_발주내역서 " xfId="5105"/>
    <cellStyle name="1_tree_관로시설물_수량산출서-1201_단위수량_발주내역서 " xfId="5108"/>
    <cellStyle name="1_tree_관로시설물_수량산출서-1201_단위수량1_발주내역서 " xfId="5107"/>
    <cellStyle name="1_tree_관로시설물_수량산출서-1201_단위수량15_발주내역서 " xfId="5106"/>
    <cellStyle name="1_tree_관로시설물_수량산출서-1201_도곡단위수량_발주내역서 " xfId="5109"/>
    <cellStyle name="1_tree_관로시설물_수량산출서-1201_발주내역서 " xfId="5110"/>
    <cellStyle name="1_tree_관로시설물_수량산출서-1201_철거단위수량_발주내역서 " xfId="5111"/>
    <cellStyle name="1_tree_관로시설물_수량산출서-1201_철거수량_발주내역서 " xfId="5112"/>
    <cellStyle name="1_tree_관로시설물_수량산출서-1201_한수단위수량_발주내역서 " xfId="5113"/>
    <cellStyle name="1_tree_관로시설물_시설물단위수량_발주내역서 " xfId="5116"/>
    <cellStyle name="1_tree_관로시설물_시설물단위수량1_발주내역서 " xfId="5114"/>
    <cellStyle name="1_tree_관로시설물_시설물단위수량1_시설물단위수량_발주내역서 " xfId="5115"/>
    <cellStyle name="1_tree_관로시설물_오창수량산출서_NEW단위수량-주산_발주내역서 " xfId="5117"/>
    <cellStyle name="1_tree_관로시설물_오창수량산출서_남대천단위수량_발주내역서 " xfId="5118"/>
    <cellStyle name="1_tree_관로시설물_오창수량산출서_단위수량_발주내역서 " xfId="5121"/>
    <cellStyle name="1_tree_관로시설물_오창수량산출서_단위수량1_발주내역서 " xfId="5120"/>
    <cellStyle name="1_tree_관로시설물_오창수량산출서_단위수량15_발주내역서 " xfId="5119"/>
    <cellStyle name="1_tree_관로시설물_오창수량산출서_도곡단위수량_발주내역서 " xfId="5122"/>
    <cellStyle name="1_tree_관로시설물_오창수량산출서_발주내역서 " xfId="5123"/>
    <cellStyle name="1_tree_관로시설물_오창수량산출서_수량산출서-11.25_NEW단위수량-주산_발주내역서 " xfId="5124"/>
    <cellStyle name="1_tree_관로시설물_오창수량산출서_수량산출서-11.25_남대천단위수량_발주내역서 " xfId="5125"/>
    <cellStyle name="1_tree_관로시설물_오창수량산출서_수량산출서-11.25_단위수량_발주내역서 " xfId="5128"/>
    <cellStyle name="1_tree_관로시설물_오창수량산출서_수량산출서-11.25_단위수량1_발주내역서 " xfId="5127"/>
    <cellStyle name="1_tree_관로시설물_오창수량산출서_수량산출서-11.25_단위수량15_발주내역서 " xfId="5126"/>
    <cellStyle name="1_tree_관로시설물_오창수량산출서_수량산출서-11.25_도곡단위수량_발주내역서 " xfId="5129"/>
    <cellStyle name="1_tree_관로시설물_오창수량산출서_수량산출서-11.25_발주내역서 " xfId="5130"/>
    <cellStyle name="1_tree_관로시설물_오창수량산출서_수량산출서-11.25_철거단위수량_발주내역서 " xfId="5131"/>
    <cellStyle name="1_tree_관로시설물_오창수량산출서_수량산출서-11.25_철거수량_발주내역서 " xfId="5132"/>
    <cellStyle name="1_tree_관로시설물_오창수량산출서_수량산출서-11.25_한수단위수량_발주내역서 " xfId="5133"/>
    <cellStyle name="1_tree_관로시설물_오창수량산출서_수량산출서-1201_NEW단위수량-주산_발주내역서 " xfId="5134"/>
    <cellStyle name="1_tree_관로시설물_오창수량산출서_수량산출서-1201_남대천단위수량_발주내역서 " xfId="5135"/>
    <cellStyle name="1_tree_관로시설물_오창수량산출서_수량산출서-1201_단위수량_발주내역서 " xfId="5138"/>
    <cellStyle name="1_tree_관로시설물_오창수량산출서_수량산출서-1201_단위수량1_발주내역서 " xfId="5137"/>
    <cellStyle name="1_tree_관로시설물_오창수량산출서_수량산출서-1201_단위수량15_발주내역서 " xfId="5136"/>
    <cellStyle name="1_tree_관로시설물_오창수량산출서_수량산출서-1201_도곡단위수량_발주내역서 " xfId="5139"/>
    <cellStyle name="1_tree_관로시설물_오창수량산출서_수량산출서-1201_발주내역서 " xfId="5140"/>
    <cellStyle name="1_tree_관로시설물_오창수량산출서_수량산출서-1201_철거단위수량_발주내역서 " xfId="5141"/>
    <cellStyle name="1_tree_관로시설물_오창수량산출서_수량산출서-1201_철거수량_발주내역서 " xfId="5142"/>
    <cellStyle name="1_tree_관로시설물_오창수량산출서_수량산출서-1201_한수단위수량_발주내역서 " xfId="5143"/>
    <cellStyle name="1_tree_관로시설물_오창수량산출서_시설물단위수량_발주내역서 " xfId="5146"/>
    <cellStyle name="1_tree_관로시설물_오창수량산출서_시설물단위수량1_발주내역서 " xfId="5144"/>
    <cellStyle name="1_tree_관로시설물_오창수량산출서_시설물단위수량1_시설물단위수량_발주내역서 " xfId="5145"/>
    <cellStyle name="1_tree_관로시설물_오창수량산출서_철거단위수량_발주내역서 " xfId="5147"/>
    <cellStyle name="1_tree_관로시설물_오창수량산출서_철거수량_발주내역서 " xfId="5148"/>
    <cellStyle name="1_tree_관로시설물_오창수량산출서_한수단위수량_발주내역서 " xfId="5149"/>
    <cellStyle name="1_tree_관로시설물_철거단위수량_발주내역서 " xfId="5150"/>
    <cellStyle name="1_tree_관로시설물_철거수량_발주내역서 " xfId="5151"/>
    <cellStyle name="1_tree_관로시설물_한수단위수량_발주내역서 " xfId="5152"/>
    <cellStyle name="1_tree_괴산종합운동장(적격-대원)_발주내역서 " xfId="5153"/>
    <cellStyle name="1_tree_구로리총괄내역_구로리설계예산서1029_발주내역서 " xfId="5154"/>
    <cellStyle name="1_tree_구로리총괄내역_구로리설계예산서1118준공_발주내역서 " xfId="5155"/>
    <cellStyle name="1_tree_구로리총괄내역_구로리설계예산서조경_발주내역서 " xfId="5156"/>
    <cellStyle name="1_tree_구로리총괄내역_구로리어린이공원예산서(조경)1125_발주내역서 " xfId="5157"/>
    <cellStyle name="1_tree_구로리총괄내역_내역서_발주내역서 " xfId="5158"/>
    <cellStyle name="1_tree_구로리총괄내역_노임단가표_발주내역서 " xfId="5159"/>
    <cellStyle name="1_tree_구로리총괄내역_발주내역서 " xfId="5160"/>
    <cellStyle name="1_tree_구로리총괄내역_수도권매립지_발주내역서 " xfId="5162"/>
    <cellStyle name="1_tree_구로리총괄내역_수도권매립지1004(발주용)_발주내역서 " xfId="5161"/>
    <cellStyle name="1_tree_구로리총괄내역_일신건영설계예산서(0211)_발주내역서 " xfId="5163"/>
    <cellStyle name="1_tree_구로리총괄내역_일위대가_발주내역서 " xfId="5164"/>
    <cellStyle name="1_tree_구로리총괄내역_자재단가표_발주내역서 " xfId="5165"/>
    <cellStyle name="1_tree_구로리총괄내역_장안초등학교내역0814_발주내역서 " xfId="5166"/>
    <cellStyle name="1_tree_구조물,조형물,수목보호_NEW단위수량-주산_발주내역서 " xfId="5167"/>
    <cellStyle name="1_tree_구조물,조형물,수목보호_남대천단위수량_발주내역서 " xfId="5168"/>
    <cellStyle name="1_tree_구조물,조형물,수목보호_단위수량_발주내역서 " xfId="5171"/>
    <cellStyle name="1_tree_구조물,조형물,수목보호_단위수량1_발주내역서 " xfId="5170"/>
    <cellStyle name="1_tree_구조물,조형물,수목보호_단위수량15_발주내역서 " xfId="5169"/>
    <cellStyle name="1_tree_구조물,조형물,수목보호_도곡단위수량_발주내역서 " xfId="5172"/>
    <cellStyle name="1_tree_구조물,조형물,수목보호_발주내역서 " xfId="5173"/>
    <cellStyle name="1_tree_구조물,조형물,수목보호_수량산출서-11.25_NEW단위수량-주산_발주내역서 " xfId="5174"/>
    <cellStyle name="1_tree_구조물,조형물,수목보호_수량산출서-11.25_남대천단위수량_발주내역서 " xfId="5175"/>
    <cellStyle name="1_tree_구조물,조형물,수목보호_수량산출서-11.25_단위수량_발주내역서 " xfId="5178"/>
    <cellStyle name="1_tree_구조물,조형물,수목보호_수량산출서-11.25_단위수량1_발주내역서 " xfId="5177"/>
    <cellStyle name="1_tree_구조물,조형물,수목보호_수량산출서-11.25_단위수량15_발주내역서 " xfId="5176"/>
    <cellStyle name="1_tree_구조물,조형물,수목보호_수량산출서-11.25_도곡단위수량_발주내역서 " xfId="5179"/>
    <cellStyle name="1_tree_구조물,조형물,수목보호_수량산출서-11.25_발주내역서 " xfId="5180"/>
    <cellStyle name="1_tree_구조물,조형물,수목보호_수량산출서-11.25_철거단위수량_발주내역서 " xfId="5181"/>
    <cellStyle name="1_tree_구조물,조형물,수목보호_수량산출서-11.25_철거수량_발주내역서 " xfId="5182"/>
    <cellStyle name="1_tree_구조물,조형물,수목보호_수량산출서-11.25_한수단위수량_발주내역서 " xfId="5183"/>
    <cellStyle name="1_tree_구조물,조형물,수목보호_수량산출서-1201_NEW단위수량-주산_발주내역서 " xfId="5184"/>
    <cellStyle name="1_tree_구조물,조형물,수목보호_수량산출서-1201_남대천단위수량_발주내역서 " xfId="5185"/>
    <cellStyle name="1_tree_구조물,조형물,수목보호_수량산출서-1201_단위수량_발주내역서 " xfId="5188"/>
    <cellStyle name="1_tree_구조물,조형물,수목보호_수량산출서-1201_단위수량1_발주내역서 " xfId="5187"/>
    <cellStyle name="1_tree_구조물,조형물,수목보호_수량산출서-1201_단위수량15_발주내역서 " xfId="5186"/>
    <cellStyle name="1_tree_구조물,조형물,수목보호_수량산출서-1201_도곡단위수량_발주내역서 " xfId="5189"/>
    <cellStyle name="1_tree_구조물,조형물,수목보호_수량산출서-1201_발주내역서 " xfId="5190"/>
    <cellStyle name="1_tree_구조물,조형물,수목보호_수량산출서-1201_철거단위수량_발주내역서 " xfId="5191"/>
    <cellStyle name="1_tree_구조물,조형물,수목보호_수량산출서-1201_철거수량_발주내역서 " xfId="5192"/>
    <cellStyle name="1_tree_구조물,조형물,수목보호_수량산출서-1201_한수단위수량_발주내역서 " xfId="5193"/>
    <cellStyle name="1_tree_구조물,조형물,수목보호_시설물단위수량_발주내역서 " xfId="5196"/>
    <cellStyle name="1_tree_구조물,조형물,수목보호_시설물단위수량1_발주내역서 " xfId="5194"/>
    <cellStyle name="1_tree_구조물,조형물,수목보호_시설물단위수량1_시설물단위수량_발주내역서 " xfId="5195"/>
    <cellStyle name="1_tree_구조물,조형물,수목보호_오창수량산출서_NEW단위수량-주산_발주내역서 " xfId="5197"/>
    <cellStyle name="1_tree_구조물,조형물,수목보호_오창수량산출서_남대천단위수량_발주내역서 " xfId="5198"/>
    <cellStyle name="1_tree_구조물,조형물,수목보호_오창수량산출서_단위수량_발주내역서 " xfId="5201"/>
    <cellStyle name="1_tree_구조물,조형물,수목보호_오창수량산출서_단위수량1_발주내역서 " xfId="5200"/>
    <cellStyle name="1_tree_구조물,조형물,수목보호_오창수량산출서_단위수량15_발주내역서 " xfId="5199"/>
    <cellStyle name="1_tree_구조물,조형물,수목보호_오창수량산출서_도곡단위수량_발주내역서 " xfId="5202"/>
    <cellStyle name="1_tree_구조물,조형물,수목보호_오창수량산출서_발주내역서 " xfId="5203"/>
    <cellStyle name="1_tree_구조물,조형물,수목보호_오창수량산출서_수량산출서-11.25_NEW단위수량-주산_발주내역서 " xfId="5204"/>
    <cellStyle name="1_tree_구조물,조형물,수목보호_오창수량산출서_수량산출서-11.25_남대천단위수량_발주내역서 " xfId="5205"/>
    <cellStyle name="1_tree_구조물,조형물,수목보호_오창수량산출서_수량산출서-11.25_단위수량_발주내역서 " xfId="5208"/>
    <cellStyle name="1_tree_구조물,조형물,수목보호_오창수량산출서_수량산출서-11.25_단위수량1_발주내역서 " xfId="5207"/>
    <cellStyle name="1_tree_구조물,조형물,수목보호_오창수량산출서_수량산출서-11.25_단위수량15_발주내역서 " xfId="5206"/>
    <cellStyle name="1_tree_구조물,조형물,수목보호_오창수량산출서_수량산출서-11.25_도곡단위수량_발주내역서 " xfId="5209"/>
    <cellStyle name="1_tree_구조물,조형물,수목보호_오창수량산출서_수량산출서-11.25_발주내역서 " xfId="5210"/>
    <cellStyle name="1_tree_구조물,조형물,수목보호_오창수량산출서_수량산출서-11.25_철거단위수량_발주내역서 " xfId="5211"/>
    <cellStyle name="1_tree_구조물,조형물,수목보호_오창수량산출서_수량산출서-11.25_철거수량_발주내역서 " xfId="5212"/>
    <cellStyle name="1_tree_구조물,조형물,수목보호_오창수량산출서_수량산출서-11.25_한수단위수량_발주내역서 " xfId="5213"/>
    <cellStyle name="1_tree_구조물,조형물,수목보호_오창수량산출서_수량산출서-1201_NEW단위수량-주산_발주내역서 " xfId="5214"/>
    <cellStyle name="1_tree_구조물,조형물,수목보호_오창수량산출서_수량산출서-1201_남대천단위수량_발주내역서 " xfId="5215"/>
    <cellStyle name="1_tree_구조물,조형물,수목보호_오창수량산출서_수량산출서-1201_단위수량_발주내역서 " xfId="5218"/>
    <cellStyle name="1_tree_구조물,조형물,수목보호_오창수량산출서_수량산출서-1201_단위수량1_발주내역서 " xfId="5217"/>
    <cellStyle name="1_tree_구조물,조형물,수목보호_오창수량산출서_수량산출서-1201_단위수량15_발주내역서 " xfId="5216"/>
    <cellStyle name="1_tree_구조물,조형물,수목보호_오창수량산출서_수량산출서-1201_도곡단위수량_발주내역서 " xfId="5219"/>
    <cellStyle name="1_tree_구조물,조형물,수목보호_오창수량산출서_수량산출서-1201_발주내역서 " xfId="5220"/>
    <cellStyle name="1_tree_구조물,조형물,수목보호_오창수량산출서_수량산출서-1201_철거단위수량_발주내역서 " xfId="5221"/>
    <cellStyle name="1_tree_구조물,조형물,수목보호_오창수량산출서_수량산출서-1201_철거수량_발주내역서 " xfId="5222"/>
    <cellStyle name="1_tree_구조물,조형물,수목보호_오창수량산출서_수량산출서-1201_한수단위수량_발주내역서 " xfId="5223"/>
    <cellStyle name="1_tree_구조물,조형물,수목보호_오창수량산출서_시설물단위수량_발주내역서 " xfId="5226"/>
    <cellStyle name="1_tree_구조물,조형물,수목보호_오창수량산출서_시설물단위수량1_발주내역서 " xfId="5224"/>
    <cellStyle name="1_tree_구조물,조형물,수목보호_오창수량산출서_시설물단위수량1_시설물단위수량_발주내역서 " xfId="5225"/>
    <cellStyle name="1_tree_구조물,조형물,수목보호_오창수량산출서_철거단위수량_발주내역서 " xfId="5227"/>
    <cellStyle name="1_tree_구조물,조형물,수목보호_오창수량산출서_철거수량_발주내역서 " xfId="5228"/>
    <cellStyle name="1_tree_구조물,조형물,수목보호_오창수량산출서_한수단위수량_발주내역서 " xfId="5229"/>
    <cellStyle name="1_tree_구조물,조형물,수목보호_철거단위수량_발주내역서 " xfId="5230"/>
    <cellStyle name="1_tree_구조물,조형물,수목보호_철거수량_발주내역서 " xfId="5231"/>
    <cellStyle name="1_tree_구조물,조형물,수목보호_한수단위수량_발주내역서 " xfId="5232"/>
    <cellStyle name="1_tree_남대천단위수량_발주내역서 " xfId="5233"/>
    <cellStyle name="1_tree_단위1_발주내역서 " xfId="5234"/>
    <cellStyle name="1_tree_단위수량_발주내역서 " xfId="5237"/>
    <cellStyle name="1_tree_단위수량1_발주내역서 " xfId="5236"/>
    <cellStyle name="1_tree_단위수량15_발주내역서 " xfId="5235"/>
    <cellStyle name="1_tree_단위수량산출_NEW단위수량-주산_발주내역서 " xfId="5440"/>
    <cellStyle name="1_tree_단위수량산출_남대천단위수량_발주내역서 " xfId="5441"/>
    <cellStyle name="1_tree_단위수량산출_단위수량_발주내역서 " xfId="5444"/>
    <cellStyle name="1_tree_단위수량산출_단위수량1_발주내역서 " xfId="5443"/>
    <cellStyle name="1_tree_단위수량산출_단위수량15_발주내역서 " xfId="5442"/>
    <cellStyle name="1_tree_단위수량산출_도곡단위수량_발주내역서 " xfId="5445"/>
    <cellStyle name="1_tree_단위수량산출_발주내역서 " xfId="5446"/>
    <cellStyle name="1_tree_단위수량산출_수량산출서-11.25_NEW단위수량-주산_발주내역서 " xfId="5447"/>
    <cellStyle name="1_tree_단위수량산출_수량산출서-11.25_남대천단위수량_발주내역서 " xfId="5448"/>
    <cellStyle name="1_tree_단위수량산출_수량산출서-11.25_단위수량_발주내역서 " xfId="5451"/>
    <cellStyle name="1_tree_단위수량산출_수량산출서-11.25_단위수량1_발주내역서 " xfId="5450"/>
    <cellStyle name="1_tree_단위수량산출_수량산출서-11.25_단위수량15_발주내역서 " xfId="5449"/>
    <cellStyle name="1_tree_단위수량산출_수량산출서-11.25_도곡단위수량_발주내역서 " xfId="5452"/>
    <cellStyle name="1_tree_단위수량산출_수량산출서-11.25_발주내역서 " xfId="5453"/>
    <cellStyle name="1_tree_단위수량산출_수량산출서-11.25_철거단위수량_발주내역서 " xfId="5454"/>
    <cellStyle name="1_tree_단위수량산출_수량산출서-11.25_철거수량_발주내역서 " xfId="5455"/>
    <cellStyle name="1_tree_단위수량산출_수량산출서-11.25_한수단위수량_발주내역서 " xfId="5456"/>
    <cellStyle name="1_tree_단위수량산출_수량산출서-1201_NEW단위수량-주산_발주내역서 " xfId="5457"/>
    <cellStyle name="1_tree_단위수량산출_수량산출서-1201_남대천단위수량_발주내역서 " xfId="5458"/>
    <cellStyle name="1_tree_단위수량산출_수량산출서-1201_단위수량_발주내역서 " xfId="5461"/>
    <cellStyle name="1_tree_단위수량산출_수량산출서-1201_단위수량1_발주내역서 " xfId="5460"/>
    <cellStyle name="1_tree_단위수량산출_수량산출서-1201_단위수량15_발주내역서 " xfId="5459"/>
    <cellStyle name="1_tree_단위수량산출_수량산출서-1201_도곡단위수량_발주내역서 " xfId="5462"/>
    <cellStyle name="1_tree_단위수량산출_수량산출서-1201_발주내역서 " xfId="5463"/>
    <cellStyle name="1_tree_단위수량산출_수량산출서-1201_철거단위수량_발주내역서 " xfId="5464"/>
    <cellStyle name="1_tree_단위수량산출_수량산출서-1201_철거수량_발주내역서 " xfId="5465"/>
    <cellStyle name="1_tree_단위수량산출_수량산출서-1201_한수단위수량_발주내역서 " xfId="5466"/>
    <cellStyle name="1_tree_단위수량산출_시설물단위수량_발주내역서 " xfId="5469"/>
    <cellStyle name="1_tree_단위수량산출_시설물단위수량1_발주내역서 " xfId="5467"/>
    <cellStyle name="1_tree_단위수량산출_시설물단위수량1_시설물단위수량_발주내역서 " xfId="5468"/>
    <cellStyle name="1_tree_단위수량산출_오창수량산출서_NEW단위수량-주산_발주내역서 " xfId="5470"/>
    <cellStyle name="1_tree_단위수량산출_오창수량산출서_남대천단위수량_발주내역서 " xfId="5471"/>
    <cellStyle name="1_tree_단위수량산출_오창수량산출서_단위수량_발주내역서 " xfId="5474"/>
    <cellStyle name="1_tree_단위수량산출_오창수량산출서_단위수량1_발주내역서 " xfId="5473"/>
    <cellStyle name="1_tree_단위수량산출_오창수량산출서_단위수량15_발주내역서 " xfId="5472"/>
    <cellStyle name="1_tree_단위수량산출_오창수량산출서_도곡단위수량_발주내역서 " xfId="5475"/>
    <cellStyle name="1_tree_단위수량산출_오창수량산출서_발주내역서 " xfId="5476"/>
    <cellStyle name="1_tree_단위수량산출_오창수량산출서_수량산출서-11.25_NEW단위수량-주산_발주내역서 " xfId="5477"/>
    <cellStyle name="1_tree_단위수량산출_오창수량산출서_수량산출서-11.25_남대천단위수량_발주내역서 " xfId="5478"/>
    <cellStyle name="1_tree_단위수량산출_오창수량산출서_수량산출서-11.25_단위수량_발주내역서 " xfId="5481"/>
    <cellStyle name="1_tree_단위수량산출_오창수량산출서_수량산출서-11.25_단위수량1_발주내역서 " xfId="5480"/>
    <cellStyle name="1_tree_단위수량산출_오창수량산출서_수량산출서-11.25_단위수량15_발주내역서 " xfId="5479"/>
    <cellStyle name="1_tree_단위수량산출_오창수량산출서_수량산출서-11.25_도곡단위수량_발주내역서 " xfId="5482"/>
    <cellStyle name="1_tree_단위수량산출_오창수량산출서_수량산출서-11.25_발주내역서 " xfId="5483"/>
    <cellStyle name="1_tree_단위수량산출_오창수량산출서_수량산출서-11.25_철거단위수량_발주내역서 " xfId="5484"/>
    <cellStyle name="1_tree_단위수량산출_오창수량산출서_수량산출서-11.25_철거수량_발주내역서 " xfId="5485"/>
    <cellStyle name="1_tree_단위수량산출_오창수량산출서_수량산출서-11.25_한수단위수량_발주내역서 " xfId="5486"/>
    <cellStyle name="1_tree_단위수량산출_오창수량산출서_수량산출서-1201_NEW단위수량-주산_발주내역서 " xfId="5487"/>
    <cellStyle name="1_tree_단위수량산출_오창수량산출서_수량산출서-1201_남대천단위수량_발주내역서 " xfId="5488"/>
    <cellStyle name="1_tree_단위수량산출_오창수량산출서_수량산출서-1201_단위수량_발주내역서 " xfId="5491"/>
    <cellStyle name="1_tree_단위수량산출_오창수량산출서_수량산출서-1201_단위수량1_발주내역서 " xfId="5490"/>
    <cellStyle name="1_tree_단위수량산출_오창수량산출서_수량산출서-1201_단위수량15_발주내역서 " xfId="5489"/>
    <cellStyle name="1_tree_단위수량산출_오창수량산출서_수량산출서-1201_도곡단위수량_발주내역서 " xfId="5492"/>
    <cellStyle name="1_tree_단위수량산출_오창수량산출서_수량산출서-1201_발주내역서 " xfId="5493"/>
    <cellStyle name="1_tree_단위수량산출_오창수량산출서_수량산출서-1201_철거단위수량_발주내역서 " xfId="5494"/>
    <cellStyle name="1_tree_단위수량산출_오창수량산출서_수량산출서-1201_철거수량_발주내역서 " xfId="5495"/>
    <cellStyle name="1_tree_단위수량산출_오창수량산출서_수량산출서-1201_한수단위수량_발주내역서 " xfId="5496"/>
    <cellStyle name="1_tree_단위수량산출_오창수량산출서_시설물단위수량_발주내역서 " xfId="5499"/>
    <cellStyle name="1_tree_단위수량산출_오창수량산출서_시설물단위수량1_발주내역서 " xfId="5497"/>
    <cellStyle name="1_tree_단위수량산출_오창수량산출서_시설물단위수량1_시설물단위수량_발주내역서 " xfId="5498"/>
    <cellStyle name="1_tree_단위수량산출_오창수량산출서_철거단위수량_발주내역서 " xfId="5500"/>
    <cellStyle name="1_tree_단위수량산출_오창수량산출서_철거수량_발주내역서 " xfId="5501"/>
    <cellStyle name="1_tree_단위수량산출_오창수량산출서_한수단위수량_발주내역서 " xfId="5502"/>
    <cellStyle name="1_tree_단위수량산출_용평단위수량_발주내역서 " xfId="5503"/>
    <cellStyle name="1_tree_단위수량산출_철거단위수량_발주내역서 " xfId="5504"/>
    <cellStyle name="1_tree_단위수량산출_철거수량_발주내역서 " xfId="5505"/>
    <cellStyle name="1_tree_단위수량산출_한수단위수량_발주내역서 " xfId="5506"/>
    <cellStyle name="1_tree_단위수량산출1_1_발주내역서 " xfId="5306"/>
    <cellStyle name="1_tree_단위수량산출1_NEW단위수량-주산_발주내역서 " xfId="5307"/>
    <cellStyle name="1_tree_단위수량산출-1_NEW단위수량-주산_발주내역서 " xfId="5238"/>
    <cellStyle name="1_tree_단위수량산출1_남대천단위수량_발주내역서 " xfId="5308"/>
    <cellStyle name="1_tree_단위수량산출-1_남대천단위수량_발주내역서 " xfId="5239"/>
    <cellStyle name="1_tree_단위수량산출1_단위수량_발주내역서 " xfId="5311"/>
    <cellStyle name="1_tree_단위수량산출-1_단위수량_발주내역서 " xfId="5242"/>
    <cellStyle name="1_tree_단위수량산출1_단위수량1_발주내역서 " xfId="5310"/>
    <cellStyle name="1_tree_단위수량산출-1_단위수량1_발주내역서 " xfId="5241"/>
    <cellStyle name="1_tree_단위수량산출1_단위수량15_발주내역서 " xfId="5309"/>
    <cellStyle name="1_tree_단위수량산출-1_단위수량15_발주내역서 " xfId="5240"/>
    <cellStyle name="1_tree_단위수량산출1_도곡단위수량_발주내역서 " xfId="5312"/>
    <cellStyle name="1_tree_단위수량산출-1_도곡단위수량_발주내역서 " xfId="5243"/>
    <cellStyle name="1_tree_단위수량산출1_발주내역서 " xfId="5313"/>
    <cellStyle name="1_tree_단위수량산출-1_발주내역서 " xfId="5244"/>
    <cellStyle name="1_tree_단위수량산출1_수량산출서-11.25_NEW단위수량-주산_발주내역서 " xfId="5314"/>
    <cellStyle name="1_tree_단위수량산출-1_수량산출서-11.25_NEW단위수량-주산_발주내역서 " xfId="5245"/>
    <cellStyle name="1_tree_단위수량산출1_수량산출서-11.25_남대천단위수량_발주내역서 " xfId="5315"/>
    <cellStyle name="1_tree_단위수량산출-1_수량산출서-11.25_남대천단위수량_발주내역서 " xfId="5246"/>
    <cellStyle name="1_tree_단위수량산출1_수량산출서-11.25_단위수량_발주내역서 " xfId="5318"/>
    <cellStyle name="1_tree_단위수량산출-1_수량산출서-11.25_단위수량_발주내역서 " xfId="5249"/>
    <cellStyle name="1_tree_단위수량산출1_수량산출서-11.25_단위수량1_발주내역서 " xfId="5317"/>
    <cellStyle name="1_tree_단위수량산출-1_수량산출서-11.25_단위수량1_발주내역서 " xfId="5248"/>
    <cellStyle name="1_tree_단위수량산출1_수량산출서-11.25_단위수량15_발주내역서 " xfId="5316"/>
    <cellStyle name="1_tree_단위수량산출-1_수량산출서-11.25_단위수량15_발주내역서 " xfId="5247"/>
    <cellStyle name="1_tree_단위수량산출1_수량산출서-11.25_도곡단위수량_발주내역서 " xfId="5319"/>
    <cellStyle name="1_tree_단위수량산출-1_수량산출서-11.25_도곡단위수량_발주내역서 " xfId="5250"/>
    <cellStyle name="1_tree_단위수량산출1_수량산출서-11.25_발주내역서 " xfId="5320"/>
    <cellStyle name="1_tree_단위수량산출-1_수량산출서-11.25_발주내역서 " xfId="5251"/>
    <cellStyle name="1_tree_단위수량산출1_수량산출서-11.25_철거단위수량_발주내역서 " xfId="5321"/>
    <cellStyle name="1_tree_단위수량산출-1_수량산출서-11.25_철거단위수량_발주내역서 " xfId="5252"/>
    <cellStyle name="1_tree_단위수량산출1_수량산출서-11.25_철거수량_발주내역서 " xfId="5322"/>
    <cellStyle name="1_tree_단위수량산출-1_수량산출서-11.25_철거수량_발주내역서 " xfId="5253"/>
    <cellStyle name="1_tree_단위수량산출1_수량산출서-11.25_한수단위수량_발주내역서 " xfId="5323"/>
    <cellStyle name="1_tree_단위수량산출-1_수량산출서-11.25_한수단위수량_발주내역서 " xfId="5254"/>
    <cellStyle name="1_tree_단위수량산출1_수량산출서-1201_NEW단위수량-주산_발주내역서 " xfId="5324"/>
    <cellStyle name="1_tree_단위수량산출-1_수량산출서-1201_NEW단위수량-주산_발주내역서 " xfId="5255"/>
    <cellStyle name="1_tree_단위수량산출1_수량산출서-1201_남대천단위수량_발주내역서 " xfId="5325"/>
    <cellStyle name="1_tree_단위수량산출-1_수량산출서-1201_남대천단위수량_발주내역서 " xfId="5256"/>
    <cellStyle name="1_tree_단위수량산출1_수량산출서-1201_단위수량_발주내역서 " xfId="5328"/>
    <cellStyle name="1_tree_단위수량산출-1_수량산출서-1201_단위수량_발주내역서 " xfId="5259"/>
    <cellStyle name="1_tree_단위수량산출1_수량산출서-1201_단위수량1_발주내역서 " xfId="5327"/>
    <cellStyle name="1_tree_단위수량산출-1_수량산출서-1201_단위수량1_발주내역서 " xfId="5258"/>
    <cellStyle name="1_tree_단위수량산출1_수량산출서-1201_단위수량15_발주내역서 " xfId="5326"/>
    <cellStyle name="1_tree_단위수량산출-1_수량산출서-1201_단위수량15_발주내역서 " xfId="5257"/>
    <cellStyle name="1_tree_단위수량산출1_수량산출서-1201_도곡단위수량_발주내역서 " xfId="5329"/>
    <cellStyle name="1_tree_단위수량산출-1_수량산출서-1201_도곡단위수량_발주내역서 " xfId="5260"/>
    <cellStyle name="1_tree_단위수량산출1_수량산출서-1201_발주내역서 " xfId="5330"/>
    <cellStyle name="1_tree_단위수량산출-1_수량산출서-1201_발주내역서 " xfId="5261"/>
    <cellStyle name="1_tree_단위수량산출1_수량산출서-1201_철거단위수량_발주내역서 " xfId="5331"/>
    <cellStyle name="1_tree_단위수량산출-1_수량산출서-1201_철거단위수량_발주내역서 " xfId="5262"/>
    <cellStyle name="1_tree_단위수량산출1_수량산출서-1201_철거수량_발주내역서 " xfId="5332"/>
    <cellStyle name="1_tree_단위수량산출-1_수량산출서-1201_철거수량_발주내역서 " xfId="5263"/>
    <cellStyle name="1_tree_단위수량산출1_수량산출서-1201_한수단위수량_발주내역서 " xfId="5333"/>
    <cellStyle name="1_tree_단위수량산출-1_수량산출서-1201_한수단위수량_발주내역서 " xfId="5264"/>
    <cellStyle name="1_tree_단위수량산출1_시설물단위수량_발주내역서 " xfId="5336"/>
    <cellStyle name="1_tree_단위수량산출-1_시설물단위수량_발주내역서 " xfId="5267"/>
    <cellStyle name="1_tree_단위수량산출1_시설물단위수량1_발주내역서 " xfId="5334"/>
    <cellStyle name="1_tree_단위수량산출-1_시설물단위수량1_발주내역서 " xfId="5265"/>
    <cellStyle name="1_tree_단위수량산출1_시설물단위수량1_시설물단위수량_발주내역서 " xfId="5335"/>
    <cellStyle name="1_tree_단위수량산출-1_시설물단위수량1_시설물단위수량_발주내역서 " xfId="5266"/>
    <cellStyle name="1_tree_단위수량산출1_오창수량산출서_NEW단위수량-주산_발주내역서 " xfId="5337"/>
    <cellStyle name="1_tree_단위수량산출-1_오창수량산출서_NEW단위수량-주산_발주내역서 " xfId="5268"/>
    <cellStyle name="1_tree_단위수량산출1_오창수량산출서_남대천단위수량_발주내역서 " xfId="5338"/>
    <cellStyle name="1_tree_단위수량산출-1_오창수량산출서_남대천단위수량_발주내역서 " xfId="5269"/>
    <cellStyle name="1_tree_단위수량산출1_오창수량산출서_단위수량_발주내역서 " xfId="5341"/>
    <cellStyle name="1_tree_단위수량산출-1_오창수량산출서_단위수량_발주내역서 " xfId="5272"/>
    <cellStyle name="1_tree_단위수량산출1_오창수량산출서_단위수량1_발주내역서 " xfId="5340"/>
    <cellStyle name="1_tree_단위수량산출-1_오창수량산출서_단위수량1_발주내역서 " xfId="5271"/>
    <cellStyle name="1_tree_단위수량산출1_오창수량산출서_단위수량15_발주내역서 " xfId="5339"/>
    <cellStyle name="1_tree_단위수량산출-1_오창수량산출서_단위수량15_발주내역서 " xfId="5270"/>
    <cellStyle name="1_tree_단위수량산출1_오창수량산출서_도곡단위수량_발주내역서 " xfId="5342"/>
    <cellStyle name="1_tree_단위수량산출-1_오창수량산출서_도곡단위수량_발주내역서 " xfId="5273"/>
    <cellStyle name="1_tree_단위수량산출1_오창수량산출서_발주내역서 " xfId="5343"/>
    <cellStyle name="1_tree_단위수량산출-1_오창수량산출서_발주내역서 " xfId="5274"/>
    <cellStyle name="1_tree_단위수량산출1_오창수량산출서_수량산출서-11.25_NEW단위수량-주산_발주내역서 " xfId="5344"/>
    <cellStyle name="1_tree_단위수량산출-1_오창수량산출서_수량산출서-11.25_NEW단위수량-주산_발주내역서 " xfId="5275"/>
    <cellStyle name="1_tree_단위수량산출1_오창수량산출서_수량산출서-11.25_남대천단위수량_발주내역서 " xfId="5345"/>
    <cellStyle name="1_tree_단위수량산출-1_오창수량산출서_수량산출서-11.25_남대천단위수량_발주내역서 " xfId="5276"/>
    <cellStyle name="1_tree_단위수량산출1_오창수량산출서_수량산출서-11.25_단위수량_발주내역서 " xfId="5348"/>
    <cellStyle name="1_tree_단위수량산출-1_오창수량산출서_수량산출서-11.25_단위수량_발주내역서 " xfId="5279"/>
    <cellStyle name="1_tree_단위수량산출1_오창수량산출서_수량산출서-11.25_단위수량1_발주내역서 " xfId="5347"/>
    <cellStyle name="1_tree_단위수량산출-1_오창수량산출서_수량산출서-11.25_단위수량1_발주내역서 " xfId="5278"/>
    <cellStyle name="1_tree_단위수량산출1_오창수량산출서_수량산출서-11.25_단위수량15_발주내역서 " xfId="5346"/>
    <cellStyle name="1_tree_단위수량산출-1_오창수량산출서_수량산출서-11.25_단위수량15_발주내역서 " xfId="5277"/>
    <cellStyle name="1_tree_단위수량산출1_오창수량산출서_수량산출서-11.25_도곡단위수량_발주내역서 " xfId="5349"/>
    <cellStyle name="1_tree_단위수량산출-1_오창수량산출서_수량산출서-11.25_도곡단위수량_발주내역서 " xfId="5280"/>
    <cellStyle name="1_tree_단위수량산출1_오창수량산출서_수량산출서-11.25_발주내역서 " xfId="5350"/>
    <cellStyle name="1_tree_단위수량산출-1_오창수량산출서_수량산출서-11.25_발주내역서 " xfId="5281"/>
    <cellStyle name="1_tree_단위수량산출1_오창수량산출서_수량산출서-11.25_철거단위수량_발주내역서 " xfId="5351"/>
    <cellStyle name="1_tree_단위수량산출-1_오창수량산출서_수량산출서-11.25_철거단위수량_발주내역서 " xfId="5282"/>
    <cellStyle name="1_tree_단위수량산출1_오창수량산출서_수량산출서-11.25_철거수량_발주내역서 " xfId="5352"/>
    <cellStyle name="1_tree_단위수량산출-1_오창수량산출서_수량산출서-11.25_철거수량_발주내역서 " xfId="5283"/>
    <cellStyle name="1_tree_단위수량산출1_오창수량산출서_수량산출서-11.25_한수단위수량_발주내역서 " xfId="5353"/>
    <cellStyle name="1_tree_단위수량산출-1_오창수량산출서_수량산출서-11.25_한수단위수량_발주내역서 " xfId="5284"/>
    <cellStyle name="1_tree_단위수량산출1_오창수량산출서_수량산출서-1201_NEW단위수량-주산_발주내역서 " xfId="5354"/>
    <cellStyle name="1_tree_단위수량산출-1_오창수량산출서_수량산출서-1201_NEW단위수량-주산_발주내역서 " xfId="5285"/>
    <cellStyle name="1_tree_단위수량산출1_오창수량산출서_수량산출서-1201_남대천단위수량_발주내역서 " xfId="5355"/>
    <cellStyle name="1_tree_단위수량산출-1_오창수량산출서_수량산출서-1201_남대천단위수량_발주내역서 " xfId="5286"/>
    <cellStyle name="1_tree_단위수량산출1_오창수량산출서_수량산출서-1201_단위수량_발주내역서 " xfId="5358"/>
    <cellStyle name="1_tree_단위수량산출-1_오창수량산출서_수량산출서-1201_단위수량_발주내역서 " xfId="5289"/>
    <cellStyle name="1_tree_단위수량산출1_오창수량산출서_수량산출서-1201_단위수량1_발주내역서 " xfId="5357"/>
    <cellStyle name="1_tree_단위수량산출-1_오창수량산출서_수량산출서-1201_단위수량1_발주내역서 " xfId="5288"/>
    <cellStyle name="1_tree_단위수량산출1_오창수량산출서_수량산출서-1201_단위수량15_발주내역서 " xfId="5356"/>
    <cellStyle name="1_tree_단위수량산출-1_오창수량산출서_수량산출서-1201_단위수량15_발주내역서 " xfId="5287"/>
    <cellStyle name="1_tree_단위수량산출1_오창수량산출서_수량산출서-1201_도곡단위수량_발주내역서 " xfId="5359"/>
    <cellStyle name="1_tree_단위수량산출-1_오창수량산출서_수량산출서-1201_도곡단위수량_발주내역서 " xfId="5290"/>
    <cellStyle name="1_tree_단위수량산출1_오창수량산출서_수량산출서-1201_발주내역서 " xfId="5360"/>
    <cellStyle name="1_tree_단위수량산출-1_오창수량산출서_수량산출서-1201_발주내역서 " xfId="5291"/>
    <cellStyle name="1_tree_단위수량산출1_오창수량산출서_수량산출서-1201_철거단위수량_발주내역서 " xfId="5361"/>
    <cellStyle name="1_tree_단위수량산출-1_오창수량산출서_수량산출서-1201_철거단위수량_발주내역서 " xfId="5292"/>
    <cellStyle name="1_tree_단위수량산출1_오창수량산출서_수량산출서-1201_철거수량_발주내역서 " xfId="5362"/>
    <cellStyle name="1_tree_단위수량산출-1_오창수량산출서_수량산출서-1201_철거수량_발주내역서 " xfId="5293"/>
    <cellStyle name="1_tree_단위수량산출1_오창수량산출서_수량산출서-1201_한수단위수량_발주내역서 " xfId="5363"/>
    <cellStyle name="1_tree_단위수량산출-1_오창수량산출서_수량산출서-1201_한수단위수량_발주내역서 " xfId="5294"/>
    <cellStyle name="1_tree_단위수량산출1_오창수량산출서_시설물단위수량_발주내역서 " xfId="5366"/>
    <cellStyle name="1_tree_단위수량산출-1_오창수량산출서_시설물단위수량_발주내역서 " xfId="5297"/>
    <cellStyle name="1_tree_단위수량산출1_오창수량산출서_시설물단위수량1_발주내역서 " xfId="5364"/>
    <cellStyle name="1_tree_단위수량산출-1_오창수량산출서_시설물단위수량1_발주내역서 " xfId="5295"/>
    <cellStyle name="1_tree_단위수량산출1_오창수량산출서_시설물단위수량1_시설물단위수량_발주내역서 " xfId="5365"/>
    <cellStyle name="1_tree_단위수량산출-1_오창수량산출서_시설물단위수량1_시설물단위수량_발주내역서 " xfId="5296"/>
    <cellStyle name="1_tree_단위수량산출1_오창수량산출서_철거단위수량_발주내역서 " xfId="5367"/>
    <cellStyle name="1_tree_단위수량산출-1_오창수량산출서_철거단위수량_발주내역서 " xfId="5298"/>
    <cellStyle name="1_tree_단위수량산출1_오창수량산출서_철거수량_발주내역서 " xfId="5368"/>
    <cellStyle name="1_tree_단위수량산출-1_오창수량산출서_철거수량_발주내역서 " xfId="5299"/>
    <cellStyle name="1_tree_단위수량산출1_오창수량산출서_한수단위수량_발주내역서 " xfId="5369"/>
    <cellStyle name="1_tree_단위수량산출-1_오창수량산출서_한수단위수량_발주내역서 " xfId="5300"/>
    <cellStyle name="1_tree_단위수량산출1_용평단위수량_발주내역서 " xfId="5370"/>
    <cellStyle name="1_tree_단위수량산출-1_용평단위수량_발주내역서 " xfId="5301"/>
    <cellStyle name="1_tree_단위수량산출1_철거단위수량_발주내역서 " xfId="5371"/>
    <cellStyle name="1_tree_단위수량산출-1_철거단위수량_발주내역서 " xfId="5302"/>
    <cellStyle name="1_tree_단위수량산출1_철거수량_발주내역서 " xfId="5372"/>
    <cellStyle name="1_tree_단위수량산출-1_철거수량_발주내역서 " xfId="5303"/>
    <cellStyle name="1_tree_단위수량산출1_한수단위수량_발주내역서 " xfId="5373"/>
    <cellStyle name="1_tree_단위수량산출-1_한수단위수량_발주내역서 " xfId="5304"/>
    <cellStyle name="1_tree_단위수량산출2_NEW단위수량-주산_발주내역서 " xfId="5374"/>
    <cellStyle name="1_tree_단위수량산출2_남대천단위수량_발주내역서 " xfId="5375"/>
    <cellStyle name="1_tree_단위수량산출2_단위수량_발주내역서 " xfId="5378"/>
    <cellStyle name="1_tree_단위수량산출2_단위수량1_발주내역서 " xfId="5377"/>
    <cellStyle name="1_tree_단위수량산출2_단위수량15_발주내역서 " xfId="5376"/>
    <cellStyle name="1_tree_단위수량산출2_도곡단위수량_발주내역서 " xfId="5379"/>
    <cellStyle name="1_tree_단위수량산출2_발주내역서 " xfId="5380"/>
    <cellStyle name="1_tree_단위수량산출2_수량산출서-11.25_NEW단위수량-주산_발주내역서 " xfId="5381"/>
    <cellStyle name="1_tree_단위수량산출2_수량산출서-11.25_남대천단위수량_발주내역서 " xfId="5382"/>
    <cellStyle name="1_tree_단위수량산출2_수량산출서-11.25_단위수량_발주내역서 " xfId="5385"/>
    <cellStyle name="1_tree_단위수량산출2_수량산출서-11.25_단위수량1_발주내역서 " xfId="5384"/>
    <cellStyle name="1_tree_단위수량산출2_수량산출서-11.25_단위수량15_발주내역서 " xfId="5383"/>
    <cellStyle name="1_tree_단위수량산출2_수량산출서-11.25_도곡단위수량_발주내역서 " xfId="5386"/>
    <cellStyle name="1_tree_단위수량산출2_수량산출서-11.25_발주내역서 " xfId="5387"/>
    <cellStyle name="1_tree_단위수량산출2_수량산출서-11.25_철거단위수량_발주내역서 " xfId="5388"/>
    <cellStyle name="1_tree_단위수량산출2_수량산출서-11.25_철거수량_발주내역서 " xfId="5389"/>
    <cellStyle name="1_tree_단위수량산출2_수량산출서-11.25_한수단위수량_발주내역서 " xfId="5390"/>
    <cellStyle name="1_tree_단위수량산출2_수량산출서-1201_NEW단위수량-주산_발주내역서 " xfId="5391"/>
    <cellStyle name="1_tree_단위수량산출2_수량산출서-1201_남대천단위수량_발주내역서 " xfId="5392"/>
    <cellStyle name="1_tree_단위수량산출2_수량산출서-1201_단위수량_발주내역서 " xfId="5395"/>
    <cellStyle name="1_tree_단위수량산출2_수량산출서-1201_단위수량1_발주내역서 " xfId="5394"/>
    <cellStyle name="1_tree_단위수량산출2_수량산출서-1201_단위수량15_발주내역서 " xfId="5393"/>
    <cellStyle name="1_tree_단위수량산출2_수량산출서-1201_도곡단위수량_발주내역서 " xfId="5396"/>
    <cellStyle name="1_tree_단위수량산출2_수량산출서-1201_발주내역서 " xfId="5397"/>
    <cellStyle name="1_tree_단위수량산출2_수량산출서-1201_철거단위수량_발주내역서 " xfId="5398"/>
    <cellStyle name="1_tree_단위수량산출2_수량산출서-1201_철거수량_발주내역서 " xfId="5399"/>
    <cellStyle name="1_tree_단위수량산출2_수량산출서-1201_한수단위수량_발주내역서 " xfId="5400"/>
    <cellStyle name="1_tree_단위수량산출2_시설물단위수량_발주내역서 " xfId="5403"/>
    <cellStyle name="1_tree_단위수량산출2_시설물단위수량1_발주내역서 " xfId="5401"/>
    <cellStyle name="1_tree_단위수량산출2_시설물단위수량1_시설물단위수량_발주내역서 " xfId="5402"/>
    <cellStyle name="1_tree_단위수량산출2_오창수량산출서_NEW단위수량-주산_발주내역서 " xfId="5404"/>
    <cellStyle name="1_tree_단위수량산출2_오창수량산출서_남대천단위수량_발주내역서 " xfId="5405"/>
    <cellStyle name="1_tree_단위수량산출2_오창수량산출서_단위수량_발주내역서 " xfId="5408"/>
    <cellStyle name="1_tree_단위수량산출2_오창수량산출서_단위수량1_발주내역서 " xfId="5407"/>
    <cellStyle name="1_tree_단위수량산출2_오창수량산출서_단위수량15_발주내역서 " xfId="5406"/>
    <cellStyle name="1_tree_단위수량산출2_오창수량산출서_도곡단위수량_발주내역서 " xfId="5409"/>
    <cellStyle name="1_tree_단위수량산출2_오창수량산출서_발주내역서 " xfId="5410"/>
    <cellStyle name="1_tree_단위수량산출2_오창수량산출서_수량산출서-11.25_NEW단위수량-주산_발주내역서 " xfId="5411"/>
    <cellStyle name="1_tree_단위수량산출2_오창수량산출서_수량산출서-11.25_남대천단위수량_발주내역서 " xfId="5412"/>
    <cellStyle name="1_tree_단위수량산출2_오창수량산출서_수량산출서-11.25_단위수량_발주내역서 " xfId="5415"/>
    <cellStyle name="1_tree_단위수량산출2_오창수량산출서_수량산출서-11.25_단위수량1_발주내역서 " xfId="5414"/>
    <cellStyle name="1_tree_단위수량산출2_오창수량산출서_수량산출서-11.25_단위수량15_발주내역서 " xfId="5413"/>
    <cellStyle name="1_tree_단위수량산출2_오창수량산출서_수량산출서-11.25_도곡단위수량_발주내역서 " xfId="5416"/>
    <cellStyle name="1_tree_단위수량산출2_오창수량산출서_수량산출서-11.25_발주내역서 " xfId="5417"/>
    <cellStyle name="1_tree_단위수량산출2_오창수량산출서_수량산출서-11.25_철거단위수량_발주내역서 " xfId="5418"/>
    <cellStyle name="1_tree_단위수량산출2_오창수량산출서_수량산출서-11.25_철거수량_발주내역서 " xfId="5419"/>
    <cellStyle name="1_tree_단위수량산출2_오창수량산출서_수량산출서-11.25_한수단위수량_발주내역서 " xfId="5420"/>
    <cellStyle name="1_tree_단위수량산출2_오창수량산출서_수량산출서-1201_NEW단위수량-주산_발주내역서 " xfId="5421"/>
    <cellStyle name="1_tree_단위수량산출2_오창수량산출서_수량산출서-1201_남대천단위수량_발주내역서 " xfId="5422"/>
    <cellStyle name="1_tree_단위수량산출2_오창수량산출서_수량산출서-1201_단위수량_발주내역서 " xfId="5425"/>
    <cellStyle name="1_tree_단위수량산출2_오창수량산출서_수량산출서-1201_단위수량1_발주내역서 " xfId="5424"/>
    <cellStyle name="1_tree_단위수량산출2_오창수량산출서_수량산출서-1201_단위수량15_발주내역서 " xfId="5423"/>
    <cellStyle name="1_tree_단위수량산출2_오창수량산출서_수량산출서-1201_도곡단위수량_발주내역서 " xfId="5426"/>
    <cellStyle name="1_tree_단위수량산출2_오창수량산출서_수량산출서-1201_발주내역서 " xfId="5427"/>
    <cellStyle name="1_tree_단위수량산출2_오창수량산출서_수량산출서-1201_철거단위수량_발주내역서 " xfId="5428"/>
    <cellStyle name="1_tree_단위수량산출2_오창수량산출서_수량산출서-1201_철거수량_발주내역서 " xfId="5429"/>
    <cellStyle name="1_tree_단위수량산출2_오창수량산출서_수량산출서-1201_한수단위수량_발주내역서 " xfId="5430"/>
    <cellStyle name="1_tree_단위수량산출2_오창수량산출서_시설물단위수량_발주내역서 " xfId="5433"/>
    <cellStyle name="1_tree_단위수량산출2_오창수량산출서_시설물단위수량1_발주내역서 " xfId="5431"/>
    <cellStyle name="1_tree_단위수량산출2_오창수량산출서_시설물단위수량1_시설물단위수량_발주내역서 " xfId="5432"/>
    <cellStyle name="1_tree_단위수량산출2_오창수량산출서_철거단위수량_발주내역서 " xfId="5434"/>
    <cellStyle name="1_tree_단위수량산출2_오창수량산출서_철거수량_발주내역서 " xfId="5435"/>
    <cellStyle name="1_tree_단위수량산출2_오창수량산출서_한수단위수량_발주내역서 " xfId="5436"/>
    <cellStyle name="1_tree_단위수량산출2_철거단위수량_발주내역서 " xfId="5437"/>
    <cellStyle name="1_tree_단위수량산출2_철거수량_발주내역서 " xfId="5438"/>
    <cellStyle name="1_tree_단위수량산출2_한수단위수량_발주내역서 " xfId="5439"/>
    <cellStyle name="1_tree_단위수량산출-개군_발주내역서 " xfId="5305"/>
    <cellStyle name="1_tree_도곡단위수량_발주내역서 " xfId="5507"/>
    <cellStyle name="1_tree_발주내역서 " xfId="5508"/>
    <cellStyle name="1_tree_수량산출_구로리총괄내역_구로리설계예산서1029_발주내역서 " xfId="5509"/>
    <cellStyle name="1_tree_수량산출_구로리총괄내역_구로리설계예산서1118준공_발주내역서 " xfId="5510"/>
    <cellStyle name="1_tree_수량산출_구로리총괄내역_구로리설계예산서조경_발주내역서 " xfId="5511"/>
    <cellStyle name="1_tree_수량산출_구로리총괄내역_구로리어린이공원예산서(조경)1125_발주내역서 " xfId="5512"/>
    <cellStyle name="1_tree_수량산출_구로리총괄내역_내역서_발주내역서 " xfId="5513"/>
    <cellStyle name="1_tree_수량산출_구로리총괄내역_노임단가표_발주내역서 " xfId="5514"/>
    <cellStyle name="1_tree_수량산출_구로리총괄내역_발주내역서 " xfId="5515"/>
    <cellStyle name="1_tree_수량산출_구로리총괄내역_수도권매립지_발주내역서 " xfId="5517"/>
    <cellStyle name="1_tree_수량산출_구로리총괄내역_수도권매립지1004(발주용)_발주내역서 " xfId="5516"/>
    <cellStyle name="1_tree_수량산출_구로리총괄내역_일신건영설계예산서(0211)_발주내역서 " xfId="5518"/>
    <cellStyle name="1_tree_수량산출_구로리총괄내역_일위대가_발주내역서 " xfId="5519"/>
    <cellStyle name="1_tree_수량산출_구로리총괄내역_자재단가표_발주내역서 " xfId="5520"/>
    <cellStyle name="1_tree_수량산출_구로리총괄내역_장안초등학교내역0814_발주내역서 " xfId="5521"/>
    <cellStyle name="1_tree_수량산출_발주내역서 " xfId="5522"/>
    <cellStyle name="1_tree_수량산출_총괄내역0518_구로리설계예산서1029_발주내역서 " xfId="5523"/>
    <cellStyle name="1_tree_수량산출_총괄내역0518_구로리설계예산서1118준공_발주내역서 " xfId="5524"/>
    <cellStyle name="1_tree_수량산출_총괄내역0518_구로리설계예산서조경_발주내역서 " xfId="5525"/>
    <cellStyle name="1_tree_수량산출_총괄내역0518_구로리어린이공원예산서(조경)1125_발주내역서 " xfId="5526"/>
    <cellStyle name="1_tree_수량산출_총괄내역0518_내역서_발주내역서 " xfId="5527"/>
    <cellStyle name="1_tree_수량산출_총괄내역0518_노임단가표_발주내역서 " xfId="5528"/>
    <cellStyle name="1_tree_수량산출_총괄내역0518_발주내역서 " xfId="5529"/>
    <cellStyle name="1_tree_수량산출_총괄내역0518_수도권매립지_발주내역서 " xfId="5531"/>
    <cellStyle name="1_tree_수량산출_총괄내역0518_수도권매립지1004(발주용)_발주내역서 " xfId="5530"/>
    <cellStyle name="1_tree_수량산출_총괄내역0518_일신건영설계예산서(0211)_발주내역서 " xfId="5532"/>
    <cellStyle name="1_tree_수량산출_총괄내역0518_일위대가_발주내역서 " xfId="5533"/>
    <cellStyle name="1_tree_수량산출_총괄내역0518_자재단가표_발주내역서 " xfId="5534"/>
    <cellStyle name="1_tree_수량산출_총괄내역0518_장안초등학교내역0814_발주내역서 " xfId="5535"/>
    <cellStyle name="1_tree_수량산출서-11.25_NEW단위수량-주산_발주내역서 " xfId="5536"/>
    <cellStyle name="1_tree_수량산출서-11.25_남대천단위수량_발주내역서 " xfId="5537"/>
    <cellStyle name="1_tree_수량산출서-11.25_단위수량_발주내역서 " xfId="5540"/>
    <cellStyle name="1_tree_수량산출서-11.25_단위수량1_발주내역서 " xfId="5539"/>
    <cellStyle name="1_tree_수량산출서-11.25_단위수량15_발주내역서 " xfId="5538"/>
    <cellStyle name="1_tree_수량산출서-11.25_도곡단위수량_발주내역서 " xfId="5541"/>
    <cellStyle name="1_tree_수량산출서-11.25_발주내역서 " xfId="5542"/>
    <cellStyle name="1_tree_수량산출서-11.25_철거단위수량_발주내역서 " xfId="5543"/>
    <cellStyle name="1_tree_수량산출서-11.25_철거수량_발주내역서 " xfId="5544"/>
    <cellStyle name="1_tree_수량산출서-11.25_한수단위수량_발주내역서 " xfId="5545"/>
    <cellStyle name="1_tree_수량산출서-1201_NEW단위수량-주산_발주내역서 " xfId="5546"/>
    <cellStyle name="1_tree_수량산출서-1201_남대천단위수량_발주내역서 " xfId="5547"/>
    <cellStyle name="1_tree_수량산출서-1201_단위수량_발주내역서 " xfId="5550"/>
    <cellStyle name="1_tree_수량산출서-1201_단위수량1_발주내역서 " xfId="5549"/>
    <cellStyle name="1_tree_수량산출서-1201_단위수량15_발주내역서 " xfId="5548"/>
    <cellStyle name="1_tree_수량산출서-1201_도곡단위수량_발주내역서 " xfId="5551"/>
    <cellStyle name="1_tree_수량산출서-1201_발주내역서 " xfId="5552"/>
    <cellStyle name="1_tree_수량산출서-1201_철거단위수량_발주내역서 " xfId="5553"/>
    <cellStyle name="1_tree_수량산출서-1201_철거수량_발주내역서 " xfId="5554"/>
    <cellStyle name="1_tree_수량산출서-1201_한수단위수량_발주내역서 " xfId="5555"/>
    <cellStyle name="1_tree_수량산출서-최종_발주내역서 " xfId="5556"/>
    <cellStyle name="1_tree_수원변경수량산출_발주내역서 " xfId="5557"/>
    <cellStyle name="1_tree_시설물단위수량_발주내역서 " xfId="5560"/>
    <cellStyle name="1_tree_시설물단위수량1_발주내역서 " xfId="5558"/>
    <cellStyle name="1_tree_시설물단위수량1_시설물단위수량_발주내역서 " xfId="5559"/>
    <cellStyle name="1_tree_쌍용_NEW단위수량-주산_발주내역서 " xfId="5561"/>
    <cellStyle name="1_tree_쌍용_남대천단위수량_발주내역서 " xfId="5562"/>
    <cellStyle name="1_tree_쌍용_단위수량_발주내역서 " xfId="5565"/>
    <cellStyle name="1_tree_쌍용_단위수량1_발주내역서 " xfId="5564"/>
    <cellStyle name="1_tree_쌍용_단위수량15_발주내역서 " xfId="5563"/>
    <cellStyle name="1_tree_쌍용_도곡단위수량_발주내역서 " xfId="5566"/>
    <cellStyle name="1_tree_쌍용_발주내역서 " xfId="5567"/>
    <cellStyle name="1_tree_쌍용_수량산출서-11.25_NEW단위수량-주산_발주내역서 " xfId="5568"/>
    <cellStyle name="1_tree_쌍용_수량산출서-11.25_남대천단위수량_발주내역서 " xfId="5569"/>
    <cellStyle name="1_tree_쌍용_수량산출서-11.25_단위수량_발주내역서 " xfId="5572"/>
    <cellStyle name="1_tree_쌍용_수량산출서-11.25_단위수량1_발주내역서 " xfId="5571"/>
    <cellStyle name="1_tree_쌍용_수량산출서-11.25_단위수량15_발주내역서 " xfId="5570"/>
    <cellStyle name="1_tree_쌍용_수량산출서-11.25_도곡단위수량_발주내역서 " xfId="5573"/>
    <cellStyle name="1_tree_쌍용_수량산출서-11.25_발주내역서 " xfId="5574"/>
    <cellStyle name="1_tree_쌍용_수량산출서-11.25_철거단위수량_발주내역서 " xfId="5575"/>
    <cellStyle name="1_tree_쌍용_수량산출서-11.25_철거수량_발주내역서 " xfId="5576"/>
    <cellStyle name="1_tree_쌍용_수량산출서-11.25_한수단위수량_발주내역서 " xfId="5577"/>
    <cellStyle name="1_tree_쌍용_수량산출서-1201_NEW단위수량-주산_발주내역서 " xfId="5578"/>
    <cellStyle name="1_tree_쌍용_수량산출서-1201_남대천단위수량_발주내역서 " xfId="5579"/>
    <cellStyle name="1_tree_쌍용_수량산출서-1201_단위수량_발주내역서 " xfId="5582"/>
    <cellStyle name="1_tree_쌍용_수량산출서-1201_단위수량1_발주내역서 " xfId="5581"/>
    <cellStyle name="1_tree_쌍용_수량산출서-1201_단위수량15_발주내역서 " xfId="5580"/>
    <cellStyle name="1_tree_쌍용_수량산출서-1201_도곡단위수량_발주내역서 " xfId="5583"/>
    <cellStyle name="1_tree_쌍용_수량산출서-1201_발주내역서 " xfId="5584"/>
    <cellStyle name="1_tree_쌍용_수량산출서-1201_철거단위수량_발주내역서 " xfId="5585"/>
    <cellStyle name="1_tree_쌍용_수량산출서-1201_철거수량_발주내역서 " xfId="5586"/>
    <cellStyle name="1_tree_쌍용_수량산출서-1201_한수단위수량_발주내역서 " xfId="5587"/>
    <cellStyle name="1_tree_쌍용_시설물단위수량_발주내역서 " xfId="5590"/>
    <cellStyle name="1_tree_쌍용_시설물단위수량1_발주내역서 " xfId="5588"/>
    <cellStyle name="1_tree_쌍용_시설물단위수량1_시설물단위수량_발주내역서 " xfId="5589"/>
    <cellStyle name="1_tree_쌍용_오창수량산출서_NEW단위수량-주산_발주내역서 " xfId="5591"/>
    <cellStyle name="1_tree_쌍용_오창수량산출서_남대천단위수량_발주내역서 " xfId="5592"/>
    <cellStyle name="1_tree_쌍용_오창수량산출서_단위수량_발주내역서 " xfId="5595"/>
    <cellStyle name="1_tree_쌍용_오창수량산출서_단위수량1_발주내역서 " xfId="5594"/>
    <cellStyle name="1_tree_쌍용_오창수량산출서_단위수량15_발주내역서 " xfId="5593"/>
    <cellStyle name="1_tree_쌍용_오창수량산출서_도곡단위수량_발주내역서 " xfId="5596"/>
    <cellStyle name="1_tree_쌍용_오창수량산출서_발주내역서 " xfId="5597"/>
    <cellStyle name="1_tree_쌍용_오창수량산출서_수량산출서-11.25_NEW단위수량-주산_발주내역서 " xfId="5598"/>
    <cellStyle name="1_tree_쌍용_오창수량산출서_수량산출서-11.25_남대천단위수량_발주내역서 " xfId="5599"/>
    <cellStyle name="1_tree_쌍용_오창수량산출서_수량산출서-11.25_단위수량_발주내역서 " xfId="5602"/>
    <cellStyle name="1_tree_쌍용_오창수량산출서_수량산출서-11.25_단위수량1_발주내역서 " xfId="5601"/>
    <cellStyle name="1_tree_쌍용_오창수량산출서_수량산출서-11.25_단위수량15_발주내역서 " xfId="5600"/>
    <cellStyle name="1_tree_쌍용_오창수량산출서_수량산출서-11.25_도곡단위수량_발주내역서 " xfId="5603"/>
    <cellStyle name="1_tree_쌍용_오창수량산출서_수량산출서-11.25_발주내역서 " xfId="5604"/>
    <cellStyle name="1_tree_쌍용_오창수량산출서_수량산출서-11.25_철거단위수량_발주내역서 " xfId="5605"/>
    <cellStyle name="1_tree_쌍용_오창수량산출서_수량산출서-11.25_철거수량_발주내역서 " xfId="5606"/>
    <cellStyle name="1_tree_쌍용_오창수량산출서_수량산출서-11.25_한수단위수량_발주내역서 " xfId="5607"/>
    <cellStyle name="1_tree_쌍용_오창수량산출서_수량산출서-1201_NEW단위수량-주산_발주내역서 " xfId="5608"/>
    <cellStyle name="1_tree_쌍용_오창수량산출서_수량산출서-1201_남대천단위수량_발주내역서 " xfId="5609"/>
    <cellStyle name="1_tree_쌍용_오창수량산출서_수량산출서-1201_단위수량_발주내역서 " xfId="5612"/>
    <cellStyle name="1_tree_쌍용_오창수량산출서_수량산출서-1201_단위수량1_발주내역서 " xfId="5611"/>
    <cellStyle name="1_tree_쌍용_오창수량산출서_수량산출서-1201_단위수량15_발주내역서 " xfId="5610"/>
    <cellStyle name="1_tree_쌍용_오창수량산출서_수량산출서-1201_도곡단위수량_발주내역서 " xfId="5613"/>
    <cellStyle name="1_tree_쌍용_오창수량산출서_수량산출서-1201_발주내역서 " xfId="5614"/>
    <cellStyle name="1_tree_쌍용_오창수량산출서_수량산출서-1201_철거단위수량_발주내역서 " xfId="5615"/>
    <cellStyle name="1_tree_쌍용_오창수량산출서_수량산출서-1201_철거수량_발주내역서 " xfId="5616"/>
    <cellStyle name="1_tree_쌍용_오창수량산출서_수량산출서-1201_한수단위수량_발주내역서 " xfId="5617"/>
    <cellStyle name="1_tree_쌍용_오창수량산출서_시설물단위수량_발주내역서 " xfId="5620"/>
    <cellStyle name="1_tree_쌍용_오창수량산출서_시설물단위수량1_발주내역서 " xfId="5618"/>
    <cellStyle name="1_tree_쌍용_오창수량산출서_시설물단위수량1_시설물단위수량_발주내역서 " xfId="5619"/>
    <cellStyle name="1_tree_쌍용_오창수량산출서_철거단위수량_발주내역서 " xfId="5621"/>
    <cellStyle name="1_tree_쌍용_오창수량산출서_철거수량_발주내역서 " xfId="5622"/>
    <cellStyle name="1_tree_쌍용_오창수량산출서_한수단위수량_발주내역서 " xfId="5623"/>
    <cellStyle name="1_tree_쌍용_철거단위수량_발주내역서 " xfId="5624"/>
    <cellStyle name="1_tree_쌍용_철거수량_발주내역서 " xfId="5625"/>
    <cellStyle name="1_tree_쌍용_한수단위수량_발주내역서 " xfId="5626"/>
    <cellStyle name="1_tree_안동수량산출_발주내역서 " xfId="5627"/>
    <cellStyle name="1_tree_안동수량산출최종_발주내역서 " xfId="5628"/>
    <cellStyle name="1_tree_오창수량산출서_NEW단위수량-주산_발주내역서 " xfId="5629"/>
    <cellStyle name="1_tree_오창수량산출서_남대천단위수량_발주내역서 " xfId="5630"/>
    <cellStyle name="1_tree_오창수량산출서_단위수량_발주내역서 " xfId="5633"/>
    <cellStyle name="1_tree_오창수량산출서_단위수량1_발주내역서 " xfId="5632"/>
    <cellStyle name="1_tree_오창수량산출서_단위수량15_발주내역서 " xfId="5631"/>
    <cellStyle name="1_tree_오창수량산출서_도곡단위수량_발주내역서 " xfId="5634"/>
    <cellStyle name="1_tree_오창수량산출서_발주내역서 " xfId="5635"/>
    <cellStyle name="1_tree_오창수량산출서_수량산출서-11.25_NEW단위수량-주산_발주내역서 " xfId="5636"/>
    <cellStyle name="1_tree_오창수량산출서_수량산출서-11.25_남대천단위수량_발주내역서 " xfId="5637"/>
    <cellStyle name="1_tree_오창수량산출서_수량산출서-11.25_단위수량_발주내역서 " xfId="5640"/>
    <cellStyle name="1_tree_오창수량산출서_수량산출서-11.25_단위수량1_발주내역서 " xfId="5639"/>
    <cellStyle name="1_tree_오창수량산출서_수량산출서-11.25_단위수량15_발주내역서 " xfId="5638"/>
    <cellStyle name="1_tree_오창수량산출서_수량산출서-11.25_도곡단위수량_발주내역서 " xfId="5641"/>
    <cellStyle name="1_tree_오창수량산출서_수량산출서-11.25_발주내역서 " xfId="5642"/>
    <cellStyle name="1_tree_오창수량산출서_수량산출서-11.25_철거단위수량_발주내역서 " xfId="5643"/>
    <cellStyle name="1_tree_오창수량산출서_수량산출서-11.25_철거수량_발주내역서 " xfId="5644"/>
    <cellStyle name="1_tree_오창수량산출서_수량산출서-11.25_한수단위수량_발주내역서 " xfId="5645"/>
    <cellStyle name="1_tree_오창수량산출서_수량산출서-1201_NEW단위수량-주산_발주내역서 " xfId="5646"/>
    <cellStyle name="1_tree_오창수량산출서_수량산출서-1201_남대천단위수량_발주내역서 " xfId="5647"/>
    <cellStyle name="1_tree_오창수량산출서_수량산출서-1201_단위수량_발주내역서 " xfId="5650"/>
    <cellStyle name="1_tree_오창수량산출서_수량산출서-1201_단위수량1_발주내역서 " xfId="5649"/>
    <cellStyle name="1_tree_오창수량산출서_수량산출서-1201_단위수량15_발주내역서 " xfId="5648"/>
    <cellStyle name="1_tree_오창수량산출서_수량산출서-1201_도곡단위수량_발주내역서 " xfId="5651"/>
    <cellStyle name="1_tree_오창수량산출서_수량산출서-1201_발주내역서 " xfId="5652"/>
    <cellStyle name="1_tree_오창수량산출서_수량산출서-1201_철거단위수량_발주내역서 " xfId="5653"/>
    <cellStyle name="1_tree_오창수량산출서_수량산출서-1201_철거수량_발주내역서 " xfId="5654"/>
    <cellStyle name="1_tree_오창수량산출서_수량산출서-1201_한수단위수량_발주내역서 " xfId="5655"/>
    <cellStyle name="1_tree_오창수량산출서_시설물단위수량_발주내역서 " xfId="5658"/>
    <cellStyle name="1_tree_오창수량산출서_시설물단위수량1_발주내역서 " xfId="5656"/>
    <cellStyle name="1_tree_오창수량산출서_시설물단위수량1_시설물단위수량_발주내역서 " xfId="5657"/>
    <cellStyle name="1_tree_오창수량산출서_철거단위수량_발주내역서 " xfId="5659"/>
    <cellStyle name="1_tree_오창수량산출서_철거수량_발주내역서 " xfId="5660"/>
    <cellStyle name="1_tree_오창수량산출서_한수단위수량_발주내역서 " xfId="5661"/>
    <cellStyle name="1_tree_용평단위수량_발주내역서 " xfId="5662"/>
    <cellStyle name="1_tree_운동장단위수량_발주내역서 " xfId="5663"/>
    <cellStyle name="1_tree_은파단위수량_NEW단위수량-주산_발주내역서 " xfId="5664"/>
    <cellStyle name="1_tree_은파단위수량_남대천단위수량_발주내역서 " xfId="5665"/>
    <cellStyle name="1_tree_은파단위수량_단위수량_발주내역서 " xfId="5668"/>
    <cellStyle name="1_tree_은파단위수량_단위수량1_발주내역서 " xfId="5667"/>
    <cellStyle name="1_tree_은파단위수량_단위수량15_발주내역서 " xfId="5666"/>
    <cellStyle name="1_tree_은파단위수량_도곡단위수량_발주내역서 " xfId="5669"/>
    <cellStyle name="1_tree_은파단위수량_발주내역서 " xfId="5670"/>
    <cellStyle name="1_tree_은파단위수량_수량산출서-11.25_NEW단위수량-주산_발주내역서 " xfId="5671"/>
    <cellStyle name="1_tree_은파단위수량_수량산출서-11.25_남대천단위수량_발주내역서 " xfId="5672"/>
    <cellStyle name="1_tree_은파단위수량_수량산출서-11.25_단위수량_발주내역서 " xfId="5675"/>
    <cellStyle name="1_tree_은파단위수량_수량산출서-11.25_단위수량1_발주내역서 " xfId="5674"/>
    <cellStyle name="1_tree_은파단위수량_수량산출서-11.25_단위수량15_발주내역서 " xfId="5673"/>
    <cellStyle name="1_tree_은파단위수량_수량산출서-11.25_도곡단위수량_발주내역서 " xfId="5676"/>
    <cellStyle name="1_tree_은파단위수량_수량산출서-11.25_발주내역서 " xfId="5677"/>
    <cellStyle name="1_tree_은파단위수량_수량산출서-11.25_철거단위수량_발주내역서 " xfId="5678"/>
    <cellStyle name="1_tree_은파단위수량_수량산출서-11.25_철거수량_발주내역서 " xfId="5679"/>
    <cellStyle name="1_tree_은파단위수량_수량산출서-11.25_한수단위수량_발주내역서 " xfId="5680"/>
    <cellStyle name="1_tree_은파단위수량_수량산출서-1201_NEW단위수량-주산_발주내역서 " xfId="5681"/>
    <cellStyle name="1_tree_은파단위수량_수량산출서-1201_남대천단위수량_발주내역서 " xfId="5682"/>
    <cellStyle name="1_tree_은파단위수량_수량산출서-1201_단위수량_발주내역서 " xfId="5685"/>
    <cellStyle name="1_tree_은파단위수량_수량산출서-1201_단위수량1_발주내역서 " xfId="5684"/>
    <cellStyle name="1_tree_은파단위수량_수량산출서-1201_단위수량15_발주내역서 " xfId="5683"/>
    <cellStyle name="1_tree_은파단위수량_수량산출서-1201_도곡단위수량_발주내역서 " xfId="5686"/>
    <cellStyle name="1_tree_은파단위수량_수량산출서-1201_발주내역서 " xfId="5687"/>
    <cellStyle name="1_tree_은파단위수량_수량산출서-1201_철거단위수량_발주내역서 " xfId="5688"/>
    <cellStyle name="1_tree_은파단위수량_수량산출서-1201_철거수량_발주내역서 " xfId="5689"/>
    <cellStyle name="1_tree_은파단위수량_수량산출서-1201_한수단위수량_발주내역서 " xfId="5690"/>
    <cellStyle name="1_tree_은파단위수량_시설물단위수량_발주내역서 " xfId="5693"/>
    <cellStyle name="1_tree_은파단위수량_시설물단위수량1_발주내역서 " xfId="5691"/>
    <cellStyle name="1_tree_은파단위수량_시설물단위수량1_시설물단위수량_발주내역서 " xfId="5692"/>
    <cellStyle name="1_tree_은파단위수량_오창수량산출서_NEW단위수량-주산_발주내역서 " xfId="5694"/>
    <cellStyle name="1_tree_은파단위수량_오창수량산출서_남대천단위수량_발주내역서 " xfId="5695"/>
    <cellStyle name="1_tree_은파단위수량_오창수량산출서_단위수량_발주내역서 " xfId="5698"/>
    <cellStyle name="1_tree_은파단위수량_오창수량산출서_단위수량1_발주내역서 " xfId="5697"/>
    <cellStyle name="1_tree_은파단위수량_오창수량산출서_단위수량15_발주내역서 " xfId="5696"/>
    <cellStyle name="1_tree_은파단위수량_오창수량산출서_도곡단위수량_발주내역서 " xfId="5699"/>
    <cellStyle name="1_tree_은파단위수량_오창수량산출서_발주내역서 " xfId="5700"/>
    <cellStyle name="1_tree_은파단위수량_오창수량산출서_수량산출서-11.25_NEW단위수량-주산_발주내역서 " xfId="5701"/>
    <cellStyle name="1_tree_은파단위수량_오창수량산출서_수량산출서-11.25_남대천단위수량_발주내역서 " xfId="5702"/>
    <cellStyle name="1_tree_은파단위수량_오창수량산출서_수량산출서-11.25_단위수량_발주내역서 " xfId="5705"/>
    <cellStyle name="1_tree_은파단위수량_오창수량산출서_수량산출서-11.25_단위수량1_발주내역서 " xfId="5704"/>
    <cellStyle name="1_tree_은파단위수량_오창수량산출서_수량산출서-11.25_단위수량15_발주내역서 " xfId="5703"/>
    <cellStyle name="1_tree_은파단위수량_오창수량산출서_수량산출서-11.25_도곡단위수량_발주내역서 " xfId="5706"/>
    <cellStyle name="1_tree_은파단위수량_오창수량산출서_수량산출서-11.25_발주내역서 " xfId="5707"/>
    <cellStyle name="1_tree_은파단위수량_오창수량산출서_수량산출서-11.25_철거단위수량_발주내역서 " xfId="5708"/>
    <cellStyle name="1_tree_은파단위수량_오창수량산출서_수량산출서-11.25_철거수량_발주내역서 " xfId="5709"/>
    <cellStyle name="1_tree_은파단위수량_오창수량산출서_수량산출서-11.25_한수단위수량_발주내역서 " xfId="5710"/>
    <cellStyle name="1_tree_은파단위수량_오창수량산출서_수량산출서-1201_NEW단위수량-주산_발주내역서 " xfId="5711"/>
    <cellStyle name="1_tree_은파단위수량_오창수량산출서_수량산출서-1201_남대천단위수량_발주내역서 " xfId="5712"/>
    <cellStyle name="1_tree_은파단위수량_오창수량산출서_수량산출서-1201_단위수량_발주내역서 " xfId="5715"/>
    <cellStyle name="1_tree_은파단위수량_오창수량산출서_수량산출서-1201_단위수량1_발주내역서 " xfId="5714"/>
    <cellStyle name="1_tree_은파단위수량_오창수량산출서_수량산출서-1201_단위수량15_발주내역서 " xfId="5713"/>
    <cellStyle name="1_tree_은파단위수량_오창수량산출서_수량산출서-1201_도곡단위수량_발주내역서 " xfId="5716"/>
    <cellStyle name="1_tree_은파단위수량_오창수량산출서_수량산출서-1201_발주내역서 " xfId="5717"/>
    <cellStyle name="1_tree_은파단위수량_오창수량산출서_수량산출서-1201_철거단위수량_발주내역서 " xfId="5718"/>
    <cellStyle name="1_tree_은파단위수량_오창수량산출서_수량산출서-1201_철거수량_발주내역서 " xfId="5719"/>
    <cellStyle name="1_tree_은파단위수량_오창수량산출서_수량산출서-1201_한수단위수량_발주내역서 " xfId="5720"/>
    <cellStyle name="1_tree_은파단위수량_오창수량산출서_시설물단위수량_발주내역서 " xfId="5723"/>
    <cellStyle name="1_tree_은파단위수량_오창수량산출서_시설물단위수량1_발주내역서 " xfId="5721"/>
    <cellStyle name="1_tree_은파단위수량_오창수량산출서_시설물단위수량1_시설물단위수량_발주내역서 " xfId="5722"/>
    <cellStyle name="1_tree_은파단위수량_오창수량산출서_철거단위수량_발주내역서 " xfId="5724"/>
    <cellStyle name="1_tree_은파단위수량_오창수량산출서_철거수량_발주내역서 " xfId="5725"/>
    <cellStyle name="1_tree_은파단위수량_오창수량산출서_한수단위수량_발주내역서 " xfId="5726"/>
    <cellStyle name="1_tree_은파단위수량_용평단위수량_발주내역서 " xfId="5727"/>
    <cellStyle name="1_tree_은파단위수량_철거단위수량_발주내역서 " xfId="5728"/>
    <cellStyle name="1_tree_은파단위수량_철거수량_발주내역서 " xfId="5729"/>
    <cellStyle name="1_tree_은파단위수량_한수단위수량_발주내역서 " xfId="5730"/>
    <cellStyle name="1_tree_조경포장,관로시설_NEW단위수량-주산_발주내역서 " xfId="5731"/>
    <cellStyle name="1_tree_조경포장,관로시설_남대천단위수량_발주내역서 " xfId="5732"/>
    <cellStyle name="1_tree_조경포장,관로시설_단위수량_발주내역서 " xfId="5735"/>
    <cellStyle name="1_tree_조경포장,관로시설_단위수량1_발주내역서 " xfId="5734"/>
    <cellStyle name="1_tree_조경포장,관로시설_단위수량15_발주내역서 " xfId="5733"/>
    <cellStyle name="1_tree_조경포장,관로시설_도곡단위수량_발주내역서 " xfId="5736"/>
    <cellStyle name="1_tree_조경포장,관로시설_발주내역서 " xfId="5737"/>
    <cellStyle name="1_tree_조경포장,관로시설_수량산출서-11.25_NEW단위수량-주산_발주내역서 " xfId="5738"/>
    <cellStyle name="1_tree_조경포장,관로시설_수량산출서-11.25_남대천단위수량_발주내역서 " xfId="5739"/>
    <cellStyle name="1_tree_조경포장,관로시설_수량산출서-11.25_단위수량_발주내역서 " xfId="5742"/>
    <cellStyle name="1_tree_조경포장,관로시설_수량산출서-11.25_단위수량1_발주내역서 " xfId="5741"/>
    <cellStyle name="1_tree_조경포장,관로시설_수량산출서-11.25_단위수량15_발주내역서 " xfId="5740"/>
    <cellStyle name="1_tree_조경포장,관로시설_수량산출서-11.25_도곡단위수량_발주내역서 " xfId="5743"/>
    <cellStyle name="1_tree_조경포장,관로시설_수량산출서-11.25_발주내역서 " xfId="5744"/>
    <cellStyle name="1_tree_조경포장,관로시설_수량산출서-11.25_철거단위수량_발주내역서 " xfId="5745"/>
    <cellStyle name="1_tree_조경포장,관로시설_수량산출서-11.25_철거수량_발주내역서 " xfId="5746"/>
    <cellStyle name="1_tree_조경포장,관로시설_수량산출서-11.25_한수단위수량_발주내역서 " xfId="5747"/>
    <cellStyle name="1_tree_조경포장,관로시설_수량산출서-1201_NEW단위수량-주산_발주내역서 " xfId="5748"/>
    <cellStyle name="1_tree_조경포장,관로시설_수량산출서-1201_남대천단위수량_발주내역서 " xfId="5749"/>
    <cellStyle name="1_tree_조경포장,관로시설_수량산출서-1201_단위수량_발주내역서 " xfId="5752"/>
    <cellStyle name="1_tree_조경포장,관로시설_수량산출서-1201_단위수량1_발주내역서 " xfId="5751"/>
    <cellStyle name="1_tree_조경포장,관로시설_수량산출서-1201_단위수량15_발주내역서 " xfId="5750"/>
    <cellStyle name="1_tree_조경포장,관로시설_수량산출서-1201_도곡단위수량_발주내역서 " xfId="5753"/>
    <cellStyle name="1_tree_조경포장,관로시설_수량산출서-1201_발주내역서 " xfId="5754"/>
    <cellStyle name="1_tree_조경포장,관로시설_수량산출서-1201_철거단위수량_발주내역서 " xfId="5755"/>
    <cellStyle name="1_tree_조경포장,관로시설_수량산출서-1201_철거수량_발주내역서 " xfId="5756"/>
    <cellStyle name="1_tree_조경포장,관로시설_수량산출서-1201_한수단위수량_발주내역서 " xfId="5757"/>
    <cellStyle name="1_tree_조경포장,관로시설_시설물단위수량_발주내역서 " xfId="5760"/>
    <cellStyle name="1_tree_조경포장,관로시설_시설물단위수량1_발주내역서 " xfId="5758"/>
    <cellStyle name="1_tree_조경포장,관로시설_시설물단위수량1_시설물단위수량_발주내역서 " xfId="5759"/>
    <cellStyle name="1_tree_조경포장,관로시설_오창수량산출서_NEW단위수량-주산_발주내역서 " xfId="5761"/>
    <cellStyle name="1_tree_조경포장,관로시설_오창수량산출서_남대천단위수량_발주내역서 " xfId="5762"/>
    <cellStyle name="1_tree_조경포장,관로시설_오창수량산출서_단위수량_발주내역서 " xfId="5765"/>
    <cellStyle name="1_tree_조경포장,관로시설_오창수량산출서_단위수량1_발주내역서 " xfId="5764"/>
    <cellStyle name="1_tree_조경포장,관로시설_오창수량산출서_단위수량15_발주내역서 " xfId="5763"/>
    <cellStyle name="1_tree_조경포장,관로시설_오창수량산출서_도곡단위수량_발주내역서 " xfId="5766"/>
    <cellStyle name="1_tree_조경포장,관로시설_오창수량산출서_발주내역서 " xfId="5767"/>
    <cellStyle name="1_tree_조경포장,관로시설_오창수량산출서_수량산출서-11.25_NEW단위수량-주산_발주내역서 " xfId="5768"/>
    <cellStyle name="1_tree_조경포장,관로시설_오창수량산출서_수량산출서-11.25_남대천단위수량_발주내역서 " xfId="5769"/>
    <cellStyle name="1_tree_조경포장,관로시설_오창수량산출서_수량산출서-11.25_단위수량_발주내역서 " xfId="5772"/>
    <cellStyle name="1_tree_조경포장,관로시설_오창수량산출서_수량산출서-11.25_단위수량1_발주내역서 " xfId="5771"/>
    <cellStyle name="1_tree_조경포장,관로시설_오창수량산출서_수량산출서-11.25_단위수량15_발주내역서 " xfId="5770"/>
    <cellStyle name="1_tree_조경포장,관로시설_오창수량산출서_수량산출서-11.25_도곡단위수량_발주내역서 " xfId="5773"/>
    <cellStyle name="1_tree_조경포장,관로시설_오창수량산출서_수량산출서-11.25_발주내역서 " xfId="5774"/>
    <cellStyle name="1_tree_조경포장,관로시설_오창수량산출서_수량산출서-11.25_철거단위수량_발주내역서 " xfId="5775"/>
    <cellStyle name="1_tree_조경포장,관로시설_오창수량산출서_수량산출서-11.25_철거수량_발주내역서 " xfId="5776"/>
    <cellStyle name="1_tree_조경포장,관로시설_오창수량산출서_수량산출서-11.25_한수단위수량_발주내역서 " xfId="5777"/>
    <cellStyle name="1_tree_조경포장,관로시설_오창수량산출서_수량산출서-1201_NEW단위수량-주산_발주내역서 " xfId="5778"/>
    <cellStyle name="1_tree_조경포장,관로시설_오창수량산출서_수량산출서-1201_남대천단위수량_발주내역서 " xfId="5779"/>
    <cellStyle name="1_tree_조경포장,관로시설_오창수량산출서_수량산출서-1201_단위수량_발주내역서 " xfId="5782"/>
    <cellStyle name="1_tree_조경포장,관로시설_오창수량산출서_수량산출서-1201_단위수량1_발주내역서 " xfId="5781"/>
    <cellStyle name="1_tree_조경포장,관로시설_오창수량산출서_수량산출서-1201_단위수량15_발주내역서 " xfId="5780"/>
    <cellStyle name="1_tree_조경포장,관로시설_오창수량산출서_수량산출서-1201_도곡단위수량_발주내역서 " xfId="5783"/>
    <cellStyle name="1_tree_조경포장,관로시설_오창수량산출서_수량산출서-1201_발주내역서 " xfId="5784"/>
    <cellStyle name="1_tree_조경포장,관로시설_오창수량산출서_수량산출서-1201_철거단위수량_발주내역서 " xfId="5785"/>
    <cellStyle name="1_tree_조경포장,관로시설_오창수량산출서_수량산출서-1201_철거수량_발주내역서 " xfId="5786"/>
    <cellStyle name="1_tree_조경포장,관로시설_오창수량산출서_수량산출서-1201_한수단위수량_발주내역서 " xfId="5787"/>
    <cellStyle name="1_tree_조경포장,관로시설_오창수량산출서_시설물단위수량_발주내역서 " xfId="5790"/>
    <cellStyle name="1_tree_조경포장,관로시설_오창수량산출서_시설물단위수량1_발주내역서 " xfId="5788"/>
    <cellStyle name="1_tree_조경포장,관로시설_오창수량산출서_시설물단위수량1_시설물단위수량_발주내역서 " xfId="5789"/>
    <cellStyle name="1_tree_조경포장,관로시설_오창수량산출서_철거단위수량_발주내역서 " xfId="5791"/>
    <cellStyle name="1_tree_조경포장,관로시설_오창수량산출서_철거수량_발주내역서 " xfId="5792"/>
    <cellStyle name="1_tree_조경포장,관로시설_오창수량산출서_한수단위수량_발주내역서 " xfId="5793"/>
    <cellStyle name="1_tree_조경포장,관로시설_철거단위수량_발주내역서 " xfId="5794"/>
    <cellStyle name="1_tree_조경포장,관로시설_철거수량_발주내역서 " xfId="5795"/>
    <cellStyle name="1_tree_조경포장,관로시설_한수단위수량_발주내역서 " xfId="5796"/>
    <cellStyle name="1_tree_철거단위수량_발주내역서 " xfId="5797"/>
    <cellStyle name="1_tree_철거수량_발주내역서 " xfId="5798"/>
    <cellStyle name="1_tree_총괄_발주내역서 " xfId="5799"/>
    <cellStyle name="1_tree_총괄내역0518_구로리설계예산서1029_발주내역서 " xfId="5800"/>
    <cellStyle name="1_tree_총괄내역0518_구로리설계예산서1118준공_발주내역서 " xfId="5801"/>
    <cellStyle name="1_tree_총괄내역0518_구로리설계예산서조경_발주내역서 " xfId="5802"/>
    <cellStyle name="1_tree_총괄내역0518_구로리어린이공원예산서(조경)1125_발주내역서 " xfId="5803"/>
    <cellStyle name="1_tree_총괄내역0518_내역서_발주내역서 " xfId="5804"/>
    <cellStyle name="1_tree_총괄내역0518_노임단가표_발주내역서 " xfId="5805"/>
    <cellStyle name="1_tree_총괄내역0518_발주내역서 " xfId="5806"/>
    <cellStyle name="1_tree_총괄내역0518_수도권매립지_발주내역서 " xfId="5808"/>
    <cellStyle name="1_tree_총괄내역0518_수도권매립지1004(발주용)_발주내역서 " xfId="5807"/>
    <cellStyle name="1_tree_총괄내역0518_일신건영설계예산서(0211)_발주내역서 " xfId="5809"/>
    <cellStyle name="1_tree_총괄내역0518_일위대가_발주내역서 " xfId="5810"/>
    <cellStyle name="1_tree_총괄내역0518_자재단가표_발주내역서 " xfId="5811"/>
    <cellStyle name="1_tree_총괄내역0518_장안초등학교내역0814_발주내역서 " xfId="5812"/>
    <cellStyle name="1_tree_충남대단위수량_발주내역서 " xfId="5813"/>
    <cellStyle name="1_tree_터미널1_1_발주내역서 " xfId="5814"/>
    <cellStyle name="1_tree_터미널1_발주내역서 " xfId="5815"/>
    <cellStyle name="1_tree_한수단위수량_발주내역서 " xfId="5816"/>
    <cellStyle name="1_tree_한풍집계_발주내역서 " xfId="5817"/>
    <cellStyle name="1_tree_한풍집계_터미널1_1_발주내역서 " xfId="5818"/>
    <cellStyle name="1_tree_한풍집계_터미널1_발주내역서 " xfId="5819"/>
    <cellStyle name="1_tree_휴게시설_NEW단위수량-주산_발주내역서 " xfId="5820"/>
    <cellStyle name="1_tree_휴게시설_남대천단위수량_발주내역서 " xfId="5821"/>
    <cellStyle name="1_tree_휴게시설_단위수량_발주내역서 " xfId="5824"/>
    <cellStyle name="1_tree_휴게시설_단위수량1_발주내역서 " xfId="5823"/>
    <cellStyle name="1_tree_휴게시설_단위수량15_발주내역서 " xfId="5822"/>
    <cellStyle name="1_tree_휴게시설_도곡단위수량_발주내역서 " xfId="5825"/>
    <cellStyle name="1_tree_휴게시설_발주내역서 " xfId="5826"/>
    <cellStyle name="1_tree_휴게시설_수량산출서-11.25_NEW단위수량-주산_발주내역서 " xfId="5827"/>
    <cellStyle name="1_tree_휴게시설_수량산출서-11.25_남대천단위수량_발주내역서 " xfId="5828"/>
    <cellStyle name="1_tree_휴게시설_수량산출서-11.25_단위수량_발주내역서 " xfId="5831"/>
    <cellStyle name="1_tree_휴게시설_수량산출서-11.25_단위수량1_발주내역서 " xfId="5830"/>
    <cellStyle name="1_tree_휴게시설_수량산출서-11.25_단위수량15_발주내역서 " xfId="5829"/>
    <cellStyle name="1_tree_휴게시설_수량산출서-11.25_도곡단위수량_발주내역서 " xfId="5832"/>
    <cellStyle name="1_tree_휴게시설_수량산출서-11.25_발주내역서 " xfId="5833"/>
    <cellStyle name="1_tree_휴게시설_수량산출서-11.25_철거단위수량_발주내역서 " xfId="5834"/>
    <cellStyle name="1_tree_휴게시설_수량산출서-11.25_철거수량_발주내역서 " xfId="5835"/>
    <cellStyle name="1_tree_휴게시설_수량산출서-11.25_한수단위수량_발주내역서 " xfId="5836"/>
    <cellStyle name="1_tree_휴게시설_수량산출서-1201_NEW단위수량-주산_발주내역서 " xfId="5837"/>
    <cellStyle name="1_tree_휴게시설_수량산출서-1201_남대천단위수량_발주내역서 " xfId="5838"/>
    <cellStyle name="1_tree_휴게시설_수량산출서-1201_단위수량_발주내역서 " xfId="5841"/>
    <cellStyle name="1_tree_휴게시설_수량산출서-1201_단위수량1_발주내역서 " xfId="5840"/>
    <cellStyle name="1_tree_휴게시설_수량산출서-1201_단위수량15_발주내역서 " xfId="5839"/>
    <cellStyle name="1_tree_휴게시설_수량산출서-1201_도곡단위수량_발주내역서 " xfId="5842"/>
    <cellStyle name="1_tree_휴게시설_수량산출서-1201_발주내역서 " xfId="5843"/>
    <cellStyle name="1_tree_휴게시설_수량산출서-1201_철거단위수량_발주내역서 " xfId="5844"/>
    <cellStyle name="1_tree_휴게시설_수량산출서-1201_철거수량_발주내역서 " xfId="5845"/>
    <cellStyle name="1_tree_휴게시설_수량산출서-1201_한수단위수량_발주내역서 " xfId="5846"/>
    <cellStyle name="1_tree_휴게시설_시설물단위수량_발주내역서 " xfId="5849"/>
    <cellStyle name="1_tree_휴게시설_시설물단위수량1_발주내역서 " xfId="5847"/>
    <cellStyle name="1_tree_휴게시설_시설물단위수량1_시설물단위수량_발주내역서 " xfId="5848"/>
    <cellStyle name="1_tree_휴게시설_오창수량산출서_NEW단위수량-주산_발주내역서 " xfId="5850"/>
    <cellStyle name="1_tree_휴게시설_오창수량산출서_남대천단위수량_발주내역서 " xfId="5851"/>
    <cellStyle name="1_tree_휴게시설_오창수량산출서_단위수량_발주내역서 " xfId="5854"/>
    <cellStyle name="1_tree_휴게시설_오창수량산출서_단위수량1_발주내역서 " xfId="5853"/>
    <cellStyle name="1_tree_휴게시설_오창수량산출서_단위수량15_발주내역서 " xfId="5852"/>
    <cellStyle name="1_tree_휴게시설_오창수량산출서_도곡단위수량_발주내역서 " xfId="5855"/>
    <cellStyle name="1_tree_휴게시설_오창수량산출서_발주내역서 " xfId="5856"/>
    <cellStyle name="1_tree_휴게시설_오창수량산출서_수량산출서-11.25_NEW단위수량-주산_발주내역서 " xfId="5857"/>
    <cellStyle name="1_tree_휴게시설_오창수량산출서_수량산출서-11.25_남대천단위수량_발주내역서 " xfId="5858"/>
    <cellStyle name="1_tree_휴게시설_오창수량산출서_수량산출서-11.25_단위수량_발주내역서 " xfId="5861"/>
    <cellStyle name="1_tree_휴게시설_오창수량산출서_수량산출서-11.25_단위수량1_발주내역서 " xfId="5860"/>
    <cellStyle name="1_tree_휴게시설_오창수량산출서_수량산출서-11.25_단위수량15_발주내역서 " xfId="5859"/>
    <cellStyle name="1_tree_휴게시설_오창수량산출서_수량산출서-11.25_도곡단위수량_발주내역서 " xfId="5862"/>
    <cellStyle name="1_tree_휴게시설_오창수량산출서_수량산출서-11.25_발주내역서 " xfId="5863"/>
    <cellStyle name="1_tree_휴게시설_오창수량산출서_수량산출서-11.25_철거단위수량_발주내역서 " xfId="5864"/>
    <cellStyle name="1_tree_휴게시설_오창수량산출서_수량산출서-11.25_철거수량_발주내역서 " xfId="5865"/>
    <cellStyle name="1_tree_휴게시설_오창수량산출서_수량산출서-11.25_한수단위수량_발주내역서 " xfId="5866"/>
    <cellStyle name="1_tree_휴게시설_오창수량산출서_수량산출서-1201_NEW단위수량-주산_발주내역서 " xfId="5867"/>
    <cellStyle name="1_tree_휴게시설_오창수량산출서_수량산출서-1201_남대천단위수량_발주내역서 " xfId="5868"/>
    <cellStyle name="1_tree_휴게시설_오창수량산출서_수량산출서-1201_단위수량_발주내역서 " xfId="5871"/>
    <cellStyle name="1_tree_휴게시설_오창수량산출서_수량산출서-1201_단위수량1_발주내역서 " xfId="5870"/>
    <cellStyle name="1_tree_휴게시설_오창수량산출서_수량산출서-1201_단위수량15_발주내역서 " xfId="5869"/>
    <cellStyle name="1_tree_휴게시설_오창수량산출서_수량산출서-1201_도곡단위수량_발주내역서 " xfId="5872"/>
    <cellStyle name="1_tree_휴게시설_오창수량산출서_수량산출서-1201_발주내역서 " xfId="5873"/>
    <cellStyle name="1_tree_휴게시설_오창수량산출서_수량산출서-1201_철거단위수량_발주내역서 " xfId="5874"/>
    <cellStyle name="1_tree_휴게시설_오창수량산출서_수량산출서-1201_철거수량_발주내역서 " xfId="5875"/>
    <cellStyle name="1_tree_휴게시설_오창수량산출서_수량산출서-1201_한수단위수량_발주내역서 " xfId="5876"/>
    <cellStyle name="1_tree_휴게시설_오창수량산출서_시설물단위수량_발주내역서 " xfId="5879"/>
    <cellStyle name="1_tree_휴게시설_오창수량산출서_시설물단위수량1_발주내역서 " xfId="5877"/>
    <cellStyle name="1_tree_휴게시설_오창수량산출서_시설물단위수량1_시설물단위수량_발주내역서 " xfId="5878"/>
    <cellStyle name="1_tree_휴게시설_오창수량산출서_철거단위수량_발주내역서 " xfId="5880"/>
    <cellStyle name="1_tree_휴게시설_오창수량산출서_철거수량_발주내역서 " xfId="5881"/>
    <cellStyle name="1_tree_휴게시설_오창수량산출서_한수단위수량_발주내역서 " xfId="5882"/>
    <cellStyle name="1_tree_휴게시설_철거단위수량_발주내역서 " xfId="5883"/>
    <cellStyle name="1_tree_휴게시설_철거수량_발주내역서 " xfId="5884"/>
    <cellStyle name="1_tree_휴게시설_한수단위수량_발주내역서 " xfId="5885"/>
    <cellStyle name="1_강릉대학술정보지원센터총괄(월드2낙찰)" xfId="5886"/>
    <cellStyle name="1_강릉대학술정보지원센터총괄(월드2낙찰) 2" xfId="5887"/>
    <cellStyle name="1_강북중학교(명남하도급)" xfId="5888"/>
    <cellStyle name="1_강북중학교(명남하도급) 2" xfId="5889"/>
    <cellStyle name="1_고산중(내역)" xfId="5890"/>
    <cellStyle name="1_고산중(내역) 2" xfId="5891"/>
    <cellStyle name="1_고산중공내역" xfId="5892"/>
    <cellStyle name="1_고산중공내역 2" xfId="5893"/>
    <cellStyle name="1_고속국도제1호선한남~반포간확장공사(대동)" xfId="5894"/>
    <cellStyle name="1_고속국도제1호선한남~반포간확장공사(대동) 2" xfId="5895"/>
    <cellStyle name="1_괴산종합운동장_발주내역서 " xfId="5896"/>
    <cellStyle name="1_군도5호선(금곡~부평간)개설공사(청백하도급)" xfId="5897"/>
    <cellStyle name="1_군도5호선(금곡~부평간)개설공사(청백하도급) 2" xfId="5898"/>
    <cellStyle name="1_금강Ⅱ지구김제2-2공구토목공사(동도)" xfId="5899"/>
    <cellStyle name="1_금강Ⅱ지구김제2-2공구토목공사(동도) 2" xfId="5900"/>
    <cellStyle name="1_금강성덕제개수공사(보광)" xfId="5901"/>
    <cellStyle name="1_금강성덕제개수공사(보광) 2" xfId="5902"/>
    <cellStyle name="1_금화초교교사신축공사하도급작업수정" xfId="5903"/>
    <cellStyle name="1_금화초교교사신축공사하도급작업수정 2" xfId="5904"/>
    <cellStyle name="1_길동배수지건설공사(구보)" xfId="5905"/>
    <cellStyle name="1_길동배수지건설공사(구보) 2" xfId="5906"/>
    <cellStyle name="1_김포한강 A-5BL AL창호중량" xfId="5907"/>
    <cellStyle name="1_김포한강 A-5BL AL창호중량 2" xfId="5908"/>
    <cellStyle name="1_남악신도시(2-1공구)대양" xfId="5909"/>
    <cellStyle name="1_남악신도시(2-1공구)대양 2" xfId="5910"/>
    <cellStyle name="1_내덕1+신안+능동" xfId="5911"/>
    <cellStyle name="1_내덕1+신안+능동 2" xfId="5912"/>
    <cellStyle name="1_내덕1초교 내역서(투찰)" xfId="5913"/>
    <cellStyle name="1_내덕1초교 내역서(투찰) 2" xfId="5914"/>
    <cellStyle name="1_단가조사표" xfId="5915"/>
    <cellStyle name="1_단가조사표 2" xfId="5916"/>
    <cellStyle name="1_단가조사표_1011소각" xfId="5917"/>
    <cellStyle name="1_단가조사표_1011소각 2" xfId="5918"/>
    <cellStyle name="1_단가조사표_1113교~1" xfId="5919"/>
    <cellStyle name="1_단가조사표_1113교~1 2" xfId="5920"/>
    <cellStyle name="1_단가조사표_121내역" xfId="5921"/>
    <cellStyle name="1_단가조사표_121내역 2" xfId="5922"/>
    <cellStyle name="1_단가조사표_객토량" xfId="5923"/>
    <cellStyle name="1_단가조사표_객토량 2" xfId="5924"/>
    <cellStyle name="1_단가조사표_교통센~1" xfId="5925"/>
    <cellStyle name="1_단가조사표_교통센~1 2" xfId="5926"/>
    <cellStyle name="1_단가조사표_교통센터412" xfId="5927"/>
    <cellStyle name="1_단가조사표_교통센터412 2" xfId="5928"/>
    <cellStyle name="1_단가조사표_교통수" xfId="5929"/>
    <cellStyle name="1_단가조사표_교통수 2" xfId="5930"/>
    <cellStyle name="1_단가조사표_교통수량산출서" xfId="5931"/>
    <cellStyle name="1_단가조사표_교통수량산출서 2" xfId="5932"/>
    <cellStyle name="1_단가조사표_구조물대가 (2)" xfId="5933"/>
    <cellStyle name="1_단가조사표_구조물대가 (2) 2" xfId="5934"/>
    <cellStyle name="1_단가조사표_내역서 (2)" xfId="5935"/>
    <cellStyle name="1_단가조사표_내역서 (2) 2" xfId="5936"/>
    <cellStyle name="1_단가조사표_대전관저지구" xfId="5937"/>
    <cellStyle name="1_단가조사표_대전관저지구 2" xfId="5938"/>
    <cellStyle name="1_단가조사표_동측지~1" xfId="5939"/>
    <cellStyle name="1_단가조사표_동측지~1 2" xfId="5940"/>
    <cellStyle name="1_단가조사표_동측지원422" xfId="5941"/>
    <cellStyle name="1_단가조사표_동측지원422 2" xfId="5942"/>
    <cellStyle name="1_단가조사표_동측지원512" xfId="5943"/>
    <cellStyle name="1_단가조사표_동측지원512 2" xfId="5944"/>
    <cellStyle name="1_단가조사표_동측지원524" xfId="5945"/>
    <cellStyle name="1_단가조사표_동측지원524 2" xfId="5946"/>
    <cellStyle name="1_단가조사표_부대422" xfId="5947"/>
    <cellStyle name="1_단가조사표_부대422 2" xfId="5948"/>
    <cellStyle name="1_단가조사표_부대시설" xfId="5949"/>
    <cellStyle name="1_단가조사표_부대시설 2" xfId="5950"/>
    <cellStyle name="1_단가조사표_소각수~1" xfId="5951"/>
    <cellStyle name="1_단가조사표_소각수~1 2" xfId="5952"/>
    <cellStyle name="1_단가조사표_소각수내역서" xfId="5953"/>
    <cellStyle name="1_단가조사표_소각수내역서 2" xfId="5954"/>
    <cellStyle name="1_단가조사표_소각수목2" xfId="5955"/>
    <cellStyle name="1_단가조사표_소각수목2 2" xfId="5956"/>
    <cellStyle name="1_단가조사표_수량산출서 (2)" xfId="5957"/>
    <cellStyle name="1_단가조사표_수량산출서 (2) 2" xfId="5958"/>
    <cellStyle name="1_단가조사표_엑스포~1" xfId="5959"/>
    <cellStyle name="1_단가조사표_엑스포~1 2" xfId="5960"/>
    <cellStyle name="1_단가조사표_엑스포한빛1" xfId="5961"/>
    <cellStyle name="1_단가조사표_엑스포한빛1 2" xfId="5962"/>
    <cellStyle name="1_단가조사표_여객터미널331" xfId="5963"/>
    <cellStyle name="1_단가조사표_여객터미널331 2" xfId="5964"/>
    <cellStyle name="1_단가조사표_여객터미널513" xfId="5965"/>
    <cellStyle name="1_단가조사표_여객터미널513 2" xfId="5966"/>
    <cellStyle name="1_단가조사표_여객터미널629" xfId="5967"/>
    <cellStyle name="1_단가조사표_여객터미널629 2" xfId="5968"/>
    <cellStyle name="1_단가조사표_외곽도로616" xfId="5969"/>
    <cellStyle name="1_단가조사표_외곽도로616 2" xfId="5970"/>
    <cellStyle name="1_단가조사표_용인죽전수량" xfId="5971"/>
    <cellStyle name="1_단가조사표_용인죽전수량 2" xfId="5972"/>
    <cellStyle name="1_단가조사표_원가계~1" xfId="5973"/>
    <cellStyle name="1_단가조사표_원가계~1 2" xfId="5974"/>
    <cellStyle name="1_단가조사표_유기질" xfId="5975"/>
    <cellStyle name="1_단가조사표_유기질 2" xfId="5976"/>
    <cellStyle name="1_단가조사표_자재조서 (2)" xfId="5977"/>
    <cellStyle name="1_단가조사표_자재조서 (2) 2" xfId="5978"/>
    <cellStyle name="1_단가조사표_총괄내역" xfId="5979"/>
    <cellStyle name="1_단가조사표_총괄내역 (2)" xfId="5980"/>
    <cellStyle name="1_단가조사표_총괄내역 (2) 2" xfId="5981"/>
    <cellStyle name="1_단가조사표_총괄내역 2" xfId="5982"/>
    <cellStyle name="1_단가조사표_터미널도로403" xfId="5983"/>
    <cellStyle name="1_단가조사표_터미널도로403 2" xfId="5984"/>
    <cellStyle name="1_단가조사표_터미널도로429" xfId="5985"/>
    <cellStyle name="1_단가조사표_터미널도로429 2" xfId="5986"/>
    <cellStyle name="1_단가조사표_포장일위" xfId="5987"/>
    <cellStyle name="1_단가조사표_포장일위 2" xfId="5988"/>
    <cellStyle name="1_당동(청강)" xfId="5989"/>
    <cellStyle name="1_당동(청강) 2" xfId="5990"/>
    <cellStyle name="1_당동(청강디스켓1)" xfId="5991"/>
    <cellStyle name="1_당동(청강디스켓1) 2" xfId="5992"/>
    <cellStyle name="1_대구지검 안동지청 신축공사(제출)" xfId="5993"/>
    <cellStyle name="1_대구지검 안동지청 신축공사(제출) 2" xfId="5994"/>
    <cellStyle name="1_대전교육정보원(강산)" xfId="5995"/>
    <cellStyle name="1_대전교육정보원(강산) 2" xfId="5996"/>
    <cellStyle name="1_대전교육정보원신축공사(강산)" xfId="5997"/>
    <cellStyle name="1_대전교육정보원신축공사(강산) 2" xfId="5998"/>
    <cellStyle name="1_대전목양초" xfId="5999"/>
    <cellStyle name="1_대전목양초 2" xfId="6000"/>
    <cellStyle name="1_대전비례초교(건축)(1)" xfId="6001"/>
    <cellStyle name="1_대전비례초교(건축)(1) 2" xfId="6002"/>
    <cellStyle name="1_대전서붕고하도급" xfId="6003"/>
    <cellStyle name="1_대전서붕고하도급 2" xfId="6004"/>
    <cellStyle name="1_대전지원홍성지청(흥화-1)" xfId="6005"/>
    <cellStyle name="1_대전지원홍성지청(흥화-1) 2" xfId="6006"/>
    <cellStyle name="1_대호지~석문간지방도확포장공사(신일)" xfId="6007"/>
    <cellStyle name="1_대호지~석문간지방도확포장공사(신일) 2" xfId="6008"/>
    <cellStyle name="1_도암~강진도로확장공사(대국2)" xfId="6009"/>
    <cellStyle name="1_도암~강진도로확장공사(대국2) 2" xfId="6010"/>
    <cellStyle name="1_등촌고등총괄(동현하도급)" xfId="6011"/>
    <cellStyle name="1_등촌고등총괄(동현하도급) 2" xfId="6012"/>
    <cellStyle name="1_마현~생창국도건설공사" xfId="6013"/>
    <cellStyle name="1_마현~생창국도건설공사 2" xfId="6014"/>
    <cellStyle name="1_명암지-산성간" xfId="6015"/>
    <cellStyle name="1_명암지-산성간 2" xfId="6016"/>
    <cellStyle name="1_백석지구농촌용수개발사업(대원)" xfId="6017"/>
    <cellStyle name="1_백석지구농촌용수개발사업(대원) 2" xfId="6018"/>
    <cellStyle name="1_병목안배수지건설(100%)" xfId="6019"/>
    <cellStyle name="1_병목안배수지건설(100%) 2" xfId="6020"/>
    <cellStyle name="1_봉곡중총괄(대지완결)" xfId="6021"/>
    <cellStyle name="1_봉곡중총괄(대지완결) 2" xfId="6022"/>
    <cellStyle name="1_부대입찰확약서" xfId="6023"/>
    <cellStyle name="1_부대입찰확약서 2" xfId="6024"/>
    <cellStyle name="1_부산해사고(100%)" xfId="6025"/>
    <cellStyle name="1_부산해사고(100%) 2" xfId="6026"/>
    <cellStyle name="1_비래초-(1차분)" xfId="6027"/>
    <cellStyle name="1_비래초-(1차분) 2" xfId="6028"/>
    <cellStyle name="1_새들초등학교(동성)" xfId="6029"/>
    <cellStyle name="1_새들초등학교(동성) 2" xfId="6030"/>
    <cellStyle name="1_서울대학교사범대교육정보관(에스와이비작업수정)" xfId="6031"/>
    <cellStyle name="1_서울대학교사범대교육정보관(에스와이비작업수정) 2" xfId="6032"/>
    <cellStyle name="1_서울대학교사범대교육정보관(에스와이비작업완료)" xfId="6033"/>
    <cellStyle name="1_서울대학교사범대교육정보관(에스와이비작업완료) 2" xfId="6034"/>
    <cellStyle name="1_서울도림초등학교(신한디스켓)" xfId="6035"/>
    <cellStyle name="1_서울도림초등학교(신한디스켓) 2" xfId="6036"/>
    <cellStyle name="1_서울숲교회 02-15" xfId="6037"/>
    <cellStyle name="1_서울숲교회 02-15 2" xfId="6038"/>
    <cellStyle name="1_서울숲교회01-19" xfId="6039"/>
    <cellStyle name="1_서울숲교회01-19 2" xfId="6040"/>
    <cellStyle name="1_서울숲교회02-07" xfId="6041"/>
    <cellStyle name="1_서울숲교회02-07 2" xfId="6042"/>
    <cellStyle name="1_서울숲교회부속실02-07" xfId="6043"/>
    <cellStyle name="1_서울숲교회부속실02-07 2" xfId="6044"/>
    <cellStyle name="1_서울숲교회부속실영상2-7" xfId="6045"/>
    <cellStyle name="1_서울숲교회부속실영상2-7 2" xfId="6046"/>
    <cellStyle name="1_서울화일초(덕동)" xfId="6047"/>
    <cellStyle name="1_서울화일초(덕동) 2" xfId="6048"/>
    <cellStyle name="1_성산배수지건설공사(덕동)" xfId="6049"/>
    <cellStyle name="1_성산배수지건설공사(덕동) 2" xfId="6050"/>
    <cellStyle name="1_송정리역사(토목완료林)" xfId="6051"/>
    <cellStyle name="1_송정리역사(토목완료林) 2" xfId="6052"/>
    <cellStyle name="1_송정리역사(토목완료林)_15사단 홍콩" xfId="6053"/>
    <cellStyle name="1_송정리역사(토목완료林)_15사단 홍콩 2" xfId="6054"/>
    <cellStyle name="1_송정리역사(토목완료林)_2004-1046" xfId="6055"/>
    <cellStyle name="1_송정리역사(토목완료林)_2004-1046 2" xfId="6056"/>
    <cellStyle name="1_수도권매립지하도급(명도)" xfId="6057"/>
    <cellStyle name="1_수도권매립지하도급(명도) 2" xfId="6058"/>
    <cellStyle name="1_수정갑지" xfId="6059"/>
    <cellStyle name="1_수정갑지 2" xfId="6060"/>
    <cellStyle name="1_시민계략공사" xfId="6061"/>
    <cellStyle name="1_시민계략공사 2" xfId="6062"/>
    <cellStyle name="1_시민계략공사_2.20작은자리최종내역-기계설비" xfId="6063"/>
    <cellStyle name="1_시민계략공사_전기공내역서" xfId="6066"/>
    <cellStyle name="1_시민계략공사_전기공내역서 2" xfId="6067"/>
    <cellStyle name="1_시민계략공사_전기-한남" xfId="6064"/>
    <cellStyle name="1_시민계략공사_전기-한남 2" xfId="6065"/>
    <cellStyle name="1_신정고등학교(삼능)~투찰" xfId="6068"/>
    <cellStyle name="1_신정고등학교(삼능)~투찰 2" xfId="6069"/>
    <cellStyle name="1_신정고등학교(송촌)~투찰" xfId="6070"/>
    <cellStyle name="1_신정고등학교(송촌)~투찰 2" xfId="6071"/>
    <cellStyle name="1_외교정보토목_발주내역서 " xfId="6072"/>
    <cellStyle name="1_원가계산서" xfId="6073"/>
    <cellStyle name="1_원가계산서 2" xfId="6074"/>
    <cellStyle name="1_인천북항관공선부두(수정내역)" xfId="6075"/>
    <cellStyle name="1_인천북항관공선부두(수정내역) 2" xfId="6076"/>
    <cellStyle name="1_장산중학교내역(혁성)" xfId="6077"/>
    <cellStyle name="1_장산중학교내역(혁성) 2" xfId="6078"/>
    <cellStyle name="1_장산중학교내역(혁성업체)" xfId="6079"/>
    <cellStyle name="1_장산중학교내역(혁성업체) 2" xfId="6080"/>
    <cellStyle name="1_장산중학교내역하도급(혁성)" xfId="6081"/>
    <cellStyle name="1_장산중학교내역하도급(혁성) 2" xfId="6082"/>
    <cellStyle name="1_전주 덕진구 생물벤저단지 ES" xfId="6083"/>
    <cellStyle name="1_전주 덕진구 생물벤저단지 ES 2" xfId="6084"/>
    <cellStyle name="1_전주 덕진구 생물벤저단지 ES_철원공사비사본" xfId="6085"/>
    <cellStyle name="1_전주 덕진구 생물벤저단지 ES_철원공사비사본 2" xfId="6086"/>
    <cellStyle name="1_전주시관내(이서~용정)건설공사(신화)" xfId="6087"/>
    <cellStyle name="1_전주시관내(이서~용정)건설공사(신화) 2" xfId="6088"/>
    <cellStyle name="1_전주용소 초 중교 산출내역서" xfId="6089"/>
    <cellStyle name="1_전주용소 초 중교 산출내역서 2" xfId="6090"/>
    <cellStyle name="1_조경내역서_발주내역서 " xfId="6091"/>
    <cellStyle name="1_천천고고등학교교사신축공사(산출내역집계표)" xfId="6092"/>
    <cellStyle name="1_천천고고등학교교사신축공사(산출내역집계표) 2" xfId="6093"/>
    <cellStyle name="1_철도청통합사령실(대명)" xfId="6094"/>
    <cellStyle name="1_철도청통합사령실(대명) 2" xfId="6095"/>
    <cellStyle name="1_철원공사비사본" xfId="6096"/>
    <cellStyle name="1_철원공사비사본 2" xfId="6097"/>
    <cellStyle name="1_철원공사비사본_철원공사비사본" xfId="6098"/>
    <cellStyle name="1_철원공사비사본_철원공사비사본 2" xfId="6099"/>
    <cellStyle name="1_퇴계로확포장공사하도급작업(해경)" xfId="6100"/>
    <cellStyle name="1_퇴계로확포장공사하도급작업(해경) 2" xfId="6101"/>
    <cellStyle name="1_포항교도소(대동)" xfId="6102"/>
    <cellStyle name="1_포항교도소(대동) 2" xfId="6103"/>
    <cellStyle name="1_포항교도소(원본)" xfId="6104"/>
    <cellStyle name="1_포항교도소(원본) 2" xfId="6105"/>
    <cellStyle name="1_하도급관리계획서" xfId="6106"/>
    <cellStyle name="1_하도급관리계획서 2" xfId="6107"/>
    <cellStyle name="1_하도급양식" xfId="6108"/>
    <cellStyle name="1_하도급양식 2" xfId="6109"/>
    <cellStyle name="1_협조전" xfId="6110"/>
    <cellStyle name="1_협조전 2" xfId="6111"/>
    <cellStyle name="1_확약서" xfId="6112"/>
    <cellStyle name="1_확약서 2" xfId="6113"/>
    <cellStyle name="1_효성교회견적계약" xfId="6114"/>
    <cellStyle name="1_효성교회견적계약 2" xfId="6115"/>
    <cellStyle name="10" xfId="4991"/>
    <cellStyle name="10 2" xfId="4992"/>
    <cellStyle name="111" xfId="4993"/>
    <cellStyle name="111 2" xfId="4994"/>
    <cellStyle name="123" xfId="4995"/>
    <cellStyle name="123 2" xfId="4996"/>
    <cellStyle name="19990216" xfId="4997"/>
    <cellStyle name="19990216 2" xfId="4998"/>
    <cellStyle name="¹e" xfId="28137"/>
    <cellStyle name="¹e 2" xfId="28138"/>
    <cellStyle name="¹eº" xfId="28139"/>
    <cellStyle name="¹éº" xfId="28500"/>
    <cellStyle name="¹eº 2" xfId="28140"/>
    <cellStyle name="¹éº 2" xfId="28501"/>
    <cellStyle name="¹eº 2 2" xfId="28141"/>
    <cellStyle name="¹éº 2 2" xfId="28502"/>
    <cellStyle name="¹eº 3" xfId="28142"/>
    <cellStyle name="¹éº 3" xfId="28503"/>
    <cellStyle name="¹eº_Lemon 수원영화점 기계도급내역(최종보고)" xfId="28143"/>
    <cellStyle name="¹éº_Lemon 수원영화점 기계도급내역(최종보고)" xfId="28504"/>
    <cellStyle name="¹eº_Lemon 수원영화점 기계도급내역(최종보고) 2" xfId="28144"/>
    <cellStyle name="¹éº_Lemon 수원영화점 기계도급내역(최종보고) 2" xfId="28505"/>
    <cellStyle name="¹eº_Lemon 수원영화점(기계공사)" xfId="28145"/>
    <cellStyle name="¹éº_Lemon 수원영화점(기계공사)" xfId="28506"/>
    <cellStyle name="¹eº_Lemon 수원영화점(기계공사) 2" xfId="28146"/>
    <cellStyle name="¹éº_Lemon 수원영화점(기계공사) 2" xfId="28507"/>
    <cellStyle name="¹eº_LFD부산실행예산(020219)건축" xfId="28147"/>
    <cellStyle name="¹éº_LFD부산실행예산(020219)건축" xfId="28508"/>
    <cellStyle name="¹eº_LFD부산실행예산(020219)건축 2" xfId="28148"/>
    <cellStyle name="¹éº_LFD부산실행예산(020219)건축 2" xfId="28509"/>
    <cellStyle name="¹eº_LFD부산실행예산(020219)건축_경서실행(견적실)공무팀" xfId="28149"/>
    <cellStyle name="¹éº_LFD부산실행예산(020219)건축_경서실행(견적실)공무팀" xfId="28510"/>
    <cellStyle name="¹eº_LFD부산실행예산(020219)건축_경서실행(견적실)공무팀 2" xfId="28150"/>
    <cellStyle name="¹éº_LFD부산실행예산(020219)건축_경서실행(견적실)공무팀 2" xfId="28511"/>
    <cellStyle name="¹eº_LFD부산실행예산(020219)건축_골조공사견적가분석-1" xfId="28151"/>
    <cellStyle name="¹éº_LFD부산실행예산(020219)건축_골조공사견적가분석-1" xfId="28512"/>
    <cellStyle name="¹eº_LFD부산실행예산(020219)건축_골조공사견적가분석-1 2" xfId="28152"/>
    <cellStyle name="¹éº_LFD부산실행예산(020219)건축_골조공사견적가분석-1 2" xfId="28513"/>
    <cellStyle name="¹eº_LFD부산실행예산(020219)건축_골조공사공내역(송부)" xfId="28153"/>
    <cellStyle name="¹éº_LFD부산실행예산(020219)건축_골조공사공내역(송부)" xfId="28514"/>
    <cellStyle name="¹eº_LFD부산실행예산(020219)건축_골조공사공내역(송부) 2" xfId="28154"/>
    <cellStyle name="¹éº_LFD부산실행예산(020219)건축_골조공사공내역(송부) 2" xfId="28515"/>
    <cellStyle name="¹eº_LFD부산실행예산(020219)건축_골조공사공내역(장)" xfId="28155"/>
    <cellStyle name="¹éº_LFD부산실행예산(020219)건축_골조공사공내역(장)" xfId="28516"/>
    <cellStyle name="¹eº_LFD부산실행예산(020219)건축_골조공사공내역(장) 2" xfId="28156"/>
    <cellStyle name="¹éº_LFD부산실행예산(020219)건축_골조공사공내역(장) 2" xfId="28517"/>
    <cellStyle name="¹eº_LFD부산실행예산(020219)건축_골조공사실행예산품의" xfId="28157"/>
    <cellStyle name="¹éº_LFD부산실행예산(020219)건축_골조공사실행예산품의" xfId="28518"/>
    <cellStyle name="¹eº_LFD부산실행예산(020219)건축_골조공사실행예산품의 2" xfId="28158"/>
    <cellStyle name="¹éº_LFD부산실행예산(020219)건축_골조공사실행예산품의 2" xfId="28519"/>
    <cellStyle name="¹eº_LFD부산실행예산(020219)건축_동명2차실행예산(기초DATA)" xfId="28159"/>
    <cellStyle name="¹éº_LFD부산실행예산(020219)건축_동명2차실행예산(기초DATA)" xfId="28520"/>
    <cellStyle name="¹eº_LFD부산실행예산(020219)건축_동명2차실행예산(기초DATA) 2" xfId="28160"/>
    <cellStyle name="¹éº_LFD부산실행예산(020219)건축_동명2차실행예산(기초DATA) 2" xfId="28521"/>
    <cellStyle name="¹eº_LFD부산실행예산(020219)건축_동명본실행(수정)" xfId="28161"/>
    <cellStyle name="¹éº_LFD부산실행예산(020219)건축_동명본실행(수정)" xfId="28522"/>
    <cellStyle name="¹eº_LFD부산실행예산(020219)건축_동명본실행(수정) 2" xfId="28162"/>
    <cellStyle name="¹éº_LFD부산실행예산(020219)건축_동명본실행(수정) 2" xfId="28523"/>
    <cellStyle name="¹eº_LFD부산실행예산(020219)건축_동명삼화견본주택 기본안" xfId="28163"/>
    <cellStyle name="¹éº_LFD부산실행예산(020219)건축_동명삼화견본주택 기본안" xfId="28524"/>
    <cellStyle name="¹eº_LFD부산실행예산(020219)건축_동명삼화견본주택 기본안 2" xfId="28164"/>
    <cellStyle name="¹éº_LFD부산실행예산(020219)건축_동명삼화견본주택 기본안 2" xfId="28525"/>
    <cellStyle name="¹eº_LFD부산실행예산(020219)건축_부산덕천2차실행예산(기초DATA)" xfId="28165"/>
    <cellStyle name="¹éº_LFD부산실행예산(020219)건축_부산덕천2차실행예산(기초DATA)" xfId="28526"/>
    <cellStyle name="¹eº_LFD부산실행예산(020219)건축_부산덕천2차실행예산(기초DATA) 2" xfId="28166"/>
    <cellStyle name="¹éº_LFD부산실행예산(020219)건축_부산덕천2차실행예산(기초DATA) 2" xfId="28527"/>
    <cellStyle name="¹eº_LFD부산실행예산(020219)건축_부산덕천2차실행예산(기초DATA건설조정)" xfId="28167"/>
    <cellStyle name="¹éº_LFD부산실행예산(020219)건축_부산덕천2차실행예산(기초DATA건설조정)" xfId="28528"/>
    <cellStyle name="¹eº_LFD부산실행예산(020219)건축_부산덕천2차실행예산(기초DATA건설조정) 2" xfId="28168"/>
    <cellStyle name="¹éº_LFD부산실행예산(020219)건축_부산덕천2차실행예산(기초DATA건설조정) 2" xfId="28529"/>
    <cellStyle name="¹eº_LFD부산실행예산(020219)건축_부산덕천2차실행예산(기초DATA승인용)" xfId="28169"/>
    <cellStyle name="¹éº_LFD부산실행예산(020219)건축_부산덕천2차실행예산(기초DATA승인용)" xfId="28530"/>
    <cellStyle name="¹eº_LFD부산실행예산(020219)건축_부산덕천2차실행예산(기초DATA승인용) 2" xfId="28170"/>
    <cellStyle name="¹éº_LFD부산실행예산(020219)건축_부산덕천2차실행예산(기초DATA승인용) 2" xfId="28531"/>
    <cellStyle name="¹eº_LFD부산실행예산(020219)건축_부산덕천2차실행예산(기초DATA현장협의후)" xfId="28171"/>
    <cellStyle name="¹éº_LFD부산실행예산(020219)건축_부산덕천2차실행예산(기초DATA현장협의후)" xfId="28532"/>
    <cellStyle name="¹eº_LFD부산실행예산(020219)건축_부산덕천2차실행예산(기초DATA현장협의후) 2" xfId="28172"/>
    <cellStyle name="¹éº_LFD부산실행예산(020219)건축_부산덕천2차실행예산(기초DATA현장협의후) 2" xfId="28533"/>
    <cellStyle name="¹eº_LFD부산실행예산(020219)건축_실행검토_부산덕천" xfId="28173"/>
    <cellStyle name="¹éº_LFD부산실행예산(020219)건축_실행검토_부산덕천" xfId="28534"/>
    <cellStyle name="¹eº_LFD부산실행예산(020219)건축_실행검토_부산덕천 2" xfId="28174"/>
    <cellStyle name="¹éº_LFD부산실행예산(020219)건축_실행검토_부산덕천 2" xfId="28535"/>
    <cellStyle name="¹eº_LFD부산실행예산(020219)건축_여의도센터빌딩실행원가(020613)-2" xfId="28175"/>
    <cellStyle name="¹éº_LFD부산실행예산(020219)건축_여의도센터빌딩실행원가(020613)-2" xfId="28536"/>
    <cellStyle name="¹eº_LFD부산실행예산(020219)건축_여의도센터빌딩실행원가(020613)-2 2" xfId="28176"/>
    <cellStyle name="¹éº_LFD부산실행예산(020219)건축_여의도센터빌딩실행원가(020613)-2 2" xfId="28537"/>
    <cellStyle name="¹eº_LFD부산실행예산(020219)건축_제과충주영업소견적서" xfId="28177"/>
    <cellStyle name="¹éº_LFD부산실행예산(020219)건축_제과충주영업소견적서" xfId="28538"/>
    <cellStyle name="¹eº_LFD부산실행예산(020219)건축_제과충주영업소견적서 2" xfId="28178"/>
    <cellStyle name="¹éº_LFD부산실행예산(020219)건축_제과충주영업소견적서 2" xfId="28539"/>
    <cellStyle name="¹eº_LFD부산실행예산(020219)건축_현장경비신청안박성남" xfId="28179"/>
    <cellStyle name="¹éº_LFD부산실행예산(020219)건축_현장경비신청안박성남" xfId="28540"/>
    <cellStyle name="¹eº_LFD부산실행예산(020219)건축_현장경비신청안박성남 2" xfId="28180"/>
    <cellStyle name="¹éº_LFD부산실행예산(020219)건축_현장경비신청안박성남 2" xfId="28541"/>
    <cellStyle name="¹eº_LFD부산실행예산(020305)건축" xfId="28181"/>
    <cellStyle name="¹éº_LFD부산실행예산(020305)건축" xfId="28542"/>
    <cellStyle name="¹eº_LFD부산실행예산(020305)건축 2" xfId="28182"/>
    <cellStyle name="¹éº_LFD부산실행예산(020305)건축 2" xfId="28543"/>
    <cellStyle name="¹eº_LFD부산실행예산(020305)건축_경서실행(견적실)공무팀" xfId="28183"/>
    <cellStyle name="¹éº_LFD부산실행예산(020305)건축_경서실행(견적실)공무팀" xfId="28544"/>
    <cellStyle name="¹eº_LFD부산실행예산(020305)건축_경서실행(견적실)공무팀 2" xfId="28184"/>
    <cellStyle name="¹éº_LFD부산실행예산(020305)건축_경서실행(견적실)공무팀 2" xfId="28545"/>
    <cellStyle name="¹eº_LFD부산실행예산(020305)건축_골조공사견적가분석-1" xfId="28185"/>
    <cellStyle name="¹éº_LFD부산실행예산(020305)건축_골조공사견적가분석-1" xfId="28546"/>
    <cellStyle name="¹eº_LFD부산실행예산(020305)건축_골조공사견적가분석-1 2" xfId="28186"/>
    <cellStyle name="¹éº_LFD부산실행예산(020305)건축_골조공사견적가분석-1 2" xfId="28547"/>
    <cellStyle name="¹eº_LFD부산실행예산(020305)건축_골조공사공내역(송부)" xfId="28187"/>
    <cellStyle name="¹éº_LFD부산실행예산(020305)건축_골조공사공내역(송부)" xfId="28548"/>
    <cellStyle name="¹eº_LFD부산실행예산(020305)건축_골조공사공내역(송부) 2" xfId="28188"/>
    <cellStyle name="¹éº_LFD부산실행예산(020305)건축_골조공사공내역(송부) 2" xfId="28549"/>
    <cellStyle name="¹eº_LFD부산실행예산(020305)건축_골조공사공내역(장)" xfId="28189"/>
    <cellStyle name="¹éº_LFD부산실행예산(020305)건축_골조공사공내역(장)" xfId="28550"/>
    <cellStyle name="¹eº_LFD부산실행예산(020305)건축_골조공사공내역(장) 2" xfId="28190"/>
    <cellStyle name="¹éº_LFD부산실행예산(020305)건축_골조공사공내역(장) 2" xfId="28551"/>
    <cellStyle name="¹eº_LFD부산실행예산(020305)건축_골조공사실행예산품의" xfId="28191"/>
    <cellStyle name="¹éº_LFD부산실행예산(020305)건축_골조공사실행예산품의" xfId="28552"/>
    <cellStyle name="¹eº_LFD부산실행예산(020305)건축_골조공사실행예산품의 2" xfId="28192"/>
    <cellStyle name="¹éº_LFD부산실행예산(020305)건축_골조공사실행예산품의 2" xfId="28553"/>
    <cellStyle name="¹eº_LFD부산실행예산(020305)건축_동명2차실행예산(기초DATA)" xfId="28193"/>
    <cellStyle name="¹éº_LFD부산실행예산(020305)건축_동명2차실행예산(기초DATA)" xfId="28554"/>
    <cellStyle name="¹eº_LFD부산실행예산(020305)건축_동명2차실행예산(기초DATA) 2" xfId="28194"/>
    <cellStyle name="¹éº_LFD부산실행예산(020305)건축_동명2차실행예산(기초DATA) 2" xfId="28555"/>
    <cellStyle name="¹eº_LFD부산실행예산(020305)건축_동명본실행(수정)" xfId="28195"/>
    <cellStyle name="¹éº_LFD부산실행예산(020305)건축_동명본실행(수정)" xfId="28556"/>
    <cellStyle name="¹eº_LFD부산실행예산(020305)건축_동명본실행(수정) 2" xfId="28196"/>
    <cellStyle name="¹éº_LFD부산실행예산(020305)건축_동명본실행(수정) 2" xfId="28557"/>
    <cellStyle name="¹eº_LFD부산실행예산(020305)건축_부산덕천2차실행예산(기초DATA)" xfId="28197"/>
    <cellStyle name="¹éº_LFD부산실행예산(020305)건축_부산덕천2차실행예산(기초DATA)" xfId="28558"/>
    <cellStyle name="¹eº_LFD부산실행예산(020305)건축_부산덕천2차실행예산(기초DATA) 2" xfId="28198"/>
    <cellStyle name="¹éº_LFD부산실행예산(020305)건축_부산덕천2차실행예산(기초DATA) 2" xfId="28559"/>
    <cellStyle name="¹eº_LFD부산실행예산(020305)건축_부산덕천2차실행예산(기초DATA건설조정)" xfId="28199"/>
    <cellStyle name="¹éº_LFD부산실행예산(020305)건축_부산덕천2차실행예산(기초DATA건설조정)" xfId="28560"/>
    <cellStyle name="¹eº_LFD부산실행예산(020305)건축_부산덕천2차실행예산(기초DATA건설조정) 2" xfId="28200"/>
    <cellStyle name="¹éº_LFD부산실행예산(020305)건축_부산덕천2차실행예산(기초DATA건설조정) 2" xfId="28561"/>
    <cellStyle name="¹eº_LFD부산실행예산(020305)건축_부산덕천2차실행예산(기초DATA승인용)" xfId="28201"/>
    <cellStyle name="¹éº_LFD부산실행예산(020305)건축_부산덕천2차실행예산(기초DATA승인용)" xfId="28562"/>
    <cellStyle name="¹eº_LFD부산실행예산(020305)건축_부산덕천2차실행예산(기초DATA승인용) 2" xfId="28202"/>
    <cellStyle name="¹éº_LFD부산실행예산(020305)건축_부산덕천2차실행예산(기초DATA승인용) 2" xfId="28563"/>
    <cellStyle name="¹eº_LFD부산실행예산(020305)건축_부산덕천2차실행예산(기초DATA현장협의후)" xfId="28203"/>
    <cellStyle name="¹éº_LFD부산실행예산(020305)건축_부산덕천2차실행예산(기초DATA현장협의후)" xfId="28564"/>
    <cellStyle name="¹eº_LFD부산실행예산(020305)건축_부산덕천2차실행예산(기초DATA현장협의후) 2" xfId="28204"/>
    <cellStyle name="¹éº_LFD부산실행예산(020305)건축_부산덕천2차실행예산(기초DATA현장협의후) 2" xfId="28565"/>
    <cellStyle name="¹eº_LFD실행예산(020110)2855" xfId="28205"/>
    <cellStyle name="¹éº_LFD실행예산(020110)2855" xfId="28566"/>
    <cellStyle name="¹eº_LFD실행예산(020110)2855 2" xfId="28206"/>
    <cellStyle name="¹éº_LFD실행예산(020110)2855 2" xfId="28567"/>
    <cellStyle name="¹eº_LFD실행예산(020110)2855_LFD부산실행예산(020319)건축" xfId="28207"/>
    <cellStyle name="¹éº_LFD실행예산(020110)2855_LFD부산실행예산(020319)건축" xfId="28568"/>
    <cellStyle name="¹eº_LFD실행예산(020110)2855_LFD부산실행예산(020319)건축 2" xfId="28208"/>
    <cellStyle name="¹éº_LFD실행예산(020110)2855_LFD부산실행예산(020319)건축 2" xfId="28569"/>
    <cellStyle name="¹eº_LFD실행예산(020110)2855_경서실행(견적실)공무팀" xfId="28209"/>
    <cellStyle name="¹éº_LFD실행예산(020110)2855_경서실행(견적실)공무팀" xfId="28570"/>
    <cellStyle name="¹eº_LFD실행예산(020110)2855_경서실행(견적실)공무팀 2" xfId="28210"/>
    <cellStyle name="¹éº_LFD실행예산(020110)2855_경서실행(견적실)공무팀 2" xfId="28571"/>
    <cellStyle name="¹eº_LFD실행예산(020110)2855_골조공사견적가분석-1" xfId="28211"/>
    <cellStyle name="¹éº_LFD실행예산(020110)2855_골조공사견적가분석-1" xfId="28572"/>
    <cellStyle name="¹eº_LFD실행예산(020110)2855_골조공사견적가분석-1 2" xfId="28212"/>
    <cellStyle name="¹éº_LFD실행예산(020110)2855_골조공사견적가분석-1 2" xfId="28573"/>
    <cellStyle name="¹eº_LFD실행예산(020110)2855_골조공사공내역(송부)" xfId="28213"/>
    <cellStyle name="¹éº_LFD실행예산(020110)2855_골조공사공내역(송부)" xfId="28574"/>
    <cellStyle name="¹eº_LFD실행예산(020110)2855_골조공사공내역(송부) 2" xfId="28214"/>
    <cellStyle name="¹éº_LFD실행예산(020110)2855_골조공사공내역(송부) 2" xfId="28575"/>
    <cellStyle name="¹eº_LFD실행예산(020110)2855_골조공사공내역(장)" xfId="28215"/>
    <cellStyle name="¹éº_LFD실행예산(020110)2855_골조공사공내역(장)" xfId="28576"/>
    <cellStyle name="¹eº_LFD실행예산(020110)2855_골조공사공내역(장) 2" xfId="28216"/>
    <cellStyle name="¹éº_LFD실행예산(020110)2855_골조공사공내역(장) 2" xfId="28577"/>
    <cellStyle name="¹eº_LFD실행예산(020110)2855_골조공사실행예산품의" xfId="28217"/>
    <cellStyle name="¹éº_LFD실행예산(020110)2855_골조공사실행예산품의" xfId="28578"/>
    <cellStyle name="¹eº_LFD실행예산(020110)2855_골조공사실행예산품의 2" xfId="28218"/>
    <cellStyle name="¹éº_LFD실행예산(020110)2855_골조공사실행예산품의 2" xfId="28579"/>
    <cellStyle name="¹eº_LFD실행예산(020110)2855_동명2차실행예산(기초DATA)" xfId="28219"/>
    <cellStyle name="¹éº_LFD실행예산(020110)2855_동명2차실행예산(기초DATA)" xfId="28580"/>
    <cellStyle name="¹eº_LFD실행예산(020110)2855_동명2차실행예산(기초DATA) 2" xfId="28220"/>
    <cellStyle name="¹éº_LFD실행예산(020110)2855_동명2차실행예산(기초DATA) 2" xfId="28581"/>
    <cellStyle name="¹eº_LFD실행예산(020110)2855_동명본실행(수정)" xfId="28221"/>
    <cellStyle name="¹éº_LFD실행예산(020110)2855_동명본실행(수정)" xfId="28582"/>
    <cellStyle name="¹eº_LFD실행예산(020110)2855_동명본실행(수정) 2" xfId="28222"/>
    <cellStyle name="¹éº_LFD실행예산(020110)2855_동명본실행(수정) 2" xfId="28583"/>
    <cellStyle name="¹eº_LFD실행예산(020110)2855_동명삼화견본주택 기본안" xfId="28223"/>
    <cellStyle name="¹éº_LFD실행예산(020110)2855_동명삼화견본주택 기본안" xfId="28584"/>
    <cellStyle name="¹eº_LFD실행예산(020110)2855_동명삼화견본주택 기본안 2" xfId="28224"/>
    <cellStyle name="¹éº_LFD실행예산(020110)2855_동명삼화견본주택 기본안 2" xfId="28585"/>
    <cellStyle name="¹eº_LFD실행예산(020110)2855_동명실행예산-1" xfId="28225"/>
    <cellStyle name="¹éº_LFD실행예산(020110)2855_동명실행예산-1" xfId="28586"/>
    <cellStyle name="¹eº_LFD실행예산(020110)2855_동명실행예산-1 2" xfId="28226"/>
    <cellStyle name="¹éº_LFD실행예산(020110)2855_동명실행예산-1 2" xfId="28587"/>
    <cellStyle name="¹eº_LFD실행예산(020110)2855_부산덕천2차실행예산(기초DATA)" xfId="28227"/>
    <cellStyle name="¹éº_LFD실행예산(020110)2855_부산덕천2차실행예산(기초DATA)" xfId="28588"/>
    <cellStyle name="¹eº_LFD실행예산(020110)2855_부산덕천2차실행예산(기초DATA) 2" xfId="28228"/>
    <cellStyle name="¹éº_LFD실행예산(020110)2855_부산덕천2차실행예산(기초DATA) 2" xfId="28589"/>
    <cellStyle name="¹eº_LFD실행예산(020110)2855_부산덕천2차실행예산(기초DATA건설조정)" xfId="28229"/>
    <cellStyle name="¹éº_LFD실행예산(020110)2855_부산덕천2차실행예산(기초DATA건설조정)" xfId="28590"/>
    <cellStyle name="¹eº_LFD실행예산(020110)2855_부산덕천2차실행예산(기초DATA건설조정) 2" xfId="28230"/>
    <cellStyle name="¹éº_LFD실행예산(020110)2855_부산덕천2차실행예산(기초DATA건설조정) 2" xfId="28591"/>
    <cellStyle name="¹eº_LFD실행예산(020110)2855_부산덕천2차실행예산(기초DATA승인용)" xfId="28231"/>
    <cellStyle name="¹éº_LFD실행예산(020110)2855_부산덕천2차실행예산(기초DATA승인용)" xfId="28592"/>
    <cellStyle name="¹eº_LFD실행예산(020110)2855_부산덕천2차실행예산(기초DATA승인용) 2" xfId="28232"/>
    <cellStyle name="¹éº_LFD실행예산(020110)2855_부산덕천2차실행예산(기초DATA승인용) 2" xfId="28593"/>
    <cellStyle name="¹eº_LFD실행예산(020110)2855_부산덕천2차실행예산(기초DATA현장협의후)" xfId="28233"/>
    <cellStyle name="¹éº_LFD실행예산(020110)2855_부산덕천2차실행예산(기초DATA현장협의후)" xfId="28594"/>
    <cellStyle name="¹eº_LFD실행예산(020110)2855_부산덕천2차실행예산(기초DATA현장협의후) 2" xfId="28234"/>
    <cellStyle name="¹éº_LFD실행예산(020110)2855_부산덕천2차실행예산(기초DATA현장협의후) 2" xfId="28595"/>
    <cellStyle name="¹eº_LFD실행예산(020110)2855_실행검토_부산덕천" xfId="28235"/>
    <cellStyle name="¹éº_LFD실행예산(020110)2855_실행검토_부산덕천" xfId="28596"/>
    <cellStyle name="¹eº_LFD실행예산(020110)2855_실행검토_부산덕천 2" xfId="28236"/>
    <cellStyle name="¹éº_LFD실행예산(020110)2855_실행검토_부산덕천 2" xfId="28597"/>
    <cellStyle name="¹eº_LFD실행예산(020110)2855_여의도센터빌딩실행원가(020613)-2" xfId="28237"/>
    <cellStyle name="¹éº_LFD실행예산(020110)2855_여의도센터빌딩실행원가(020613)-2" xfId="28598"/>
    <cellStyle name="¹eº_LFD실행예산(020110)2855_여의도센터빌딩실행원가(020613)-2 2" xfId="28238"/>
    <cellStyle name="¹éº_LFD실행예산(020110)2855_여의도센터빌딩실행원가(020613)-2 2" xfId="28599"/>
    <cellStyle name="¹eº_LFD실행예산(020110)2855_제과충주영업소견적서" xfId="28239"/>
    <cellStyle name="¹éº_LFD실행예산(020110)2855_제과충주영업소견적서" xfId="28600"/>
    <cellStyle name="¹eº_LFD실행예산(020110)2855_제과충주영업소견적서 2" xfId="28240"/>
    <cellStyle name="¹éº_LFD실행예산(020110)2855_제과충주영업소견적서 2" xfId="28601"/>
    <cellStyle name="¹eº_LFD실행예산(020110)2855_현장경비신청안박성남" xfId="28241"/>
    <cellStyle name="¹éº_LFD실행예산(020110)2855_현장경비신청안박성남" xfId="28602"/>
    <cellStyle name="¹eº_LFD실행예산(020110)2855_현장경비신청안박성남 2" xfId="28242"/>
    <cellStyle name="¹éº_LFD실행예산(020110)2855_현장경비신청안박성남 2" xfId="28603"/>
    <cellStyle name="¹eº_경서실행(견적실)공무팀" xfId="28243"/>
    <cellStyle name="¹éº_경서실행(견적실)공무팀" xfId="28604"/>
    <cellStyle name="¹eº_경서실행(견적실)공무팀 2" xfId="28244"/>
    <cellStyle name="¹éº_경서실행(견적실)공무팀 2" xfId="28605"/>
    <cellStyle name="¹eº_경서실행(견적실)공무팀_1" xfId="28245"/>
    <cellStyle name="¹éº_경서실행(견적실)공무팀_1" xfId="28606"/>
    <cellStyle name="¹eº_경서실행(견적실)공무팀_1 2" xfId="28246"/>
    <cellStyle name="¹éº_경서실행(견적실)공무팀_1 2" xfId="28607"/>
    <cellStyle name="¹eº_경서실행(견적실)공무팀_1_레몬영화egi내역서(13968천원)" xfId="28247"/>
    <cellStyle name="¹éº_경서실행(견적실)공무팀_1_레몬영화egi내역서(13968천원)" xfId="28608"/>
    <cellStyle name="¹eº_경서실행(견적실)공무팀_1_레몬영화egi내역서(13968천원) 2" xfId="28248"/>
    <cellStyle name="¹éº_경서실행(견적실)공무팀_1_레몬영화egi내역서(13968천원) 2" xfId="28609"/>
    <cellStyle name="¹eº_광주공장 도급내역(변경03.1.07)" xfId="28249"/>
    <cellStyle name="¹éº_광주공장 도급내역(변경03.1.07)" xfId="28610"/>
    <cellStyle name="¹eº_광주공장 도급내역(변경03.1.07) 2" xfId="28250"/>
    <cellStyle name="¹éº_광주공장 도급내역(변경03.1.07) 2" xfId="28611"/>
    <cellStyle name="¹eº_광주공장 도급내역(변경03.1.21)" xfId="28251"/>
    <cellStyle name="¹éº_광주공장 도급내역(변경03.1.21)" xfId="28612"/>
    <cellStyle name="¹eº_광주공장 도급내역(변경03.1.21) 2" xfId="28252"/>
    <cellStyle name="¹éº_광주공장 도급내역(변경03.1.21) 2" xfId="28613"/>
    <cellStyle name="¹eº_광주공장(대비1218)" xfId="28253"/>
    <cellStyle name="¹éº_광주공장(대비1218)" xfId="28614"/>
    <cellStyle name="¹eº_광주공장(대비1218) 2" xfId="28254"/>
    <cellStyle name="¹éº_광주공장(대비1218) 2" xfId="28615"/>
    <cellStyle name="¹eº_기계실행(LFD광주공장.현설용)" xfId="28255"/>
    <cellStyle name="¹éº_기계실행(LFD광주공장.현설용)" xfId="28616"/>
    <cellStyle name="¹eº_기계실행(LFD광주공장.현설용) 2" xfId="28256"/>
    <cellStyle name="¹éº_기계실행(LFD광주공장.현설용) 2" xfId="28617"/>
    <cellStyle name="¹eº_동명삼화 현장설명(본사지급)" xfId="28257"/>
    <cellStyle name="¹éº_동명삼화 현장설명(본사지급)" xfId="28618"/>
    <cellStyle name="¹eº_동명삼화 현장설명(본사지급) 2" xfId="28258"/>
    <cellStyle name="¹éº_동명삼화 현장설명(본사지급) 2" xfId="28619"/>
    <cellStyle name="¹eº_동명삼화 현장설명(본사지급)_울산신정동수주검토(2003.01.21에어컨)" xfId="28259"/>
    <cellStyle name="¹éº_동명삼화 현장설명(본사지급)_울산신정동수주검토(2003.01.21에어컨)" xfId="28620"/>
    <cellStyle name="¹eº_동명삼화 현장설명(본사지급)_울산신정동수주검토(2003.01.21에어컨) 2" xfId="28260"/>
    <cellStyle name="¹éº_동명삼화 현장설명(본사지급)_울산신정동수주검토(2003.01.21에어컨) 2" xfId="28621"/>
    <cellStyle name="¹eº_동명삼화견본주택 기본안" xfId="28261"/>
    <cellStyle name="¹éº_동명삼화견본주택 기본안" xfId="28622"/>
    <cellStyle name="¹eº_동명삼화견본주택 기본안 2" xfId="28262"/>
    <cellStyle name="¹éº_동명삼화견본주택 기본안 2" xfId="28623"/>
    <cellStyle name="¹eº_동명삼화기계공사 물량집계" xfId="28263"/>
    <cellStyle name="¹éº_동명삼화기계공사 물량집계" xfId="28624"/>
    <cellStyle name="¹eº_동명삼화기계공사 물량집계 2" xfId="28264"/>
    <cellStyle name="¹éº_동명삼화기계공사 물량집계 2" xfId="28625"/>
    <cellStyle name="¹eº_동명삼화재건축아파트" xfId="28265"/>
    <cellStyle name="¹éº_동명삼화재건축아파트" xfId="28626"/>
    <cellStyle name="¹eº_동명삼화재건축아파트 2" xfId="28266"/>
    <cellStyle name="¹éº_동명삼화재건축아파트 2" xfId="28627"/>
    <cellStyle name="¹eº_동명실행예산-1" xfId="28267"/>
    <cellStyle name="¹éº_동명실행예산-1" xfId="28628"/>
    <cellStyle name="¹eº_동명실행예산-1 2" xfId="28268"/>
    <cellStyle name="¹éº_동명실행예산-1 2" xfId="28629"/>
    <cellStyle name="¹eº_롯데동명삼화평당단가비교" xfId="28269"/>
    <cellStyle name="¹éº_롯데동명삼화평당단가비교" xfId="28630"/>
    <cellStyle name="¹eº_롯데동명삼화평당단가비교 2" xfId="28270"/>
    <cellStyle name="¹éº_롯데동명삼화평당단가비교 2" xfId="28631"/>
    <cellStyle name="¹eº_마곡보완" xfId="28271"/>
    <cellStyle name="¹éº_마곡보완" xfId="28632"/>
    <cellStyle name="¹eº_마곡보완 2" xfId="28272"/>
    <cellStyle name="¹éº_마곡보완 2" xfId="28633"/>
    <cellStyle name="¹eº_마곡보완_Lemon 수원영화점 기계도급내역(최종보고)" xfId="28273"/>
    <cellStyle name="¹éº_마곡보완_Lemon 수원영화점 기계도급내역(최종보고)" xfId="28634"/>
    <cellStyle name="¹eº_마곡보완_Lemon 수원영화점 기계도급내역(최종보고) 2" xfId="28274"/>
    <cellStyle name="¹éº_마곡보완_Lemon 수원영화점 기계도급내역(최종보고) 2" xfId="28635"/>
    <cellStyle name="¹eº_마곡보완_Lemon 수원영화점(기계공사)" xfId="28275"/>
    <cellStyle name="¹éº_마곡보완_Lemon 수원영화점(기계공사)" xfId="28636"/>
    <cellStyle name="¹eº_마곡보완_Lemon 수원영화점(기계공사) 2" xfId="28276"/>
    <cellStyle name="¹éº_마곡보완_Lemon 수원영화점(기계공사) 2" xfId="28637"/>
    <cellStyle name="¹eº_마곡보완_LFD부산실행예산(020219)건축" xfId="28277"/>
    <cellStyle name="¹éº_마곡보완_LFD부산실행예산(020219)건축" xfId="28638"/>
    <cellStyle name="¹eº_마곡보완_LFD부산실행예산(020219)건축 2" xfId="28278"/>
    <cellStyle name="¹éº_마곡보완_LFD부산실행예산(020219)건축 2" xfId="28639"/>
    <cellStyle name="¹eº_마곡보완_LFD부산실행예산(020219)건축_경서실행(견적실)공무팀" xfId="28279"/>
    <cellStyle name="¹éº_마곡보완_LFD부산실행예산(020219)건축_경서실행(견적실)공무팀" xfId="28640"/>
    <cellStyle name="¹eº_마곡보완_LFD부산실행예산(020219)건축_경서실행(견적실)공무팀 2" xfId="28280"/>
    <cellStyle name="¹éº_마곡보완_LFD부산실행예산(020219)건축_경서실행(견적실)공무팀 2" xfId="28641"/>
    <cellStyle name="¹eº_마곡보완_LFD부산실행예산(020219)건축_골조공사견적가분석-1" xfId="28281"/>
    <cellStyle name="¹éº_마곡보완_LFD부산실행예산(020219)건축_골조공사견적가분석-1" xfId="28642"/>
    <cellStyle name="¹eº_마곡보완_LFD부산실행예산(020219)건축_골조공사견적가분석-1 2" xfId="28282"/>
    <cellStyle name="¹éº_마곡보완_LFD부산실행예산(020219)건축_골조공사견적가분석-1 2" xfId="28643"/>
    <cellStyle name="¹eº_마곡보완_LFD부산실행예산(020219)건축_골조공사공내역(송부)" xfId="28283"/>
    <cellStyle name="¹éº_마곡보완_LFD부산실행예산(020219)건축_골조공사공내역(송부)" xfId="28644"/>
    <cellStyle name="¹eº_마곡보완_LFD부산실행예산(020219)건축_골조공사공내역(송부) 2" xfId="28284"/>
    <cellStyle name="¹éº_마곡보완_LFD부산실행예산(020219)건축_골조공사공내역(송부) 2" xfId="28645"/>
    <cellStyle name="¹eº_마곡보완_LFD부산실행예산(020219)건축_골조공사공내역(장)" xfId="28285"/>
    <cellStyle name="¹éº_마곡보완_LFD부산실행예산(020219)건축_골조공사공내역(장)" xfId="28646"/>
    <cellStyle name="¹eº_마곡보완_LFD부산실행예산(020219)건축_골조공사공내역(장) 2" xfId="28286"/>
    <cellStyle name="¹éº_마곡보완_LFD부산실행예산(020219)건축_골조공사공내역(장) 2" xfId="28647"/>
    <cellStyle name="¹eº_마곡보완_LFD부산실행예산(020219)건축_골조공사실행예산품의" xfId="28287"/>
    <cellStyle name="¹éº_마곡보완_LFD부산실행예산(020219)건축_골조공사실행예산품의" xfId="28648"/>
    <cellStyle name="¹eº_마곡보완_LFD부산실행예산(020219)건축_골조공사실행예산품의 2" xfId="28288"/>
    <cellStyle name="¹éº_마곡보완_LFD부산실행예산(020219)건축_골조공사실행예산품의 2" xfId="28649"/>
    <cellStyle name="¹eº_마곡보완_LFD부산실행예산(020219)건축_동명2차실행예산(기초DATA)" xfId="28289"/>
    <cellStyle name="¹éº_마곡보완_LFD부산실행예산(020219)건축_동명2차실행예산(기초DATA)" xfId="28650"/>
    <cellStyle name="¹eº_마곡보완_LFD부산실행예산(020219)건축_동명2차실행예산(기초DATA) 2" xfId="28290"/>
    <cellStyle name="¹éº_마곡보완_LFD부산실행예산(020219)건축_동명2차실행예산(기초DATA) 2" xfId="28651"/>
    <cellStyle name="¹eº_마곡보완_LFD부산실행예산(020219)건축_동명본실행(수정)" xfId="28291"/>
    <cellStyle name="¹éº_마곡보완_LFD부산실행예산(020219)건축_동명본실행(수정)" xfId="28652"/>
    <cellStyle name="¹eº_마곡보완_LFD부산실행예산(020219)건축_동명본실행(수정) 2" xfId="28292"/>
    <cellStyle name="¹éº_마곡보완_LFD부산실행예산(020219)건축_동명본실행(수정) 2" xfId="28653"/>
    <cellStyle name="¹eº_마곡보완_LFD부산실행예산(020219)건축_동명삼화견본주택 기본안" xfId="28293"/>
    <cellStyle name="¹éº_마곡보완_LFD부산실행예산(020219)건축_동명삼화견본주택 기본안" xfId="28654"/>
    <cellStyle name="¹eº_마곡보완_LFD부산실행예산(020219)건축_동명삼화견본주택 기본안 2" xfId="28294"/>
    <cellStyle name="¹éº_마곡보완_LFD부산실행예산(020219)건축_동명삼화견본주택 기본안 2" xfId="28655"/>
    <cellStyle name="¹eº_마곡보완_LFD부산실행예산(020219)건축_부산덕천2차실행예산(기초DATA)" xfId="28295"/>
    <cellStyle name="¹éº_마곡보완_LFD부산실행예산(020219)건축_부산덕천2차실행예산(기초DATA)" xfId="28656"/>
    <cellStyle name="¹eº_마곡보완_LFD부산실행예산(020219)건축_부산덕천2차실행예산(기초DATA) 2" xfId="28296"/>
    <cellStyle name="¹éº_마곡보완_LFD부산실행예산(020219)건축_부산덕천2차실행예산(기초DATA) 2" xfId="28657"/>
    <cellStyle name="¹eº_마곡보완_LFD부산실행예산(020219)건축_부산덕천2차실행예산(기초DATA건설조정)" xfId="28297"/>
    <cellStyle name="¹éº_마곡보완_LFD부산실행예산(020219)건축_부산덕천2차실행예산(기초DATA건설조정)" xfId="28658"/>
    <cellStyle name="¹eº_마곡보완_LFD부산실행예산(020219)건축_부산덕천2차실행예산(기초DATA건설조정) 2" xfId="28298"/>
    <cellStyle name="¹éº_마곡보완_LFD부산실행예산(020219)건축_부산덕천2차실행예산(기초DATA건설조정) 2" xfId="28659"/>
    <cellStyle name="¹eº_마곡보완_LFD부산실행예산(020219)건축_부산덕천2차실행예산(기초DATA승인용)" xfId="28299"/>
    <cellStyle name="¹éº_마곡보완_LFD부산실행예산(020219)건축_부산덕천2차실행예산(기초DATA승인용)" xfId="28660"/>
    <cellStyle name="¹eº_마곡보완_LFD부산실행예산(020219)건축_부산덕천2차실행예산(기초DATA승인용) 2" xfId="28300"/>
    <cellStyle name="¹éº_마곡보완_LFD부산실행예산(020219)건축_부산덕천2차실행예산(기초DATA승인용) 2" xfId="28661"/>
    <cellStyle name="¹eº_마곡보완_LFD부산실행예산(020219)건축_부산덕천2차실행예산(기초DATA현장협의후)" xfId="28301"/>
    <cellStyle name="¹éº_마곡보완_LFD부산실행예산(020219)건축_부산덕천2차실행예산(기초DATA현장협의후)" xfId="28662"/>
    <cellStyle name="¹eº_마곡보완_LFD부산실행예산(020219)건축_부산덕천2차실행예산(기초DATA현장협의후) 2" xfId="28302"/>
    <cellStyle name="¹éº_마곡보완_LFD부산실행예산(020219)건축_부산덕천2차실행예산(기초DATA현장협의후) 2" xfId="28663"/>
    <cellStyle name="¹eº_마곡보완_LFD부산실행예산(020219)건축_실행검토_부산덕천" xfId="28303"/>
    <cellStyle name="¹éº_마곡보완_LFD부산실행예산(020219)건축_실행검토_부산덕천" xfId="28664"/>
    <cellStyle name="¹eº_마곡보완_LFD부산실행예산(020219)건축_실행검토_부산덕천 2" xfId="28304"/>
    <cellStyle name="¹éº_마곡보완_LFD부산실행예산(020219)건축_실행검토_부산덕천 2" xfId="28665"/>
    <cellStyle name="¹eº_마곡보완_LFD부산실행예산(020219)건축_여의도센터빌딩실행원가(020613)-2" xfId="28305"/>
    <cellStyle name="¹éº_마곡보완_LFD부산실행예산(020219)건축_여의도센터빌딩실행원가(020613)-2" xfId="28666"/>
    <cellStyle name="¹eº_마곡보완_LFD부산실행예산(020219)건축_여의도센터빌딩실행원가(020613)-2 2" xfId="28306"/>
    <cellStyle name="¹éº_마곡보완_LFD부산실행예산(020219)건축_여의도센터빌딩실행원가(020613)-2 2" xfId="28667"/>
    <cellStyle name="¹eº_마곡보완_LFD부산실행예산(020219)건축_제과충주영업소견적서" xfId="28307"/>
    <cellStyle name="¹éº_마곡보완_LFD부산실행예산(020219)건축_제과충주영업소견적서" xfId="28668"/>
    <cellStyle name="¹eº_마곡보완_LFD부산실행예산(020219)건축_제과충주영업소견적서 2" xfId="28308"/>
    <cellStyle name="¹éº_마곡보완_LFD부산실행예산(020219)건축_제과충주영업소견적서 2" xfId="28669"/>
    <cellStyle name="¹eº_마곡보완_LFD부산실행예산(020219)건축_현장경비신청안박성남" xfId="28309"/>
    <cellStyle name="¹éº_마곡보완_LFD부산실행예산(020219)건축_현장경비신청안박성남" xfId="28670"/>
    <cellStyle name="¹eº_마곡보완_LFD부산실행예산(020219)건축_현장경비신청안박성남 2" xfId="28310"/>
    <cellStyle name="¹éº_마곡보완_LFD부산실행예산(020219)건축_현장경비신청안박성남 2" xfId="28671"/>
    <cellStyle name="¹eº_마곡보완_LFD부산실행예산(020305)건축" xfId="28311"/>
    <cellStyle name="¹éº_마곡보완_LFD부산실행예산(020305)건축" xfId="28672"/>
    <cellStyle name="¹eº_마곡보완_LFD부산실행예산(020305)건축 2" xfId="28312"/>
    <cellStyle name="¹éº_마곡보완_LFD부산실행예산(020305)건축 2" xfId="28673"/>
    <cellStyle name="¹eº_마곡보완_LFD부산실행예산(020305)건축_경서실행(견적실)공무팀" xfId="28313"/>
    <cellStyle name="¹éº_마곡보완_LFD부산실행예산(020305)건축_경서실행(견적실)공무팀" xfId="28674"/>
    <cellStyle name="¹eº_마곡보완_LFD부산실행예산(020305)건축_경서실행(견적실)공무팀 2" xfId="28314"/>
    <cellStyle name="¹éº_마곡보완_LFD부산실행예산(020305)건축_경서실행(견적실)공무팀 2" xfId="28675"/>
    <cellStyle name="¹eº_마곡보완_LFD부산실행예산(020305)건축_골조공사견적가분석-1" xfId="28315"/>
    <cellStyle name="¹éº_마곡보완_LFD부산실행예산(020305)건축_골조공사견적가분석-1" xfId="28676"/>
    <cellStyle name="¹eº_마곡보완_LFD부산실행예산(020305)건축_골조공사견적가분석-1 2" xfId="28316"/>
    <cellStyle name="¹éº_마곡보완_LFD부산실행예산(020305)건축_골조공사견적가분석-1 2" xfId="28677"/>
    <cellStyle name="¹eº_마곡보완_LFD부산실행예산(020305)건축_골조공사공내역(송부)" xfId="28317"/>
    <cellStyle name="¹éº_마곡보완_LFD부산실행예산(020305)건축_골조공사공내역(송부)" xfId="28678"/>
    <cellStyle name="¹eº_마곡보완_LFD부산실행예산(020305)건축_골조공사공내역(송부) 2" xfId="28318"/>
    <cellStyle name="¹éº_마곡보완_LFD부산실행예산(020305)건축_골조공사공내역(송부) 2" xfId="28679"/>
    <cellStyle name="¹eº_마곡보완_LFD부산실행예산(020305)건축_골조공사공내역(장)" xfId="28319"/>
    <cellStyle name="¹éº_마곡보완_LFD부산실행예산(020305)건축_골조공사공내역(장)" xfId="28680"/>
    <cellStyle name="¹eº_마곡보완_LFD부산실행예산(020305)건축_골조공사공내역(장) 2" xfId="28320"/>
    <cellStyle name="¹éº_마곡보완_LFD부산실행예산(020305)건축_골조공사공내역(장) 2" xfId="28681"/>
    <cellStyle name="¹eº_마곡보완_LFD부산실행예산(020305)건축_골조공사실행예산품의" xfId="28321"/>
    <cellStyle name="¹éº_마곡보완_LFD부산실행예산(020305)건축_골조공사실행예산품의" xfId="28682"/>
    <cellStyle name="¹eº_마곡보완_LFD부산실행예산(020305)건축_골조공사실행예산품의 2" xfId="28322"/>
    <cellStyle name="¹éº_마곡보완_LFD부산실행예산(020305)건축_골조공사실행예산품의 2" xfId="28683"/>
    <cellStyle name="¹eº_마곡보완_LFD부산실행예산(020305)건축_동명2차실행예산(기초DATA)" xfId="28323"/>
    <cellStyle name="¹éº_마곡보완_LFD부산실행예산(020305)건축_동명2차실행예산(기초DATA)" xfId="28684"/>
    <cellStyle name="¹eº_마곡보완_LFD부산실행예산(020305)건축_동명2차실행예산(기초DATA) 2" xfId="28324"/>
    <cellStyle name="¹éº_마곡보완_LFD부산실행예산(020305)건축_동명2차실행예산(기초DATA) 2" xfId="28685"/>
    <cellStyle name="¹eº_마곡보완_LFD부산실행예산(020305)건축_동명본실행(수정)" xfId="28325"/>
    <cellStyle name="¹éº_마곡보완_LFD부산실행예산(020305)건축_동명본실행(수정)" xfId="28686"/>
    <cellStyle name="¹eº_마곡보완_LFD부산실행예산(020305)건축_동명본실행(수정) 2" xfId="28326"/>
    <cellStyle name="¹éº_마곡보완_LFD부산실행예산(020305)건축_동명본실행(수정) 2" xfId="28687"/>
    <cellStyle name="¹eº_마곡보완_LFD부산실행예산(020305)건축_부산덕천2차실행예산(기초DATA)" xfId="28327"/>
    <cellStyle name="¹éº_마곡보완_LFD부산실행예산(020305)건축_부산덕천2차실행예산(기초DATA)" xfId="28688"/>
    <cellStyle name="¹eº_마곡보완_LFD부산실행예산(020305)건축_부산덕천2차실행예산(기초DATA) 2" xfId="28328"/>
    <cellStyle name="¹éº_마곡보완_LFD부산실행예산(020305)건축_부산덕천2차실행예산(기초DATA) 2" xfId="28689"/>
    <cellStyle name="¹eº_마곡보완_LFD부산실행예산(020305)건축_부산덕천2차실행예산(기초DATA건설조정)" xfId="28329"/>
    <cellStyle name="¹éº_마곡보완_LFD부산실행예산(020305)건축_부산덕천2차실행예산(기초DATA건설조정)" xfId="28690"/>
    <cellStyle name="¹eº_마곡보완_LFD부산실행예산(020305)건축_부산덕천2차실행예산(기초DATA건설조정) 2" xfId="28330"/>
    <cellStyle name="¹éº_마곡보완_LFD부산실행예산(020305)건축_부산덕천2차실행예산(기초DATA건설조정) 2" xfId="28691"/>
    <cellStyle name="¹eº_마곡보완_LFD부산실행예산(020305)건축_부산덕천2차실행예산(기초DATA승인용)" xfId="28331"/>
    <cellStyle name="¹éº_마곡보완_LFD부산실행예산(020305)건축_부산덕천2차실행예산(기초DATA승인용)" xfId="28692"/>
    <cellStyle name="¹eº_마곡보완_LFD부산실행예산(020305)건축_부산덕천2차실행예산(기초DATA승인용) 2" xfId="28332"/>
    <cellStyle name="¹éº_마곡보완_LFD부산실행예산(020305)건축_부산덕천2차실행예산(기초DATA승인용) 2" xfId="28693"/>
    <cellStyle name="¹eº_마곡보완_LFD부산실행예산(020305)건축_부산덕천2차실행예산(기초DATA현장협의후)" xfId="28333"/>
    <cellStyle name="¹éº_마곡보완_LFD부산실행예산(020305)건축_부산덕천2차실행예산(기초DATA현장협의후)" xfId="28694"/>
    <cellStyle name="¹eº_마곡보완_LFD부산실행예산(020305)건축_부산덕천2차실행예산(기초DATA현장협의후) 2" xfId="28334"/>
    <cellStyle name="¹éº_마곡보완_LFD부산실행예산(020305)건축_부산덕천2차실행예산(기초DATA현장협의후) 2" xfId="28695"/>
    <cellStyle name="¹eº_마곡보완_LFD실행예산(020110)2855" xfId="28335"/>
    <cellStyle name="¹éº_마곡보완_LFD실행예산(020110)2855" xfId="28696"/>
    <cellStyle name="¹eº_마곡보완_LFD실행예산(020110)2855 2" xfId="28336"/>
    <cellStyle name="¹éº_마곡보완_LFD실행예산(020110)2855 2" xfId="28697"/>
    <cellStyle name="¹eº_마곡보완_LFD실행예산(020110)2855_LFD부산실행예산(020319)건축" xfId="28337"/>
    <cellStyle name="¹éº_마곡보완_LFD실행예산(020110)2855_LFD부산실행예산(020319)건축" xfId="28698"/>
    <cellStyle name="¹eº_마곡보완_LFD실행예산(020110)2855_LFD부산실행예산(020319)건축 2" xfId="28338"/>
    <cellStyle name="¹éº_마곡보완_LFD실행예산(020110)2855_LFD부산실행예산(020319)건축 2" xfId="28699"/>
    <cellStyle name="¹eº_마곡보완_LFD실행예산(020110)2855_경서실행(견적실)공무팀" xfId="28339"/>
    <cellStyle name="¹éº_마곡보완_LFD실행예산(020110)2855_경서실행(견적실)공무팀" xfId="28700"/>
    <cellStyle name="¹eº_마곡보완_LFD실행예산(020110)2855_경서실행(견적실)공무팀 2" xfId="28340"/>
    <cellStyle name="¹éº_마곡보완_LFD실행예산(020110)2855_경서실행(견적실)공무팀 2" xfId="28701"/>
    <cellStyle name="¹eº_마곡보완_LFD실행예산(020110)2855_골조공사견적가분석-1" xfId="28341"/>
    <cellStyle name="¹éº_마곡보완_LFD실행예산(020110)2855_골조공사견적가분석-1" xfId="28702"/>
    <cellStyle name="¹eº_마곡보완_LFD실행예산(020110)2855_골조공사견적가분석-1 2" xfId="28342"/>
    <cellStyle name="¹éº_마곡보완_LFD실행예산(020110)2855_골조공사견적가분석-1 2" xfId="28703"/>
    <cellStyle name="¹eº_마곡보완_LFD실행예산(020110)2855_골조공사공내역(송부)" xfId="28343"/>
    <cellStyle name="¹éº_마곡보완_LFD실행예산(020110)2855_골조공사공내역(송부)" xfId="28704"/>
    <cellStyle name="¹eº_마곡보완_LFD실행예산(020110)2855_골조공사공내역(송부) 2" xfId="28344"/>
    <cellStyle name="¹éº_마곡보완_LFD실행예산(020110)2855_골조공사공내역(송부) 2" xfId="28705"/>
    <cellStyle name="¹eº_마곡보완_LFD실행예산(020110)2855_골조공사공내역(장)" xfId="28345"/>
    <cellStyle name="¹éº_마곡보완_LFD실행예산(020110)2855_골조공사공내역(장)" xfId="28706"/>
    <cellStyle name="¹eº_마곡보완_LFD실행예산(020110)2855_골조공사공내역(장) 2" xfId="28346"/>
    <cellStyle name="¹éº_마곡보완_LFD실행예산(020110)2855_골조공사공내역(장) 2" xfId="28707"/>
    <cellStyle name="¹eº_마곡보완_LFD실행예산(020110)2855_골조공사실행예산품의" xfId="28347"/>
    <cellStyle name="¹éº_마곡보완_LFD실행예산(020110)2855_골조공사실행예산품의" xfId="28708"/>
    <cellStyle name="¹eº_마곡보완_LFD실행예산(020110)2855_골조공사실행예산품의 2" xfId="28348"/>
    <cellStyle name="¹éº_마곡보완_LFD실행예산(020110)2855_골조공사실행예산품의 2" xfId="28709"/>
    <cellStyle name="¹eº_마곡보완_LFD실행예산(020110)2855_동명2차실행예산(기초DATA)" xfId="28349"/>
    <cellStyle name="¹éº_마곡보완_LFD실행예산(020110)2855_동명2차실행예산(기초DATA)" xfId="28710"/>
    <cellStyle name="¹eº_마곡보완_LFD실행예산(020110)2855_동명2차실행예산(기초DATA) 2" xfId="28350"/>
    <cellStyle name="¹éº_마곡보완_LFD실행예산(020110)2855_동명2차실행예산(기초DATA) 2" xfId="28711"/>
    <cellStyle name="¹eº_마곡보완_LFD실행예산(020110)2855_동명본실행(수정)" xfId="28351"/>
    <cellStyle name="¹éº_마곡보완_LFD실행예산(020110)2855_동명본실행(수정)" xfId="28712"/>
    <cellStyle name="¹eº_마곡보완_LFD실행예산(020110)2855_동명본실행(수정) 2" xfId="28352"/>
    <cellStyle name="¹éº_마곡보완_LFD실행예산(020110)2855_동명본실행(수정) 2" xfId="28713"/>
    <cellStyle name="¹eº_마곡보완_LFD실행예산(020110)2855_동명삼화견본주택 기본안" xfId="28353"/>
    <cellStyle name="¹éº_마곡보완_LFD실행예산(020110)2855_동명삼화견본주택 기본안" xfId="28714"/>
    <cellStyle name="¹eº_마곡보완_LFD실행예산(020110)2855_동명삼화견본주택 기본안 2" xfId="28354"/>
    <cellStyle name="¹éº_마곡보완_LFD실행예산(020110)2855_동명삼화견본주택 기본안 2" xfId="28715"/>
    <cellStyle name="¹eº_마곡보완_LFD실행예산(020110)2855_동명실행예산-1" xfId="28355"/>
    <cellStyle name="¹éº_마곡보완_LFD실행예산(020110)2855_동명실행예산-1" xfId="28716"/>
    <cellStyle name="¹eº_마곡보완_LFD실행예산(020110)2855_동명실행예산-1 2" xfId="28356"/>
    <cellStyle name="¹éº_마곡보완_LFD실행예산(020110)2855_동명실행예산-1 2" xfId="28717"/>
    <cellStyle name="¹eº_마곡보완_LFD실행예산(020110)2855_부산덕천2차실행예산(기초DATA)" xfId="28357"/>
    <cellStyle name="¹éº_마곡보완_LFD실행예산(020110)2855_부산덕천2차실행예산(기초DATA)" xfId="28718"/>
    <cellStyle name="¹eº_마곡보완_LFD실행예산(020110)2855_부산덕천2차실행예산(기초DATA) 2" xfId="28358"/>
    <cellStyle name="¹éº_마곡보완_LFD실행예산(020110)2855_부산덕천2차실행예산(기초DATA) 2" xfId="28719"/>
    <cellStyle name="¹eº_마곡보완_LFD실행예산(020110)2855_부산덕천2차실행예산(기초DATA건설조정)" xfId="28359"/>
    <cellStyle name="¹éº_마곡보완_LFD실행예산(020110)2855_부산덕천2차실행예산(기초DATA건설조정)" xfId="28720"/>
    <cellStyle name="¹eº_마곡보완_LFD실행예산(020110)2855_부산덕천2차실행예산(기초DATA건설조정) 2" xfId="28360"/>
    <cellStyle name="¹éº_마곡보완_LFD실행예산(020110)2855_부산덕천2차실행예산(기초DATA건설조정) 2" xfId="28721"/>
    <cellStyle name="¹eº_마곡보완_LFD실행예산(020110)2855_부산덕천2차실행예산(기초DATA승인용)" xfId="28361"/>
    <cellStyle name="¹éº_마곡보완_LFD실행예산(020110)2855_부산덕천2차실행예산(기초DATA승인용)" xfId="28722"/>
    <cellStyle name="¹eº_마곡보완_LFD실행예산(020110)2855_부산덕천2차실행예산(기초DATA승인용) 2" xfId="28362"/>
    <cellStyle name="¹éº_마곡보완_LFD실행예산(020110)2855_부산덕천2차실행예산(기초DATA승인용) 2" xfId="28723"/>
    <cellStyle name="¹eº_마곡보완_LFD실행예산(020110)2855_부산덕천2차실행예산(기초DATA현장협의후)" xfId="28363"/>
    <cellStyle name="¹éº_마곡보완_LFD실행예산(020110)2855_부산덕천2차실행예산(기초DATA현장협의후)" xfId="28724"/>
    <cellStyle name="¹eº_마곡보완_LFD실행예산(020110)2855_부산덕천2차실행예산(기초DATA현장협의후) 2" xfId="28364"/>
    <cellStyle name="¹éº_마곡보완_LFD실행예산(020110)2855_부산덕천2차실행예산(기초DATA현장협의후) 2" xfId="28725"/>
    <cellStyle name="¹eº_마곡보완_LFD실행예산(020110)2855_실행검토_부산덕천" xfId="28365"/>
    <cellStyle name="¹éº_마곡보완_LFD실행예산(020110)2855_실행검토_부산덕천" xfId="28726"/>
    <cellStyle name="¹eº_마곡보완_LFD실행예산(020110)2855_실행검토_부산덕천 2" xfId="28366"/>
    <cellStyle name="¹éº_마곡보완_LFD실행예산(020110)2855_실행검토_부산덕천 2" xfId="28727"/>
    <cellStyle name="¹eº_마곡보완_LFD실행예산(020110)2855_여의도센터빌딩실행원가(020613)-2" xfId="28367"/>
    <cellStyle name="¹éº_마곡보완_LFD실행예산(020110)2855_여의도센터빌딩실행원가(020613)-2" xfId="28728"/>
    <cellStyle name="¹eº_마곡보완_LFD실행예산(020110)2855_여의도센터빌딩실행원가(020613)-2 2" xfId="28368"/>
    <cellStyle name="¹éº_마곡보완_LFD실행예산(020110)2855_여의도센터빌딩실행원가(020613)-2 2" xfId="28729"/>
    <cellStyle name="¹eº_마곡보완_LFD실행예산(020110)2855_제과충주영업소견적서" xfId="28369"/>
    <cellStyle name="¹éº_마곡보완_LFD실행예산(020110)2855_제과충주영업소견적서" xfId="28730"/>
    <cellStyle name="¹eº_마곡보완_LFD실행예산(020110)2855_제과충주영업소견적서 2" xfId="28370"/>
    <cellStyle name="¹éº_마곡보완_LFD실행예산(020110)2855_제과충주영업소견적서 2" xfId="28731"/>
    <cellStyle name="¹eº_마곡보완_LFD실행예산(020110)2855_현장경비신청안박성남" xfId="28371"/>
    <cellStyle name="¹éº_마곡보완_LFD실행예산(020110)2855_현장경비신청안박성남" xfId="28732"/>
    <cellStyle name="¹eº_마곡보완_LFD실행예산(020110)2855_현장경비신청안박성남 2" xfId="28372"/>
    <cellStyle name="¹éº_마곡보완_LFD실행예산(020110)2855_현장경비신청안박성남 2" xfId="28733"/>
    <cellStyle name="¹eº_마곡보완_경서실행(견적실)공무팀" xfId="28373"/>
    <cellStyle name="¹éº_마곡보완_경서실행(견적실)공무팀" xfId="28734"/>
    <cellStyle name="¹eº_마곡보완_경서실행(견적실)공무팀 2" xfId="28374"/>
    <cellStyle name="¹éº_마곡보완_경서실행(견적실)공무팀 2" xfId="28735"/>
    <cellStyle name="¹eº_마곡보완_경서실행(견적실)공무팀_1" xfId="28375"/>
    <cellStyle name="¹éº_마곡보완_경서실행(견적실)공무팀_1" xfId="28736"/>
    <cellStyle name="¹eº_마곡보완_경서실행(견적실)공무팀_1 2" xfId="28376"/>
    <cellStyle name="¹éº_마곡보완_경서실행(견적실)공무팀_1 2" xfId="28737"/>
    <cellStyle name="¹eº_마곡보완_경서실행(견적실)공무팀_1_레몬영화egi내역서(13968천원)" xfId="28377"/>
    <cellStyle name="¹éº_마곡보완_경서실행(견적실)공무팀_1_레몬영화egi내역서(13968천원)" xfId="28738"/>
    <cellStyle name="¹eº_마곡보완_경서실행(견적실)공무팀_1_레몬영화egi내역서(13968천원) 2" xfId="28378"/>
    <cellStyle name="¹éº_마곡보완_경서실행(견적실)공무팀_1_레몬영화egi내역서(13968천원) 2" xfId="28739"/>
    <cellStyle name="¹eº_마곡보완_광주공장 도급내역(변경03.1.07)" xfId="28379"/>
    <cellStyle name="¹éº_마곡보완_광주공장 도급내역(변경03.1.07)" xfId="28740"/>
    <cellStyle name="¹eº_마곡보완_광주공장 도급내역(변경03.1.07) 2" xfId="28380"/>
    <cellStyle name="¹éº_마곡보완_광주공장 도급내역(변경03.1.07) 2" xfId="28741"/>
    <cellStyle name="¹eº_마곡보완_광주공장 도급내역(변경03.1.21)" xfId="28381"/>
    <cellStyle name="¹éº_마곡보완_광주공장 도급내역(변경03.1.21)" xfId="28742"/>
    <cellStyle name="¹eº_마곡보완_광주공장 도급내역(변경03.1.21) 2" xfId="28382"/>
    <cellStyle name="¹éº_마곡보완_광주공장 도급내역(변경03.1.21) 2" xfId="28743"/>
    <cellStyle name="¹eº_마곡보완_광주공장(대비1218)" xfId="28383"/>
    <cellStyle name="¹éº_마곡보완_광주공장(대비1218)" xfId="28744"/>
    <cellStyle name="¹eº_마곡보완_광주공장(대비1218) 2" xfId="28384"/>
    <cellStyle name="¹éº_마곡보완_광주공장(대비1218) 2" xfId="28745"/>
    <cellStyle name="¹eº_마곡보완_기계실행(LFD광주공장.현설용)" xfId="28385"/>
    <cellStyle name="¹éº_마곡보완_기계실행(LFD광주공장.현설용)" xfId="28746"/>
    <cellStyle name="¹eº_마곡보완_기계실행(LFD광주공장.현설용) 2" xfId="28386"/>
    <cellStyle name="¹éº_마곡보완_기계실행(LFD광주공장.현설용) 2" xfId="28747"/>
    <cellStyle name="¹eº_마곡보완_동명삼화 현장설명(본사지급)" xfId="28387"/>
    <cellStyle name="¹éº_마곡보완_동명삼화 현장설명(본사지급)" xfId="28748"/>
    <cellStyle name="¹eº_마곡보완_동명삼화 현장설명(본사지급) 2" xfId="28388"/>
    <cellStyle name="¹éº_마곡보완_동명삼화 현장설명(본사지급) 2" xfId="28749"/>
    <cellStyle name="¹eº_마곡보완_동명삼화 현장설명(본사지급)_울산신정동수주검토(2003.01.21에어컨)" xfId="28389"/>
    <cellStyle name="¹éº_마곡보완_동명삼화 현장설명(본사지급)_울산신정동수주검토(2003.01.21에어컨)" xfId="28750"/>
    <cellStyle name="¹eº_마곡보완_동명삼화 현장설명(본사지급)_울산신정동수주검토(2003.01.21에어컨) 2" xfId="28390"/>
    <cellStyle name="¹éº_마곡보완_동명삼화 현장설명(본사지급)_울산신정동수주검토(2003.01.21에어컨) 2" xfId="28751"/>
    <cellStyle name="¹eº_마곡보완_동명삼화견본주택 기본안" xfId="28391"/>
    <cellStyle name="¹éº_마곡보완_동명삼화견본주택 기본안" xfId="28752"/>
    <cellStyle name="¹eº_마곡보완_동명삼화견본주택 기본안 2" xfId="28392"/>
    <cellStyle name="¹éº_마곡보완_동명삼화견본주택 기본안 2" xfId="28753"/>
    <cellStyle name="¹eº_마곡보완_동명삼화기계공사 물량집계" xfId="28393"/>
    <cellStyle name="¹éº_마곡보완_동명삼화기계공사 물량집계" xfId="28754"/>
    <cellStyle name="¹eº_마곡보완_동명삼화기계공사 물량집계 2" xfId="28394"/>
    <cellStyle name="¹éº_마곡보완_동명삼화기계공사 물량집계 2" xfId="28755"/>
    <cellStyle name="¹eº_마곡보완_동명삼화재건축아파트" xfId="28395"/>
    <cellStyle name="¹éº_마곡보완_동명삼화재건축아파트" xfId="28756"/>
    <cellStyle name="¹eº_마곡보완_동명삼화재건축아파트 2" xfId="28396"/>
    <cellStyle name="¹éº_마곡보완_동명삼화재건축아파트 2" xfId="28757"/>
    <cellStyle name="¹eº_마곡보완_동명실행예산-1" xfId="28397"/>
    <cellStyle name="¹éº_마곡보완_동명실행예산-1" xfId="28758"/>
    <cellStyle name="¹eº_마곡보완_동명실행예산-1 2" xfId="28398"/>
    <cellStyle name="¹éº_마곡보완_동명실행예산-1 2" xfId="28759"/>
    <cellStyle name="¹eº_마곡보완_롯데동명삼화평당단가비교" xfId="28399"/>
    <cellStyle name="¹éº_마곡보완_롯데동명삼화평당단가비교" xfId="28760"/>
    <cellStyle name="¹eº_마곡보완_롯데동명삼화평당단가비교 2" xfId="28400"/>
    <cellStyle name="¹éº_마곡보완_롯데동명삼화평당단가비교 2" xfId="28761"/>
    <cellStyle name="¹eº_마곡보완_부산덕천동 기계공사 단가대비표(2002.11.11)" xfId="28401"/>
    <cellStyle name="¹éº_마곡보완_부산덕천동 기계공사 단가대비표(2002.11.11)" xfId="28762"/>
    <cellStyle name="¹eº_마곡보완_부산덕천동 기계공사 단가대비표(2002.11.11) 2" xfId="28402"/>
    <cellStyle name="¹éº_마곡보완_부산덕천동 기계공사 단가대비표(2002.11.11) 2" xfId="28763"/>
    <cellStyle name="¹eº_마곡보완_부산덕천동롯데아파트(환경ENG)" xfId="28403"/>
    <cellStyle name="¹éº_마곡보완_부산덕천동롯데아파트(환경ENG)" xfId="28764"/>
    <cellStyle name="¹eº_마곡보완_부산덕천동롯데아파트(환경ENG) 2" xfId="28404"/>
    <cellStyle name="¹éº_마곡보완_부산덕천동롯데아파트(환경ENG) 2" xfId="28765"/>
    <cellStyle name="¹eº_마곡보완_부산덕천동아파트(세경엔지니어링)" xfId="28405"/>
    <cellStyle name="¹éº_마곡보완_부산덕천동아파트(세경엔지니어링)" xfId="28766"/>
    <cellStyle name="¹eº_마곡보완_부산덕천동아파트(세경엔지니어링) 2" xfId="28406"/>
    <cellStyle name="¹éº_마곡보완_부산덕천동아파트(세경엔지니어링) 2" xfId="28767"/>
    <cellStyle name="¹eº_마곡보완_실행검토_부산덕천" xfId="28407"/>
    <cellStyle name="¹éº_마곡보완_실행검토_부산덕천" xfId="28768"/>
    <cellStyle name="¹eº_마곡보완_실행검토_부산덕천 2" xfId="28408"/>
    <cellStyle name="¹éº_마곡보완_실행검토_부산덕천 2" xfId="28769"/>
    <cellStyle name="¹eº_마곡보완_아파트 평당단가 비교" xfId="28409"/>
    <cellStyle name="¹éº_마곡보완_아파트 평당단가 비교" xfId="28770"/>
    <cellStyle name="¹eº_마곡보완_아파트 평당단가 비교 2" xfId="28410"/>
    <cellStyle name="¹éº_마곡보완_아파트 평당단가 비교 2" xfId="28771"/>
    <cellStyle name="¹eº_마곡보완_안양석수점기계(도급내역)1" xfId="28411"/>
    <cellStyle name="¹éº_마곡보완_안양석수점기계(도급내역)1" xfId="28772"/>
    <cellStyle name="¹eº_마곡보완_안양석수점기계(도급내역)1 2" xfId="28412"/>
    <cellStyle name="¹éº_마곡보완_안양석수점기계(도급내역)1 2" xfId="28773"/>
    <cellStyle name="¹eº_마곡보완_안양석수점기계(도급내역)1_LLC견적및수주원가(설계변경)4차" xfId="28413"/>
    <cellStyle name="¹éº_마곡보완_안양석수점기계(도급내역)1_LLC견적및수주원가(설계변경)4차" xfId="28774"/>
    <cellStyle name="¹eº_마곡보완_안양석수점기계(도급내역)1_LLC견적및수주원가(설계변경)4차 2" xfId="28414"/>
    <cellStyle name="¹éº_마곡보완_안양석수점기계(도급내역)1_LLC견적및수주원가(설계변경)4차 2" xfId="28775"/>
    <cellStyle name="¹eº_마곡보완_여의도센터빌딩실행원가(020613)-2" xfId="28415"/>
    <cellStyle name="¹éº_마곡보완_여의도센터빌딩실행원가(020613)-2" xfId="28776"/>
    <cellStyle name="¹eº_마곡보완_여의도센터빌딩실행원가(020613)-2 2" xfId="28416"/>
    <cellStyle name="¹éº_마곡보완_여의도센터빌딩실행원가(020613)-2 2" xfId="28777"/>
    <cellStyle name="¹eº_마곡보완_울산신정동수주검토(2003.01.21에어컨)" xfId="28417"/>
    <cellStyle name="¹éº_마곡보완_울산신정동수주검토(2003.01.21에어컨)" xfId="28778"/>
    <cellStyle name="¹eº_마곡보완_울산신정동수주검토(2003.01.21에어컨) 2" xfId="28418"/>
    <cellStyle name="¹éº_마곡보완_울산신정동수주검토(2003.01.21에어컨) 2" xfId="28779"/>
    <cellStyle name="¹eº_마곡보완_의왕물류센타(기계도급내역설변1차)" xfId="28419"/>
    <cellStyle name="¹éº_마곡보완_의왕물류센타(기계도급내역설변1차)" xfId="28780"/>
    <cellStyle name="¹eº_마곡보완_의왕물류센타(기계도급내역설변1차) 2" xfId="28420"/>
    <cellStyle name="¹éº_마곡보완_의왕물류센타(기계도급내역설변1차) 2" xfId="28781"/>
    <cellStyle name="¹eº_마곡보완_의왕물류센타(기계도급내역설변1차)_제과충주영업소견적서" xfId="28421"/>
    <cellStyle name="¹éº_마곡보완_의왕물류센타(기계도급내역설변1차)_제과충주영업소견적서" xfId="28782"/>
    <cellStyle name="¹eº_마곡보완_의왕물류센타(기계도급내역설변1차)_제과충주영업소견적서 2" xfId="28422"/>
    <cellStyle name="¹éº_마곡보완_의왕물류센타(기계도급내역설변1차)_제과충주영업소견적서 2" xfId="28783"/>
    <cellStyle name="¹eº_마곡보완_제과의왕견적서(020415)" xfId="28423"/>
    <cellStyle name="¹éº_마곡보완_제과의왕견적서(020415)" xfId="28784"/>
    <cellStyle name="¹eº_마곡보완_제과의왕견적서(020415) 2" xfId="28424"/>
    <cellStyle name="¹éº_마곡보완_제과의왕견적서(020415) 2" xfId="28785"/>
    <cellStyle name="¹eº_마곡보완_제과의왕견적서(020415)_제과충주영업소견적서" xfId="28425"/>
    <cellStyle name="¹éº_마곡보완_제과의왕견적서(020415)_제과충주영업소견적서" xfId="28786"/>
    <cellStyle name="¹eº_마곡보완_제과의왕견적서(020415)_제과충주영업소견적서 2" xfId="28426"/>
    <cellStyle name="¹éº_마곡보완_제과의왕견적서(020415)_제과충주영업소견적서 2" xfId="28787"/>
    <cellStyle name="¹eº_마곡보완_제과의왕견적서(020429)송부" xfId="28427"/>
    <cellStyle name="¹éº_마곡보완_제과의왕견적서(020429)송부" xfId="28788"/>
    <cellStyle name="¹eº_마곡보완_제과의왕견적서(020429)송부 2" xfId="28428"/>
    <cellStyle name="¹éº_마곡보완_제과의왕견적서(020429)송부 2" xfId="28789"/>
    <cellStyle name="¹eº_마곡보완_제과의왕견적서(020429)송부_제과충주영업소견적서" xfId="28429"/>
    <cellStyle name="¹éº_마곡보완_제과의왕견적서(020429)송부_제과충주영업소견적서" xfId="28790"/>
    <cellStyle name="¹eº_마곡보완_제과의왕견적서(020429)송부_제과충주영업소견적서 2" xfId="28430"/>
    <cellStyle name="¹éº_마곡보완_제과의왕견적서(020429)송부_제과충주영업소견적서 2" xfId="28791"/>
    <cellStyle name="¹eº_마곡보완_제과의왕견적서(020513)2차변경NEGO(7550)" xfId="28431"/>
    <cellStyle name="¹éº_마곡보완_제과의왕견적서(020513)2차변경NEGO(7550)" xfId="28792"/>
    <cellStyle name="¹eº_마곡보완_제과의왕견적서(020513)2차변경NEGO(7550) 2" xfId="28432"/>
    <cellStyle name="¹éº_마곡보완_제과의왕견적서(020513)2차변경NEGO(7550) 2" xfId="28793"/>
    <cellStyle name="¹eº_마곡보완_제과의왕견적서7550(공무)" xfId="28433"/>
    <cellStyle name="¹éº_마곡보완_제과의왕견적서7550(공무)" xfId="28794"/>
    <cellStyle name="¹eº_마곡보완_제과의왕견적서7550(공무) 2" xfId="28434"/>
    <cellStyle name="¹éº_마곡보완_제과의왕견적서7550(공무) 2" xfId="28795"/>
    <cellStyle name="¹eº_마곡보완_제과의왕견적서7550(공무)_레몬영화egi내역서(13968천원)" xfId="28435"/>
    <cellStyle name="¹éº_마곡보완_제과의왕견적서7550(공무)_레몬영화egi내역서(13968천원)" xfId="28796"/>
    <cellStyle name="¹eº_마곡보완_제과의왕견적서7550(공무)_레몬영화egi내역서(13968천원) 2" xfId="28436"/>
    <cellStyle name="¹éº_마곡보완_제과의왕견적서7550(공무)_레몬영화egi내역서(13968천원) 2" xfId="28797"/>
    <cellStyle name="¹eº_마곡보완_제과충주영업소견적서" xfId="28437"/>
    <cellStyle name="¹éº_마곡보완_제과충주영업소견적서" xfId="28798"/>
    <cellStyle name="¹eº_마곡보완_제과충주영업소견적서 2" xfId="28438"/>
    <cellStyle name="¹éº_마곡보완_제과충주영업소견적서 2" xfId="28799"/>
    <cellStyle name="¹eº_마곡보완_충주영업소(기계실행)" xfId="28439"/>
    <cellStyle name="¹éº_마곡보완_충주영업소(기계실행)" xfId="28800"/>
    <cellStyle name="¹eº_마곡보완_충주영업소(기계실행) 2" xfId="28440"/>
    <cellStyle name="¹éº_마곡보완_충주영업소(기계실행) 2" xfId="28801"/>
    <cellStyle name="¹eº_마곡보완_충주영업소(기계실행)_레몬영화egi내역서(13968천원)" xfId="28441"/>
    <cellStyle name="¹éº_마곡보완_충주영업소(기계실행)_레몬영화egi내역서(13968천원)" xfId="28802"/>
    <cellStyle name="¹eº_마곡보완_충주영업소(기계실행)_레몬영화egi내역서(13968천원) 2" xfId="28442"/>
    <cellStyle name="¹éº_마곡보완_충주영업소(기계실행)_레몬영화egi내역서(13968천원) 2" xfId="28803"/>
    <cellStyle name="¹eº_마곡보완_현장경비신청안박성남" xfId="28443"/>
    <cellStyle name="¹éº_마곡보완_현장경비신청안박성남" xfId="28804"/>
    <cellStyle name="¹eº_마곡보완_현장경비신청안박성남 2" xfId="28444"/>
    <cellStyle name="¹éº_마곡보완_현장경비신청안박성남 2" xfId="28805"/>
    <cellStyle name="¹eº_마곡보완_현장설명(가스설비)" xfId="28445"/>
    <cellStyle name="¹éº_마곡보완_현장설명(가스설비)" xfId="28806"/>
    <cellStyle name="¹eº_마곡보완_현장설명(가스설비) 2" xfId="28446"/>
    <cellStyle name="¹éº_마곡보완_현장설명(가스설비) 2" xfId="28807"/>
    <cellStyle name="¹eº_마곡보완_현장설명(기계설비)" xfId="28447"/>
    <cellStyle name="¹éº_마곡보완_현장설명(기계설비)" xfId="28808"/>
    <cellStyle name="¹eº_마곡보완_현장설명(기계설비) 2" xfId="28448"/>
    <cellStyle name="¹éº_마곡보완_현장설명(기계설비) 2" xfId="28809"/>
    <cellStyle name="¹eº_부산덕천동 기계공사 단가대비표(2002.11.11)" xfId="28449"/>
    <cellStyle name="¹éº_부산덕천동 기계공사 단가대비표(2002.11.11)" xfId="28810"/>
    <cellStyle name="¹eº_부산덕천동 기계공사 단가대비표(2002.11.11) 2" xfId="28450"/>
    <cellStyle name="¹éº_부산덕천동 기계공사 단가대비표(2002.11.11) 2" xfId="28811"/>
    <cellStyle name="¹eº_부산덕천동롯데아파트(환경ENG)" xfId="28451"/>
    <cellStyle name="¹éº_부산덕천동롯데아파트(환경ENG)" xfId="28812"/>
    <cellStyle name="¹eº_부산덕천동롯데아파트(환경ENG) 2" xfId="28452"/>
    <cellStyle name="¹éº_부산덕천동롯데아파트(환경ENG) 2" xfId="28813"/>
    <cellStyle name="¹eº_부산덕천동아파트(세경엔지니어링)" xfId="28453"/>
    <cellStyle name="¹éº_부산덕천동아파트(세경엔지니어링)" xfId="28814"/>
    <cellStyle name="¹eº_부산덕천동아파트(세경엔지니어링) 2" xfId="28454"/>
    <cellStyle name="¹éº_부산덕천동아파트(세경엔지니어링) 2" xfId="28815"/>
    <cellStyle name="¹eº_실행검토_부산덕천" xfId="28455"/>
    <cellStyle name="¹éº_실행검토_부산덕천" xfId="28816"/>
    <cellStyle name="¹eº_실행검토_부산덕천 2" xfId="28456"/>
    <cellStyle name="¹éº_실행검토_부산덕천 2" xfId="28817"/>
    <cellStyle name="¹eº_아파트 평당단가 비교" xfId="28457"/>
    <cellStyle name="¹éº_아파트 평당단가 비교" xfId="28818"/>
    <cellStyle name="¹eº_아파트 평당단가 비교 2" xfId="28458"/>
    <cellStyle name="¹éº_아파트 평당단가 비교 2" xfId="28819"/>
    <cellStyle name="¹eº_안양석수점기계(도급내역)1" xfId="28459"/>
    <cellStyle name="¹éº_안양석수점기계(도급내역)1" xfId="28820"/>
    <cellStyle name="¹eº_안양석수점기계(도급내역)1 2" xfId="28460"/>
    <cellStyle name="¹éº_안양석수점기계(도급내역)1 2" xfId="28821"/>
    <cellStyle name="¹eº_안양석수점기계(도급내역)1_LLC견적및수주원가(설계변경)4차" xfId="28461"/>
    <cellStyle name="¹éº_안양석수점기계(도급내역)1_LLC견적및수주원가(설계변경)4차" xfId="28822"/>
    <cellStyle name="¹eº_안양석수점기계(도급내역)1_LLC견적및수주원가(설계변경)4차 2" xfId="28462"/>
    <cellStyle name="¹éº_안양석수점기계(도급내역)1_LLC견적및수주원가(설계변경)4차 2" xfId="28823"/>
    <cellStyle name="¹eº_여의도센터빌딩실행원가(020613)-2" xfId="28463"/>
    <cellStyle name="¹éº_여의도센터빌딩실행원가(020613)-2" xfId="28824"/>
    <cellStyle name="¹eº_여의도센터빌딩실행원가(020613)-2 2" xfId="28464"/>
    <cellStyle name="¹éº_여의도센터빌딩실행원가(020613)-2 2" xfId="28825"/>
    <cellStyle name="¹eº_울산신정동수주검토(2003.01.21에어컨)" xfId="28465"/>
    <cellStyle name="¹éº_울산신정동수주검토(2003.01.21에어컨)" xfId="28826"/>
    <cellStyle name="¹eº_울산신정동수주검토(2003.01.21에어컨) 2" xfId="28466"/>
    <cellStyle name="¹éº_울산신정동수주검토(2003.01.21에어컨) 2" xfId="28827"/>
    <cellStyle name="¹eº_의왕물류센타(기계도급내역설변1차)" xfId="28467"/>
    <cellStyle name="¹éº_의왕물류센타(기계도급내역설변1차)" xfId="28828"/>
    <cellStyle name="¹eº_의왕물류센타(기계도급내역설변1차) 2" xfId="28468"/>
    <cellStyle name="¹éº_의왕물류센타(기계도급내역설변1차) 2" xfId="28829"/>
    <cellStyle name="¹eº_의왕물류센타(기계도급내역설변1차)_제과충주영업소견적서" xfId="28469"/>
    <cellStyle name="¹éº_의왕물류센타(기계도급내역설변1차)_제과충주영업소견적서" xfId="28830"/>
    <cellStyle name="¹eº_의왕물류센타(기계도급내역설변1차)_제과충주영업소견적서 2" xfId="28470"/>
    <cellStyle name="¹éº_의왕물류센타(기계도급내역설변1차)_제과충주영업소견적서 2" xfId="28831"/>
    <cellStyle name="¹eº_제과의왕견적서(020415)" xfId="28471"/>
    <cellStyle name="¹éº_제과의왕견적서(020415)" xfId="28832"/>
    <cellStyle name="¹eº_제과의왕견적서(020415) 2" xfId="28472"/>
    <cellStyle name="¹éº_제과의왕견적서(020415) 2" xfId="28833"/>
    <cellStyle name="¹eº_제과의왕견적서(020415)_제과충주영업소견적서" xfId="28473"/>
    <cellStyle name="¹éº_제과의왕견적서(020415)_제과충주영업소견적서" xfId="28834"/>
    <cellStyle name="¹eº_제과의왕견적서(020415)_제과충주영업소견적서 2" xfId="28474"/>
    <cellStyle name="¹éº_제과의왕견적서(020415)_제과충주영업소견적서 2" xfId="28835"/>
    <cellStyle name="¹eº_제과의왕견적서(020429)송부" xfId="28475"/>
    <cellStyle name="¹éº_제과의왕견적서(020429)송부" xfId="28836"/>
    <cellStyle name="¹eº_제과의왕견적서(020429)송부 2" xfId="28476"/>
    <cellStyle name="¹éº_제과의왕견적서(020429)송부 2" xfId="28837"/>
    <cellStyle name="¹eº_제과의왕견적서(020429)송부_제과충주영업소견적서" xfId="28477"/>
    <cellStyle name="¹éº_제과의왕견적서(020429)송부_제과충주영업소견적서" xfId="28838"/>
    <cellStyle name="¹eº_제과의왕견적서(020429)송부_제과충주영업소견적서 2" xfId="28478"/>
    <cellStyle name="¹éº_제과의왕견적서(020429)송부_제과충주영업소견적서 2" xfId="28839"/>
    <cellStyle name="¹eº_제과의왕견적서(020513)2차변경NEGO(7550)" xfId="28479"/>
    <cellStyle name="¹éº_제과의왕견적서(020513)2차변경NEGO(7550)" xfId="28840"/>
    <cellStyle name="¹eº_제과의왕견적서(020513)2차변경NEGO(7550) 2" xfId="28480"/>
    <cellStyle name="¹éº_제과의왕견적서(020513)2차변경NEGO(7550) 2" xfId="28841"/>
    <cellStyle name="¹eº_제과의왕견적서7550(공무)" xfId="28481"/>
    <cellStyle name="¹éº_제과의왕견적서7550(공무)" xfId="28842"/>
    <cellStyle name="¹eº_제과의왕견적서7550(공무) 2" xfId="28482"/>
    <cellStyle name="¹éº_제과의왕견적서7550(공무) 2" xfId="28843"/>
    <cellStyle name="¹eº_제과의왕견적서7550(공무)_레몬영화egi내역서(13968천원)" xfId="28483"/>
    <cellStyle name="¹éº_제과의왕견적서7550(공무)_레몬영화egi내역서(13968천원)" xfId="28844"/>
    <cellStyle name="¹eº_제과의왕견적서7550(공무)_레몬영화egi내역서(13968천원) 2" xfId="28484"/>
    <cellStyle name="¹éº_제과의왕견적서7550(공무)_레몬영화egi내역서(13968천원) 2" xfId="28845"/>
    <cellStyle name="¹eº_제과충주영업소견적서" xfId="28485"/>
    <cellStyle name="¹éº_제과충주영업소견적서" xfId="28846"/>
    <cellStyle name="¹eº_제과충주영업소견적서 2" xfId="28486"/>
    <cellStyle name="¹éº_제과충주영업소견적서 2" xfId="28847"/>
    <cellStyle name="¹eº_충주영업소(기계실행)" xfId="28487"/>
    <cellStyle name="¹éº_충주영업소(기계실행)" xfId="28848"/>
    <cellStyle name="¹eº_충주영업소(기계실행) 2" xfId="28488"/>
    <cellStyle name="¹éº_충주영업소(기계실행) 2" xfId="28849"/>
    <cellStyle name="¹eº_충주영업소(기계실행)_레몬영화egi내역서(13968천원)" xfId="28489"/>
    <cellStyle name="¹éº_충주영업소(기계실행)_레몬영화egi내역서(13968천원)" xfId="28850"/>
    <cellStyle name="¹eº_충주영업소(기계실행)_레몬영화egi내역서(13968천원) 2" xfId="28490"/>
    <cellStyle name="¹éº_충주영업소(기계실행)_레몬영화egi내역서(13968천원) 2" xfId="28851"/>
    <cellStyle name="¹eº_현장경비신청안박성남" xfId="28491"/>
    <cellStyle name="¹éº_현장경비신청안박성남" xfId="28852"/>
    <cellStyle name="¹eº_현장경비신청안박성남 2" xfId="28492"/>
    <cellStyle name="¹éº_현장경비신청안박성남 2" xfId="28853"/>
    <cellStyle name="¹eº_현장설명(가스설비)" xfId="28493"/>
    <cellStyle name="¹éº_현장설명(가스설비)" xfId="28854"/>
    <cellStyle name="¹eº_현장설명(가스설비) 2" xfId="28494"/>
    <cellStyle name="¹éº_현장설명(가스설비) 2" xfId="28855"/>
    <cellStyle name="¹eº_현장설명(기계설비)" xfId="28495"/>
    <cellStyle name="¹éº_현장설명(기계설비)" xfId="28856"/>
    <cellStyle name="¹eº_현장설명(기계설비) 2" xfId="28496"/>
    <cellStyle name="¹éº_현장설명(기계설비) 2" xfId="28857"/>
    <cellStyle name="¹eºða²" xfId="28498"/>
    <cellStyle name="¹eºða² 2" xfId="28499"/>
    <cellStyle name="¹éºÐÀ²_¿îÀüÀÚ±Ý" xfId="28858"/>
    <cellStyle name="¹eºÐA²_AIAIC°AuCoE² " xfId="28497"/>
    <cellStyle name="2" xfId="6116"/>
    <cellStyle name="²" xfId="28125"/>
    <cellStyle name="2 2" xfId="6117"/>
    <cellStyle name="² 2" xfId="28126"/>
    <cellStyle name="2)" xfId="6118"/>
    <cellStyle name="2) 2" xfId="6119"/>
    <cellStyle name="2_laroux" xfId="6216"/>
    <cellStyle name="2_laroux 2" xfId="6217"/>
    <cellStyle name="2_laroux_ATC-YOON1" xfId="6218"/>
    <cellStyle name="2_laroux_ATC-YOON1 2" xfId="6219"/>
    <cellStyle name="2_김포한강 A-5BL AL창호중량" xfId="6220"/>
    <cellStyle name="2_김포한강 A-5BL AL창호중량 2" xfId="6221"/>
    <cellStyle name="2_단가조사표" xfId="6222"/>
    <cellStyle name="2_단가조사표 2" xfId="6223"/>
    <cellStyle name="2_단가조사표_1011소각" xfId="6224"/>
    <cellStyle name="2_단가조사표_1011소각 2" xfId="6225"/>
    <cellStyle name="2_단가조사표_1113교~1" xfId="6226"/>
    <cellStyle name="2_단가조사표_1113교~1 2" xfId="6227"/>
    <cellStyle name="2_단가조사표_121내역" xfId="6228"/>
    <cellStyle name="2_단가조사표_121내역 2" xfId="6229"/>
    <cellStyle name="2_단가조사표_객토량" xfId="6230"/>
    <cellStyle name="2_단가조사표_객토량 2" xfId="6231"/>
    <cellStyle name="2_단가조사표_교통센~1" xfId="6232"/>
    <cellStyle name="2_단가조사표_교통센~1 2" xfId="6233"/>
    <cellStyle name="2_단가조사표_교통센터412" xfId="6234"/>
    <cellStyle name="2_단가조사표_교통센터412 2" xfId="6235"/>
    <cellStyle name="2_단가조사표_교통수" xfId="6236"/>
    <cellStyle name="2_단가조사표_교통수 2" xfId="6237"/>
    <cellStyle name="2_단가조사표_교통수량산출서" xfId="6238"/>
    <cellStyle name="2_단가조사표_교통수량산출서 2" xfId="6239"/>
    <cellStyle name="2_단가조사표_구조물대가 (2)" xfId="6240"/>
    <cellStyle name="2_단가조사표_구조물대가 (2) 2" xfId="6241"/>
    <cellStyle name="2_단가조사표_내역서 (2)" xfId="6242"/>
    <cellStyle name="2_단가조사표_내역서 (2) 2" xfId="6243"/>
    <cellStyle name="2_단가조사표_대전관저지구" xfId="6244"/>
    <cellStyle name="2_단가조사표_대전관저지구 2" xfId="6245"/>
    <cellStyle name="2_단가조사표_동측지~1" xfId="6246"/>
    <cellStyle name="2_단가조사표_동측지~1 2" xfId="6247"/>
    <cellStyle name="2_단가조사표_동측지원422" xfId="6248"/>
    <cellStyle name="2_단가조사표_동측지원422 2" xfId="6249"/>
    <cellStyle name="2_단가조사표_동측지원512" xfId="6250"/>
    <cellStyle name="2_단가조사표_동측지원512 2" xfId="6251"/>
    <cellStyle name="2_단가조사표_동측지원524" xfId="6252"/>
    <cellStyle name="2_단가조사표_동측지원524 2" xfId="6253"/>
    <cellStyle name="2_단가조사표_부대422" xfId="6254"/>
    <cellStyle name="2_단가조사표_부대422 2" xfId="6255"/>
    <cellStyle name="2_단가조사표_부대시설" xfId="6256"/>
    <cellStyle name="2_단가조사표_부대시설 2" xfId="6257"/>
    <cellStyle name="2_단가조사표_소각수~1" xfId="6258"/>
    <cellStyle name="2_단가조사표_소각수~1 2" xfId="6259"/>
    <cellStyle name="2_단가조사표_소각수내역서" xfId="6260"/>
    <cellStyle name="2_단가조사표_소각수내역서 2" xfId="6261"/>
    <cellStyle name="2_단가조사표_소각수목2" xfId="6262"/>
    <cellStyle name="2_단가조사표_소각수목2 2" xfId="6263"/>
    <cellStyle name="2_단가조사표_수량산출서 (2)" xfId="6264"/>
    <cellStyle name="2_단가조사표_수량산출서 (2) 2" xfId="6265"/>
    <cellStyle name="2_단가조사표_엑스포~1" xfId="6266"/>
    <cellStyle name="2_단가조사표_엑스포~1 2" xfId="6267"/>
    <cellStyle name="2_단가조사표_엑스포한빛1" xfId="6268"/>
    <cellStyle name="2_단가조사표_엑스포한빛1 2" xfId="6269"/>
    <cellStyle name="2_단가조사표_여객터미널331" xfId="6270"/>
    <cellStyle name="2_단가조사표_여객터미널331 2" xfId="6271"/>
    <cellStyle name="2_단가조사표_여객터미널513" xfId="6272"/>
    <cellStyle name="2_단가조사표_여객터미널513 2" xfId="6273"/>
    <cellStyle name="2_단가조사표_여객터미널629" xfId="6274"/>
    <cellStyle name="2_단가조사표_여객터미널629 2" xfId="6275"/>
    <cellStyle name="2_단가조사표_외곽도로616" xfId="6276"/>
    <cellStyle name="2_단가조사표_외곽도로616 2" xfId="6277"/>
    <cellStyle name="2_단가조사표_용인죽전수량" xfId="6278"/>
    <cellStyle name="2_단가조사표_용인죽전수량 2" xfId="6279"/>
    <cellStyle name="2_단가조사표_원가계~1" xfId="6280"/>
    <cellStyle name="2_단가조사표_원가계~1 2" xfId="6281"/>
    <cellStyle name="2_단가조사표_유기질" xfId="6282"/>
    <cellStyle name="2_단가조사표_유기질 2" xfId="6283"/>
    <cellStyle name="2_단가조사표_자재조서 (2)" xfId="6284"/>
    <cellStyle name="2_단가조사표_자재조서 (2) 2" xfId="6285"/>
    <cellStyle name="2_단가조사표_총괄내역" xfId="6286"/>
    <cellStyle name="2_단가조사표_총괄내역 (2)" xfId="6287"/>
    <cellStyle name="2_단가조사표_총괄내역 (2) 2" xfId="6288"/>
    <cellStyle name="2_단가조사표_총괄내역 2" xfId="6289"/>
    <cellStyle name="2_단가조사표_터미널도로403" xfId="6290"/>
    <cellStyle name="2_단가조사표_터미널도로403 2" xfId="6291"/>
    <cellStyle name="2_단가조사표_터미널도로429" xfId="6292"/>
    <cellStyle name="2_단가조사표_터미널도로429 2" xfId="6293"/>
    <cellStyle name="2_단가조사표_포장일위" xfId="6294"/>
    <cellStyle name="2_단가조사표_포장일위 2" xfId="6295"/>
    <cellStyle name="20% - Accent1" xfId="6120"/>
    <cellStyle name="20% - Accent1 2" xfId="6121"/>
    <cellStyle name="20% - Accent2" xfId="6122"/>
    <cellStyle name="20% - Accent2 2" xfId="6123"/>
    <cellStyle name="20% - Accent3" xfId="6124"/>
    <cellStyle name="20% - Accent3 2" xfId="6125"/>
    <cellStyle name="20% - Accent4" xfId="6126"/>
    <cellStyle name="20% - Accent4 2" xfId="6127"/>
    <cellStyle name="20% - Accent5" xfId="6128"/>
    <cellStyle name="20% - Accent5 2" xfId="6129"/>
    <cellStyle name="20% - Accent6" xfId="6130"/>
    <cellStyle name="20% - Accent6 2" xfId="6131"/>
    <cellStyle name="20% - 강조색1 2" xfId="6132"/>
    <cellStyle name="20% - 강조색1 2 2" xfId="6133"/>
    <cellStyle name="20% - 강조색1 3" xfId="6134"/>
    <cellStyle name="20% - 강조색1 3 2" xfId="6135"/>
    <cellStyle name="20% - 강조색1 3 2 2" xfId="6136"/>
    <cellStyle name="20% - 강조색1 3 3" xfId="6137"/>
    <cellStyle name="20% - 강조색1 4" xfId="6138"/>
    <cellStyle name="20% - 강조색1 4 2" xfId="6139"/>
    <cellStyle name="20% - 강조색1 5" xfId="6140"/>
    <cellStyle name="20% - 강조색1 5 2" xfId="6141"/>
    <cellStyle name="20% - 강조색1 6" xfId="6142"/>
    <cellStyle name="20% - 강조색1 6 2" xfId="6143"/>
    <cellStyle name="20% - 강조색1 7" xfId="6144"/>
    <cellStyle name="20% - 강조색1 7 2" xfId="6145"/>
    <cellStyle name="20% - 강조색2 2" xfId="6146"/>
    <cellStyle name="20% - 강조색2 2 2" xfId="6147"/>
    <cellStyle name="20% - 강조색2 3" xfId="6148"/>
    <cellStyle name="20% - 강조색2 3 2" xfId="6149"/>
    <cellStyle name="20% - 강조색2 3 2 2" xfId="6150"/>
    <cellStyle name="20% - 강조색2 3 3" xfId="6151"/>
    <cellStyle name="20% - 강조색2 4" xfId="6152"/>
    <cellStyle name="20% - 강조색2 4 2" xfId="6153"/>
    <cellStyle name="20% - 강조색2 5" xfId="6154"/>
    <cellStyle name="20% - 강조색2 5 2" xfId="6155"/>
    <cellStyle name="20% - 강조색2 6" xfId="6156"/>
    <cellStyle name="20% - 강조색2 6 2" xfId="6157"/>
    <cellStyle name="20% - 강조색2 7" xfId="6158"/>
    <cellStyle name="20% - 강조색2 7 2" xfId="6159"/>
    <cellStyle name="20% - 강조색3 2" xfId="6160"/>
    <cellStyle name="20% - 강조색3 2 2" xfId="6161"/>
    <cellStyle name="20% - 강조색3 3" xfId="6162"/>
    <cellStyle name="20% - 강조색3 3 2" xfId="6163"/>
    <cellStyle name="20% - 강조색3 3 2 2" xfId="6164"/>
    <cellStyle name="20% - 강조색3 3 3" xfId="6165"/>
    <cellStyle name="20% - 강조색3 4" xfId="6166"/>
    <cellStyle name="20% - 강조색3 4 2" xfId="6167"/>
    <cellStyle name="20% - 강조색3 5" xfId="6168"/>
    <cellStyle name="20% - 강조색3 5 2" xfId="6169"/>
    <cellStyle name="20% - 강조색3 6" xfId="6170"/>
    <cellStyle name="20% - 강조색3 6 2" xfId="6171"/>
    <cellStyle name="20% - 강조색3 7" xfId="6172"/>
    <cellStyle name="20% - 강조색3 7 2" xfId="6173"/>
    <cellStyle name="20% - 강조색4 2" xfId="6174"/>
    <cellStyle name="20% - 강조색4 2 2" xfId="6175"/>
    <cellStyle name="20% - 강조색4 3" xfId="6176"/>
    <cellStyle name="20% - 강조색4 3 2" xfId="6177"/>
    <cellStyle name="20% - 강조색4 3 2 2" xfId="6178"/>
    <cellStyle name="20% - 강조색4 3 3" xfId="6179"/>
    <cellStyle name="20% - 강조색4 4" xfId="6180"/>
    <cellStyle name="20% - 강조색4 4 2" xfId="6181"/>
    <cellStyle name="20% - 강조색4 5" xfId="6182"/>
    <cellStyle name="20% - 강조색4 5 2" xfId="6183"/>
    <cellStyle name="20% - 강조색4 6" xfId="6184"/>
    <cellStyle name="20% - 강조색4 6 2" xfId="6185"/>
    <cellStyle name="20% - 강조색4 7" xfId="6186"/>
    <cellStyle name="20% - 강조색4 7 2" xfId="6187"/>
    <cellStyle name="20% - 강조색5 2" xfId="6188"/>
    <cellStyle name="20% - 강조색5 2 2" xfId="6189"/>
    <cellStyle name="20% - 강조색5 3" xfId="6190"/>
    <cellStyle name="20% - 강조색5 3 2" xfId="6191"/>
    <cellStyle name="20% - 강조색5 3 2 2" xfId="6192"/>
    <cellStyle name="20% - 강조색5 3 3" xfId="6193"/>
    <cellStyle name="20% - 강조색5 4" xfId="6194"/>
    <cellStyle name="20% - 강조색5 4 2" xfId="6195"/>
    <cellStyle name="20% - 강조색5 5" xfId="6196"/>
    <cellStyle name="20% - 강조색5 5 2" xfId="6197"/>
    <cellStyle name="20% - 강조색5 6" xfId="6198"/>
    <cellStyle name="20% - 강조색5 6 2" xfId="6199"/>
    <cellStyle name="20% - 강조색5 7" xfId="6200"/>
    <cellStyle name="20% - 강조색5 7 2" xfId="6201"/>
    <cellStyle name="20% - 강조색6 2" xfId="6202"/>
    <cellStyle name="20% - 강조색6 2 2" xfId="6203"/>
    <cellStyle name="20% - 강조색6 3" xfId="6204"/>
    <cellStyle name="20% - 강조색6 3 2" xfId="6205"/>
    <cellStyle name="20% - 강조색6 3 2 2" xfId="6206"/>
    <cellStyle name="20% - 강조색6 3 3" xfId="6207"/>
    <cellStyle name="20% - 강조색6 4" xfId="6208"/>
    <cellStyle name="20% - 강조색6 4 2" xfId="6209"/>
    <cellStyle name="20% - 강조색6 5" xfId="6210"/>
    <cellStyle name="20% - 강조색6 5 2" xfId="6211"/>
    <cellStyle name="20% - 강조색6 6" xfId="6212"/>
    <cellStyle name="20% - 강조색6 6 2" xfId="6213"/>
    <cellStyle name="20% - 강조색6 7" xfId="6214"/>
    <cellStyle name="20% - 강조색6 7 2" xfId="6215"/>
    <cellStyle name="3" xfId="6296"/>
    <cellStyle name="3 2" xfId="6297"/>
    <cellStyle name="³?a￥" xfId="28127"/>
    <cellStyle name="³?a￥ 2" xfId="28128"/>
    <cellStyle name="³¯â¥" xfId="28131"/>
    <cellStyle name="³¯â¥ 2" xfId="28132"/>
    <cellStyle name="³f¹ô[0]_pldt" xfId="28129"/>
    <cellStyle name="³f¹ô_pldt" xfId="28130"/>
    <cellStyle name="၃urrency_OTD thru NOR " xfId="31006"/>
    <cellStyle name="3자리" xfId="6298"/>
    <cellStyle name="3자리 2" xfId="6299"/>
    <cellStyle name="40% - Accent1" xfId="6300"/>
    <cellStyle name="40% - Accent1 2" xfId="6301"/>
    <cellStyle name="40% - Accent2" xfId="6302"/>
    <cellStyle name="40% - Accent2 2" xfId="6303"/>
    <cellStyle name="40% - Accent3" xfId="6304"/>
    <cellStyle name="40% - Accent3 2" xfId="6305"/>
    <cellStyle name="40% - Accent4" xfId="6306"/>
    <cellStyle name="40% - Accent4 2" xfId="6307"/>
    <cellStyle name="40% - Accent5" xfId="6308"/>
    <cellStyle name="40% - Accent5 2" xfId="6309"/>
    <cellStyle name="40% - Accent6" xfId="6310"/>
    <cellStyle name="40% - Accent6 2" xfId="6311"/>
    <cellStyle name="40% - 강조색1 2" xfId="6312"/>
    <cellStyle name="40% - 강조색1 2 2" xfId="6313"/>
    <cellStyle name="40% - 강조색1 3" xfId="6314"/>
    <cellStyle name="40% - 강조색1 3 2" xfId="6315"/>
    <cellStyle name="40% - 강조색1 3 2 2" xfId="6316"/>
    <cellStyle name="40% - 강조색1 3 3" xfId="6317"/>
    <cellStyle name="40% - 강조색1 4" xfId="6318"/>
    <cellStyle name="40% - 강조색1 4 2" xfId="6319"/>
    <cellStyle name="40% - 강조색1 5" xfId="6320"/>
    <cellStyle name="40% - 강조색1 5 2" xfId="6321"/>
    <cellStyle name="40% - 강조색1 6" xfId="6322"/>
    <cellStyle name="40% - 강조색1 6 2" xfId="6323"/>
    <cellStyle name="40% - 강조색1 7" xfId="6324"/>
    <cellStyle name="40% - 강조색1 7 2" xfId="6325"/>
    <cellStyle name="40% - 강조색2 2" xfId="6326"/>
    <cellStyle name="40% - 강조색2 2 2" xfId="6327"/>
    <cellStyle name="40% - 강조색2 3" xfId="6328"/>
    <cellStyle name="40% - 강조색2 3 2" xfId="6329"/>
    <cellStyle name="40% - 강조색2 3 2 2" xfId="6330"/>
    <cellStyle name="40% - 강조색2 3 3" xfId="6331"/>
    <cellStyle name="40% - 강조색2 4" xfId="6332"/>
    <cellStyle name="40% - 강조색2 4 2" xfId="6333"/>
    <cellStyle name="40% - 강조색2 5" xfId="6334"/>
    <cellStyle name="40% - 강조색2 5 2" xfId="6335"/>
    <cellStyle name="40% - 강조색2 6" xfId="6336"/>
    <cellStyle name="40% - 강조색2 6 2" xfId="6337"/>
    <cellStyle name="40% - 강조색2 7" xfId="6338"/>
    <cellStyle name="40% - 강조색2 7 2" xfId="6339"/>
    <cellStyle name="40% - 강조색3 2" xfId="6340"/>
    <cellStyle name="40% - 강조색3 2 2" xfId="6341"/>
    <cellStyle name="40% - 강조색3 3" xfId="6342"/>
    <cellStyle name="40% - 강조색3 3 2" xfId="6343"/>
    <cellStyle name="40% - 강조색3 3 2 2" xfId="6344"/>
    <cellStyle name="40% - 강조색3 3 3" xfId="6345"/>
    <cellStyle name="40% - 강조색3 4" xfId="6346"/>
    <cellStyle name="40% - 강조색3 4 2" xfId="6347"/>
    <cellStyle name="40% - 강조색3 5" xfId="6348"/>
    <cellStyle name="40% - 강조색3 5 2" xfId="6349"/>
    <cellStyle name="40% - 강조색3 6" xfId="6350"/>
    <cellStyle name="40% - 강조색3 6 2" xfId="6351"/>
    <cellStyle name="40% - 강조색3 7" xfId="6352"/>
    <cellStyle name="40% - 강조색3 7 2" xfId="6353"/>
    <cellStyle name="40% - 강조색4 2" xfId="6354"/>
    <cellStyle name="40% - 강조색4 2 2" xfId="6355"/>
    <cellStyle name="40% - 강조색4 3" xfId="6356"/>
    <cellStyle name="40% - 강조색4 3 2" xfId="6357"/>
    <cellStyle name="40% - 강조색4 3 2 2" xfId="6358"/>
    <cellStyle name="40% - 강조색4 3 3" xfId="6359"/>
    <cellStyle name="40% - 강조색4 4" xfId="6360"/>
    <cellStyle name="40% - 강조색4 4 2" xfId="6361"/>
    <cellStyle name="40% - 강조색4 5" xfId="6362"/>
    <cellStyle name="40% - 강조색4 5 2" xfId="6363"/>
    <cellStyle name="40% - 강조색4 6" xfId="6364"/>
    <cellStyle name="40% - 강조색4 6 2" xfId="6365"/>
    <cellStyle name="40% - 강조색4 7" xfId="6366"/>
    <cellStyle name="40% - 강조색4 7 2" xfId="6367"/>
    <cellStyle name="40% - 강조색5 2" xfId="6368"/>
    <cellStyle name="40% - 강조색5 2 2" xfId="6369"/>
    <cellStyle name="40% - 강조색5 3" xfId="6370"/>
    <cellStyle name="40% - 강조색5 3 2" xfId="6371"/>
    <cellStyle name="40% - 강조색5 3 2 2" xfId="6372"/>
    <cellStyle name="40% - 강조색5 3 3" xfId="6373"/>
    <cellStyle name="40% - 강조색5 4" xfId="6374"/>
    <cellStyle name="40% - 강조색5 4 2" xfId="6375"/>
    <cellStyle name="40% - 강조색5 5" xfId="6376"/>
    <cellStyle name="40% - 강조색5 5 2" xfId="6377"/>
    <cellStyle name="40% - 강조색5 6" xfId="6378"/>
    <cellStyle name="40% - 강조색5 6 2" xfId="6379"/>
    <cellStyle name="40% - 강조색5 7" xfId="6380"/>
    <cellStyle name="40% - 강조색5 7 2" xfId="6381"/>
    <cellStyle name="40% - 강조색6 2" xfId="6382"/>
    <cellStyle name="40% - 강조색6 2 2" xfId="6383"/>
    <cellStyle name="40% - 강조색6 3" xfId="6384"/>
    <cellStyle name="40% - 강조색6 3 2" xfId="6385"/>
    <cellStyle name="40% - 강조색6 3 2 2" xfId="6386"/>
    <cellStyle name="40% - 강조색6 3 3" xfId="6387"/>
    <cellStyle name="40% - 강조색6 4" xfId="6388"/>
    <cellStyle name="40% - 강조색6 4 2" xfId="6389"/>
    <cellStyle name="40% - 강조색6 5" xfId="6390"/>
    <cellStyle name="40% - 강조색6 5 2" xfId="6391"/>
    <cellStyle name="40% - 강조색6 6" xfId="6392"/>
    <cellStyle name="40% - 강조색6 6 2" xfId="6393"/>
    <cellStyle name="40% - 강조색6 7" xfId="6394"/>
    <cellStyle name="40% - 강조색6 7 2" xfId="6395"/>
    <cellStyle name="6" xfId="6396"/>
    <cellStyle name="6 2" xfId="6397"/>
    <cellStyle name="60" xfId="6398"/>
    <cellStyle name="60 2" xfId="6399"/>
    <cellStyle name="60 2 2" xfId="6400"/>
    <cellStyle name="60 3" xfId="6401"/>
    <cellStyle name="60% - Accent1" xfId="6402"/>
    <cellStyle name="60% - Accent1 2" xfId="6403"/>
    <cellStyle name="60% - Accent2" xfId="6404"/>
    <cellStyle name="60% - Accent2 2" xfId="6405"/>
    <cellStyle name="60% - Accent3" xfId="6406"/>
    <cellStyle name="60% - Accent3 2" xfId="6407"/>
    <cellStyle name="60% - Accent4" xfId="6408"/>
    <cellStyle name="60% - Accent4 2" xfId="6409"/>
    <cellStyle name="60% - Accent5" xfId="6410"/>
    <cellStyle name="60% - Accent5 2" xfId="6411"/>
    <cellStyle name="60% - Accent6" xfId="6412"/>
    <cellStyle name="60% - Accent6 2" xfId="6413"/>
    <cellStyle name="60% - 강조색1 2" xfId="6414"/>
    <cellStyle name="60% - 강조색1 2 2" xfId="6415"/>
    <cellStyle name="60% - 강조색1 3" xfId="6416"/>
    <cellStyle name="60% - 강조색1 3 2" xfId="6417"/>
    <cellStyle name="60% - 강조색2 2" xfId="6418"/>
    <cellStyle name="60% - 강조색2 2 2" xfId="6419"/>
    <cellStyle name="60% - 강조색2 3" xfId="6420"/>
    <cellStyle name="60% - 강조색2 3 2" xfId="6421"/>
    <cellStyle name="60% - 강조색3 2" xfId="6422"/>
    <cellStyle name="60% - 강조색3 2 2" xfId="6423"/>
    <cellStyle name="60% - 강조색3 3" xfId="6424"/>
    <cellStyle name="60% - 강조색3 3 2" xfId="6425"/>
    <cellStyle name="60% - 강조색4 2" xfId="6426"/>
    <cellStyle name="60% - 강조색4 2 2" xfId="6427"/>
    <cellStyle name="60% - 강조색4 3" xfId="6428"/>
    <cellStyle name="60% - 강조색4 3 2" xfId="6429"/>
    <cellStyle name="60% - 강조색5 2" xfId="6430"/>
    <cellStyle name="60% - 강조색5 2 2" xfId="6431"/>
    <cellStyle name="60% - 강조색5 3" xfId="6432"/>
    <cellStyle name="60% - 강조색5 3 2" xfId="6433"/>
    <cellStyle name="60% - 강조색6 2" xfId="6434"/>
    <cellStyle name="60% - 강조색6 2 2" xfId="6435"/>
    <cellStyle name="60% - 강조색6 3" xfId="6436"/>
    <cellStyle name="60% - 강조색6 3 2" xfId="6437"/>
    <cellStyle name="7" xfId="6438"/>
    <cellStyle name="7 2" xfId="6439"/>
    <cellStyle name="7_02년사업계획양식V1.0" xfId="6442"/>
    <cellStyle name="7_02년사업계획양식V1.0 2" xfId="6443"/>
    <cellStyle name="7_02년사업계획양식V1.0_02년사업계획양식V1.0_고동욱_011205" xfId="6444"/>
    <cellStyle name="7_02년사업계획양식V1.0_02년사업계획양식V1.0_고동욱_011205 2" xfId="6445"/>
    <cellStyle name="7_02년사업계획양식V1.0_02년사업계획양식V1.0_고동욱_011205_02년사업계획양식V2.0" xfId="6446"/>
    <cellStyle name="7_02년사업계획양식V1.0_02년사업계획양식V1.0_고동욱_011205_02년사업계획양식V2.0 2" xfId="6447"/>
    <cellStyle name="7_02년사업계획양식V1.0_02년사업계획양식V1.0_고동욱_011205_02년사업계획양식V2.0_02년사업계획양식V2.0" xfId="6448"/>
    <cellStyle name="7_02년사업계획양식V1.0_02년사업계획양식V1.0_고동욱_011205_02년사업계획양식V2.0_02년사업계획양식V2.0 2" xfId="6449"/>
    <cellStyle name="7_02년사업계획양식V1.0_02년사업계획양식V1.0_고동욱_011205_02년사업계획양식V2.0_02년사업계획양식V2.0_02년사업계획양식V3.0" xfId="6450"/>
    <cellStyle name="7_02년사업계획양식V1.0_02년사업계획양식V1.0_고동욱_011205_02년사업계획양식V2.0_02년사업계획양식V2.0_02년사업계획양식V3.0 2" xfId="6451"/>
    <cellStyle name="7_02년사업계획양식V1.0_02년사업계획양식V1.0_고동욱_011205_02년사업계획양식V2.0_02년사업계획양식V2.0_02년사업계획양식V3.0_02년사업계획양식V3.0" xfId="6452"/>
    <cellStyle name="7_02년사업계획양식V1.0_02년사업계획양식V1.0_고동욱_011205_02년사업계획양식V2.0_02년사업계획양식V2.0_02년사업계획양식V3.0_02년사업계획양식V3.0 2" xfId="6453"/>
    <cellStyle name="7_02년사업계획양식V1.0_02년사업계획양식V1.0_고동욱_011205_02년사업계획양식V2.0_02년사업계획양식V2.0_02년사업계획양식V3.0_02년사업계획양식V3.0(원본)" xfId="6454"/>
    <cellStyle name="7_02년사업계획양식V1.0_02년사업계획양식V1.0_고동욱_011205_02년사업계획양식V2.0_02년사업계획양식V2.0_02년사업계획양식V3.0_02년사업계획양식V3.0(원본) 2" xfId="6455"/>
    <cellStyle name="7_02년사업계획양식V1.0_02년사업계획양식V1.0_고동욱_011205_02년사업계획양식V2.0_02년사업계획양식V2.0_02년사업계획양식V3.0_02년사업계획양식V3.0(원본)_1" xfId="6456"/>
    <cellStyle name="7_02년사업계획양식V1.0_02년사업계획양식V1.0_고동욱_011205_02년사업계획양식V2.0_02년사업계획양식V2.0_02년사업계획양식V3.0_02년사업계획양식V3.0(원본)_1 2" xfId="6457"/>
    <cellStyle name="7_02년사업계획양식V1.0_02년사업계획양식V1.0_고동욱_011205_02년사업계획양식V2.0_02년사업계획양식V3.0" xfId="6458"/>
    <cellStyle name="7_02년사업계획양식V1.0_02년사업계획양식V1.0_고동욱_011205_02년사업계획양식V2.0_02년사업계획양식V3.0 2" xfId="6459"/>
    <cellStyle name="7_02년사업계획양식V1.0_02년사업계획양식V1.0_고동욱_011205_02년사업계획양식V2.0_02년사업계획양식V3.0(원본)" xfId="6460"/>
    <cellStyle name="7_02년사업계획양식V1.0_02년사업계획양식V1.0_고동욱_011205_02년사업계획양식V2.0_02년사업계획양식V3.0(원본) 2" xfId="6461"/>
    <cellStyle name="7_02년사업계획양식V1.0_02년사업계획양식V1.0_고동욱_011205_02년사업계획양식V2.0_02년사업계획양식V3.0(원본)_1" xfId="6462"/>
    <cellStyle name="7_02년사업계획양식V1.0_02년사업계획양식V1.0_고동욱_011205_02년사업계획양식V2.0_02년사업계획양식V3.0(원본)_1 2" xfId="6463"/>
    <cellStyle name="7_02년사업계획양식V1.0_02년사업계획양식V1.0_고동욱_011205_02년사업계획양식V2.0_02년사업계획양식V3.0_02년사업계획양식V3.0" xfId="6464"/>
    <cellStyle name="7_02년사업계획양식V1.0_02년사업계획양식V1.0_고동욱_011205_02년사업계획양식V2.0_02년사업계획양식V3.0_02년사업계획양식V3.0 2" xfId="6465"/>
    <cellStyle name="7_02년사업계획양식V1.0_02년사업계획양식V1.0_고동욱_011205_02년사업계획양식V2.0_02년사업계획양식V3.0_02년사업계획양식V3.0_02년사업계획양식V3.0" xfId="6466"/>
    <cellStyle name="7_02년사업계획양식V1.0_02년사업계획양식V1.0_고동욱_011205_02년사업계획양식V2.0_02년사업계획양식V3.0_02년사업계획양식V3.0_02년사업계획양식V3.0 2" xfId="6467"/>
    <cellStyle name="7_02년사업계획양식V1.0_02년사업계획양식V1.0_고동욱_011205_02년사업계획양식V2.0_02년사업계획양식V3.0_02년사업계획양식V3.0_02년사업계획양식V3.0(원본)" xfId="6468"/>
    <cellStyle name="7_02년사업계획양식V1.0_02년사업계획양식V1.0_고동욱_011205_02년사업계획양식V2.0_02년사업계획양식V3.0_02년사업계획양식V3.0_02년사업계획양식V3.0(원본) 2" xfId="6469"/>
    <cellStyle name="7_02년사업계획양식V1.0_02년사업계획양식V1.0_고동욱_011205_02년사업계획양식V2.0_02년사업계획양식V3.0_02년사업계획양식V3.0_02년사업계획양식V3.0(원본)_1" xfId="6470"/>
    <cellStyle name="7_02년사업계획양식V1.0_02년사업계획양식V1.0_고동욱_011205_02년사업계획양식V2.0_02년사업계획양식V3.0_02년사업계획양식V3.0_02년사업계획양식V3.0(원본)_1 2" xfId="6471"/>
    <cellStyle name="7_02년사업계획양식V1.0_02년사업계획양식V1.0_고동욱_011205_02년사업계획양식V3.0" xfId="6472"/>
    <cellStyle name="7_02년사업계획양식V1.0_02년사업계획양식V1.0_고동욱_011205_02년사업계획양식V3.0 2" xfId="6473"/>
    <cellStyle name="7_02년사업계획양식V1.0_02년사업계획양식V1.0_고동욱_011205_02년사업계획양식V3.0_02년사업계획양식V3.0" xfId="6474"/>
    <cellStyle name="7_02년사업계획양식V1.0_02년사업계획양식V1.0_고동욱_011205_02년사업계획양식V3.0_02년사업계획양식V3.0 2" xfId="6475"/>
    <cellStyle name="7_02년사업계획양식V1.0_02년사업계획양식V1.0_고동욱_011205_02년사업계획양식V3.0_02년사업계획양식V3.0(원본)" xfId="6476"/>
    <cellStyle name="7_02년사업계획양식V1.0_02년사업계획양식V1.0_고동욱_011205_02년사업계획양식V3.0_02년사업계획양식V3.0(원본) 2" xfId="6477"/>
    <cellStyle name="7_02년사업계획양식V1.0_02년사업계획양식V1.0_고동욱_011205_02년사업계획양식V3.0_02년사업계획양식V3.0(원본)_1" xfId="6478"/>
    <cellStyle name="7_02년사업계획양식V1.0_02년사업계획양식V1.0_고동욱_011205_02년사업계획양식V3.0_02년사업계획양식V3.0(원본)_1 2" xfId="6479"/>
    <cellStyle name="7_02년사업계획양식V1.0_02년사업계획양식V1.0_대호(bs수정)" xfId="6480"/>
    <cellStyle name="7_02년사업계획양식V1.0_02년사업계획양식V1.0_대호(bs수정) 2" xfId="6481"/>
    <cellStyle name="7_02년사업계획양식V1.0_02년사업계획양식V1.0_대호(bs수정)_02년사업계획양식V2.0" xfId="6482"/>
    <cellStyle name="7_02년사업계획양식V1.0_02년사업계획양식V1.0_대호(bs수정)_02년사업계획양식V2.0 2" xfId="6483"/>
    <cellStyle name="7_02년사업계획양식V1.0_02년사업계획양식V1.0_대호(bs수정)_02년사업계획양식V2.0_02년사업계획양식V2.0" xfId="6484"/>
    <cellStyle name="7_02년사업계획양식V1.0_02년사업계획양식V1.0_대호(bs수정)_02년사업계획양식V2.0_02년사업계획양식V2.0 2" xfId="6485"/>
    <cellStyle name="7_02년사업계획양식V1.0_02년사업계획양식V1.0_대호(bs수정)_02년사업계획양식V2.0_02년사업계획양식V2.0_02년사업계획양식V3.0" xfId="6486"/>
    <cellStyle name="7_02년사업계획양식V1.0_02년사업계획양식V1.0_대호(bs수정)_02년사업계획양식V2.0_02년사업계획양식V2.0_02년사업계획양식V3.0 2" xfId="6487"/>
    <cellStyle name="7_02년사업계획양식V1.0_02년사업계획양식V1.0_대호(bs수정)_02년사업계획양식V2.0_02년사업계획양식V2.0_02년사업계획양식V3.0_02년사업계획양식V3.0" xfId="6488"/>
    <cellStyle name="7_02년사업계획양식V1.0_02년사업계획양식V1.0_대호(bs수정)_02년사업계획양식V2.0_02년사업계획양식V2.0_02년사업계획양식V3.0_02년사업계획양식V3.0 2" xfId="6489"/>
    <cellStyle name="7_02년사업계획양식V1.0_02년사업계획양식V1.0_대호(bs수정)_02년사업계획양식V2.0_02년사업계획양식V2.0_02년사업계획양식V3.0_02년사업계획양식V3.0(원본)" xfId="6490"/>
    <cellStyle name="7_02년사업계획양식V1.0_02년사업계획양식V1.0_대호(bs수정)_02년사업계획양식V2.0_02년사업계획양식V2.0_02년사업계획양식V3.0_02년사업계획양식V3.0(원본) 2" xfId="6491"/>
    <cellStyle name="7_02년사업계획양식V1.0_02년사업계획양식V1.0_대호(bs수정)_02년사업계획양식V2.0_02년사업계획양식V2.0_02년사업계획양식V3.0_02년사업계획양식V3.0(원본)_1" xfId="6492"/>
    <cellStyle name="7_02년사업계획양식V1.0_02년사업계획양식V1.0_대호(bs수정)_02년사업계획양식V2.0_02년사업계획양식V2.0_02년사업계획양식V3.0_02년사업계획양식V3.0(원본)_1 2" xfId="6493"/>
    <cellStyle name="7_02년사업계획양식V1.0_02년사업계획양식V1.0_대호(bs수정)_02년사업계획양식V2.0_02년사업계획양식V3.0" xfId="6494"/>
    <cellStyle name="7_02년사업계획양식V1.0_02년사업계획양식V1.0_대호(bs수정)_02년사업계획양식V2.0_02년사업계획양식V3.0 2" xfId="6495"/>
    <cellStyle name="7_02년사업계획양식V1.0_02년사업계획양식V1.0_대호(bs수정)_02년사업계획양식V2.0_02년사업계획양식V3.0(원본)" xfId="6496"/>
    <cellStyle name="7_02년사업계획양식V1.0_02년사업계획양식V1.0_대호(bs수정)_02년사업계획양식V2.0_02년사업계획양식V3.0(원본) 2" xfId="6497"/>
    <cellStyle name="7_02년사업계획양식V1.0_02년사업계획양식V1.0_대호(bs수정)_02년사업계획양식V2.0_02년사업계획양식V3.0(원본)_1" xfId="6498"/>
    <cellStyle name="7_02년사업계획양식V1.0_02년사업계획양식V1.0_대호(bs수정)_02년사업계획양식V2.0_02년사업계획양식V3.0(원본)_1 2" xfId="6499"/>
    <cellStyle name="7_02년사업계획양식V1.0_02년사업계획양식V1.0_대호(bs수정)_02년사업계획양식V2.0_02년사업계획양식V3.0_02년사업계획양식V3.0" xfId="6500"/>
    <cellStyle name="7_02년사업계획양식V1.0_02년사업계획양식V1.0_대호(bs수정)_02년사업계획양식V2.0_02년사업계획양식V3.0_02년사업계획양식V3.0 2" xfId="6501"/>
    <cellStyle name="7_02년사업계획양식V1.0_02년사업계획양식V1.0_대호(bs수정)_02년사업계획양식V2.0_02년사업계획양식V3.0_02년사업계획양식V3.0_02년사업계획양식V3.0" xfId="6502"/>
    <cellStyle name="7_02년사업계획양식V1.0_02년사업계획양식V1.0_대호(bs수정)_02년사업계획양식V2.0_02년사업계획양식V3.0_02년사업계획양식V3.0_02년사업계획양식V3.0 2" xfId="6503"/>
    <cellStyle name="7_02년사업계획양식V1.0_02년사업계획양식V1.0_대호(bs수정)_02년사업계획양식V2.0_02년사업계획양식V3.0_02년사업계획양식V3.0_02년사업계획양식V3.0(원본)" xfId="6504"/>
    <cellStyle name="7_02년사업계획양식V1.0_02년사업계획양식V1.0_대호(bs수정)_02년사업계획양식V2.0_02년사업계획양식V3.0_02년사업계획양식V3.0_02년사업계획양식V3.0(원본) 2" xfId="6505"/>
    <cellStyle name="7_02년사업계획양식V1.0_02년사업계획양식V1.0_대호(bs수정)_02년사업계획양식V2.0_02년사업계획양식V3.0_02년사업계획양식V3.0_02년사업계획양식V3.0(원본)_1" xfId="6506"/>
    <cellStyle name="7_02년사업계획양식V1.0_02년사업계획양식V1.0_대호(bs수정)_02년사업계획양식V2.0_02년사업계획양식V3.0_02년사업계획양식V3.0_02년사업계획양식V3.0(원본)_1 2" xfId="6507"/>
    <cellStyle name="7_02년사업계획양식V1.0_02년사업계획양식V1.0_대호(bs수정)_02년사업계획양식V3.0" xfId="6508"/>
    <cellStyle name="7_02년사업계획양식V1.0_02년사업계획양식V1.0_대호(bs수정)_02년사업계획양식V3.0 2" xfId="6509"/>
    <cellStyle name="7_02년사업계획양식V1.0_02년사업계획양식V1.0_대호(bs수정)_02년사업계획양식V3.0_02년사업계획양식V3.0" xfId="6510"/>
    <cellStyle name="7_02년사업계획양식V1.0_02년사업계획양식V1.0_대호(bs수정)_02년사업계획양식V3.0_02년사업계획양식V3.0 2" xfId="6511"/>
    <cellStyle name="7_02년사업계획양식V1.0_02년사업계획양식V1.0_대호(bs수정)_02년사업계획양식V3.0_02년사업계획양식V3.0(원본)" xfId="6512"/>
    <cellStyle name="7_02년사업계획양식V1.0_02년사업계획양식V1.0_대호(bs수정)_02년사업계획양식V3.0_02년사업계획양식V3.0(원본) 2" xfId="6513"/>
    <cellStyle name="7_02년사업계획양식V1.0_02년사업계획양식V1.0_대호(bs수정)_02년사업계획양식V3.0_02년사업계획양식V3.0(원본)_1" xfId="6514"/>
    <cellStyle name="7_02년사업계획양식V1.0_02년사업계획양식V1.0_대호(bs수정)_02년사업계획양식V3.0_02년사업계획양식V3.0(원본)_1 2" xfId="6515"/>
    <cellStyle name="7_02년사업계획양식V1.0_02년사업계획양식V2.0" xfId="6516"/>
    <cellStyle name="7_02년사업계획양식V1.0_02년사업계획양식V2.0 2" xfId="6517"/>
    <cellStyle name="7_02년사업계획양식V1.0_02년사업계획양식V2.0_02년사업계획양식V3.0" xfId="6518"/>
    <cellStyle name="7_02년사업계획양식V1.0_02년사업계획양식V2.0_02년사업계획양식V3.0 2" xfId="6519"/>
    <cellStyle name="7_02년사업계획양식V1.0_02년사업계획양식V2.0_02년사업계획양식V3.0_02년사업계획양식V3.0" xfId="6520"/>
    <cellStyle name="7_02년사업계획양식V1.0_02년사업계획양식V2.0_02년사업계획양식V3.0_02년사업계획양식V3.0 2" xfId="6521"/>
    <cellStyle name="7_02년사업계획양식V1.0_02년사업계획양식V2.0_02년사업계획양식V3.0_02년사업계획양식V3.0(원본)" xfId="6522"/>
    <cellStyle name="7_02년사업계획양식V1.0_02년사업계획양식V2.0_02년사업계획양식V3.0_02년사업계획양식V3.0(원본) 2" xfId="6523"/>
    <cellStyle name="7_02년사업계획양식V1.0_02년사업계획양식V2.0_02년사업계획양식V3.0_02년사업계획양식V3.0(원본)_1" xfId="6524"/>
    <cellStyle name="7_02년사업계획양식V1.0_02년사업계획양식V2.0_02년사업계획양식V3.0_02년사업계획양식V3.0(원본)_1 2" xfId="6525"/>
    <cellStyle name="7_02년사업계획양식V1.0_02년사업계획양식V3.0" xfId="6526"/>
    <cellStyle name="7_02년사업계획양식V1.0_02년사업계획양식V3.0 2" xfId="6527"/>
    <cellStyle name="7_02년사업계획양식V1.0_02년사업계획양식V3.0(원본)" xfId="6528"/>
    <cellStyle name="7_02년사업계획양식V1.0_02년사업계획양식V3.0(원본) 2" xfId="6529"/>
    <cellStyle name="7_02년사업계획양식V1.0_02년사업계획양식V3.0(원본)_1" xfId="6530"/>
    <cellStyle name="7_02년사업계획양식V1.0_02년사업계획양식V3.0(원본)_1 2" xfId="6531"/>
    <cellStyle name="7_02년사업계획양식V1.0_02년사업계획양식V3.0_02년사업계획양식V3.0" xfId="6532"/>
    <cellStyle name="7_02년사업계획양식V1.0_02년사업계획양식V3.0_02년사업계획양식V3.0 2" xfId="6533"/>
    <cellStyle name="7_02년사업계획양식V1.0_02년사업계획양식V3.0_02년사업계획양식V3.0_02년사업계획양식V3.0" xfId="6534"/>
    <cellStyle name="7_02년사업계획양식V1.0_02년사업계획양식V3.0_02년사업계획양식V3.0_02년사업계획양식V3.0 2" xfId="6535"/>
    <cellStyle name="7_02년사업계획양식V1.0_02년사업계획양식V3.0_02년사업계획양식V3.0_02년사업계획양식V3.0(원본)" xfId="6536"/>
    <cellStyle name="7_02년사업계획양식V1.0_02년사업계획양식V3.0_02년사업계획양식V3.0_02년사업계획양식V3.0(원본) 2" xfId="6537"/>
    <cellStyle name="7_02년사업계획양식V1.0_02년사업계획양식V3.0_02년사업계획양식V3.0_02년사업계획양식V3.0(원본)_1" xfId="6538"/>
    <cellStyle name="7_02년사업계획양식V1.0_02년사업계획양식V3.0_02년사업계획양식V3.0_02년사업계획양식V3.0(원본)_1 2" xfId="6539"/>
    <cellStyle name="7_02년사업계획양식V1.0_고동욱_011130" xfId="6540"/>
    <cellStyle name="7_02년사업계획양식V1.0_고동욱_011130 2" xfId="6541"/>
    <cellStyle name="7_02년사업계획양식V1.0_고동욱_011130_02년사업계획양식V2.0" xfId="6542"/>
    <cellStyle name="7_02년사업계획양식V1.0_고동욱_011130_02년사업계획양식V2.0 2" xfId="6543"/>
    <cellStyle name="7_02년사업계획양식V1.0_고동욱_011130_02년사업계획양식V2.0_02년사업계획양식V2.0" xfId="6544"/>
    <cellStyle name="7_02년사업계획양식V1.0_고동욱_011130_02년사업계획양식V2.0_02년사업계획양식V2.0 2" xfId="6545"/>
    <cellStyle name="7_02년사업계획양식V1.0_고동욱_011130_02년사업계획양식V2.0_02년사업계획양식V2.0_02년사업계획양식V3.0" xfId="6546"/>
    <cellStyle name="7_02년사업계획양식V1.0_고동욱_011130_02년사업계획양식V2.0_02년사업계획양식V2.0_02년사업계획양식V3.0 2" xfId="6547"/>
    <cellStyle name="7_02년사업계획양식V1.0_고동욱_011130_02년사업계획양식V2.0_02년사업계획양식V2.0_02년사업계획양식V3.0_02년사업계획양식V3.0" xfId="6548"/>
    <cellStyle name="7_02년사업계획양식V1.0_고동욱_011130_02년사업계획양식V2.0_02년사업계획양식V2.0_02년사업계획양식V3.0_02년사업계획양식V3.0 2" xfId="6549"/>
    <cellStyle name="7_02년사업계획양식V1.0_고동욱_011130_02년사업계획양식V2.0_02년사업계획양식V2.0_02년사업계획양식V3.0_02년사업계획양식V3.0(원본)" xfId="6550"/>
    <cellStyle name="7_02년사업계획양식V1.0_고동욱_011130_02년사업계획양식V2.0_02년사업계획양식V2.0_02년사업계획양식V3.0_02년사업계획양식V3.0(원본) 2" xfId="6551"/>
    <cellStyle name="7_02년사업계획양식V1.0_고동욱_011130_02년사업계획양식V2.0_02년사업계획양식V2.0_02년사업계획양식V3.0_02년사업계획양식V3.0(원본)_1" xfId="6552"/>
    <cellStyle name="7_02년사업계획양식V1.0_고동욱_011130_02년사업계획양식V2.0_02년사업계획양식V2.0_02년사업계획양식V3.0_02년사업계획양식V3.0(원본)_1 2" xfId="6553"/>
    <cellStyle name="7_02년사업계획양식V1.0_고동욱_011130_02년사업계획양식V2.0_02년사업계획양식V3.0" xfId="6554"/>
    <cellStyle name="7_02년사업계획양식V1.0_고동욱_011130_02년사업계획양식V2.0_02년사업계획양식V3.0 2" xfId="6555"/>
    <cellStyle name="7_02년사업계획양식V1.0_고동욱_011130_02년사업계획양식V2.0_02년사업계획양식V3.0(원본)" xfId="6556"/>
    <cellStyle name="7_02년사업계획양식V1.0_고동욱_011130_02년사업계획양식V2.0_02년사업계획양식V3.0(원본) 2" xfId="6557"/>
    <cellStyle name="7_02년사업계획양식V1.0_고동욱_011130_02년사업계획양식V2.0_02년사업계획양식V3.0(원본)_1" xfId="6558"/>
    <cellStyle name="7_02년사업계획양식V1.0_고동욱_011130_02년사업계획양식V2.0_02년사업계획양식V3.0(원본)_1 2" xfId="6559"/>
    <cellStyle name="7_02년사업계획양식V1.0_고동욱_011130_02년사업계획양식V2.0_02년사업계획양식V3.0_02년사업계획양식V3.0" xfId="6560"/>
    <cellStyle name="7_02년사업계획양식V1.0_고동욱_011130_02년사업계획양식V2.0_02년사업계획양식V3.0_02년사업계획양식V3.0 2" xfId="6561"/>
    <cellStyle name="7_02년사업계획양식V1.0_고동욱_011130_02년사업계획양식V2.0_02년사업계획양식V3.0_02년사업계획양식V3.0_02년사업계획양식V3.0" xfId="6562"/>
    <cellStyle name="7_02년사업계획양식V1.0_고동욱_011130_02년사업계획양식V2.0_02년사업계획양식V3.0_02년사업계획양식V3.0_02년사업계획양식V3.0 2" xfId="6563"/>
    <cellStyle name="7_02년사업계획양식V1.0_고동욱_011130_02년사업계획양식V2.0_02년사업계획양식V3.0_02년사업계획양식V3.0_02년사업계획양식V3.0(원본)" xfId="6564"/>
    <cellStyle name="7_02년사업계획양식V1.0_고동욱_011130_02년사업계획양식V2.0_02년사업계획양식V3.0_02년사업계획양식V3.0_02년사업계획양식V3.0(원본) 2" xfId="6565"/>
    <cellStyle name="7_02년사업계획양식V1.0_고동욱_011130_02년사업계획양식V2.0_02년사업계획양식V3.0_02년사업계획양식V3.0_02년사업계획양식V3.0(원본)_1" xfId="6566"/>
    <cellStyle name="7_02년사업계획양식V1.0_고동욱_011130_02년사업계획양식V2.0_02년사업계획양식V3.0_02년사업계획양식V3.0_02년사업계획양식V3.0(원본)_1 2" xfId="6567"/>
    <cellStyle name="7_02년사업계획양식V1.0_고동욱_011130_02년사업계획양식V3.0" xfId="6568"/>
    <cellStyle name="7_02년사업계획양식V1.0_고동욱_011130_02년사업계획양식V3.0 2" xfId="6569"/>
    <cellStyle name="7_02년사업계획양식V1.0_고동욱_011130_02년사업계획양식V3.0_02년사업계획양식V3.0" xfId="6570"/>
    <cellStyle name="7_02년사업계획양식V1.0_고동욱_011130_02년사업계획양식V3.0_02년사업계획양식V3.0 2" xfId="6571"/>
    <cellStyle name="7_02년사업계획양식V1.0_고동욱_011130_02년사업계획양식V3.0_02년사업계획양식V3.0(원본)" xfId="6572"/>
    <cellStyle name="7_02년사업계획양식V1.0_고동욱_011130_02년사업계획양식V3.0_02년사업계획양식V3.0(원본) 2" xfId="6573"/>
    <cellStyle name="7_02년사업계획양식V1.0_고동욱_011130_02년사업계획양식V3.0_02년사업계획양식V3.0(원본)_1" xfId="6574"/>
    <cellStyle name="7_02년사업계획양식V1.0_고동욱_011130_02년사업계획양식V3.0_02년사업계획양식V3.0(원본)_1 2" xfId="6575"/>
    <cellStyle name="7_02년사업계획양식V1.0_고동욱_011205" xfId="6576"/>
    <cellStyle name="7_02년사업계획양식V1.0_고동욱_011205 2" xfId="6577"/>
    <cellStyle name="7_02년사업계획양식V1.0_고동욱_011205_02년사업계획양식V2.0" xfId="6578"/>
    <cellStyle name="7_02년사업계획양식V1.0_고동욱_011205_02년사업계획양식V2.0 2" xfId="6579"/>
    <cellStyle name="7_02년사업계획양식V1.0_고동욱_011205_02년사업계획양식V2.0_02년사업계획양식V2.0" xfId="6580"/>
    <cellStyle name="7_02년사업계획양식V1.0_고동욱_011205_02년사업계획양식V2.0_02년사업계획양식V2.0 2" xfId="6581"/>
    <cellStyle name="7_02년사업계획양식V1.0_고동욱_011205_02년사업계획양식V2.0_02년사업계획양식V2.0_02년사업계획양식V3.0" xfId="6582"/>
    <cellStyle name="7_02년사업계획양식V1.0_고동욱_011205_02년사업계획양식V2.0_02년사업계획양식V2.0_02년사업계획양식V3.0 2" xfId="6583"/>
    <cellStyle name="7_02년사업계획양식V1.0_고동욱_011205_02년사업계획양식V2.0_02년사업계획양식V2.0_02년사업계획양식V3.0_02년사업계획양식V3.0" xfId="6584"/>
    <cellStyle name="7_02년사업계획양식V1.0_고동욱_011205_02년사업계획양식V2.0_02년사업계획양식V2.0_02년사업계획양식V3.0_02년사업계획양식V3.0 2" xfId="6585"/>
    <cellStyle name="7_02년사업계획양식V1.0_고동욱_011205_02년사업계획양식V2.0_02년사업계획양식V2.0_02년사업계획양식V3.0_02년사업계획양식V3.0(원본)" xfId="6586"/>
    <cellStyle name="7_02년사업계획양식V1.0_고동욱_011205_02년사업계획양식V2.0_02년사업계획양식V2.0_02년사업계획양식V3.0_02년사업계획양식V3.0(원본) 2" xfId="6587"/>
    <cellStyle name="7_02년사업계획양식V1.0_고동욱_011205_02년사업계획양식V2.0_02년사업계획양식V2.0_02년사업계획양식V3.0_02년사업계획양식V3.0(원본)_1" xfId="6588"/>
    <cellStyle name="7_02년사업계획양식V1.0_고동욱_011205_02년사업계획양식V2.0_02년사업계획양식V2.0_02년사업계획양식V3.0_02년사업계획양식V3.0(원본)_1 2" xfId="6589"/>
    <cellStyle name="7_02년사업계획양식V1.0_고동욱_011205_02년사업계획양식V2.0_02년사업계획양식V3.0" xfId="6590"/>
    <cellStyle name="7_02년사업계획양식V1.0_고동욱_011205_02년사업계획양식V2.0_02년사업계획양식V3.0 2" xfId="6591"/>
    <cellStyle name="7_02년사업계획양식V1.0_고동욱_011205_02년사업계획양식V2.0_02년사업계획양식V3.0(원본)" xfId="6592"/>
    <cellStyle name="7_02년사업계획양식V1.0_고동욱_011205_02년사업계획양식V2.0_02년사업계획양식V3.0(원본) 2" xfId="6593"/>
    <cellStyle name="7_02년사업계획양식V1.0_고동욱_011205_02년사업계획양식V2.0_02년사업계획양식V3.0(원본)_1" xfId="6594"/>
    <cellStyle name="7_02년사업계획양식V1.0_고동욱_011205_02년사업계획양식V2.0_02년사업계획양식V3.0(원본)_1 2" xfId="6595"/>
    <cellStyle name="7_02년사업계획양식V1.0_고동욱_011205_02년사업계획양식V2.0_02년사업계획양식V3.0_02년사업계획양식V3.0" xfId="6596"/>
    <cellStyle name="7_02년사업계획양식V1.0_고동욱_011205_02년사업계획양식V2.0_02년사업계획양식V3.0_02년사업계획양식V3.0 2" xfId="6597"/>
    <cellStyle name="7_02년사업계획양식V1.0_고동욱_011205_02년사업계획양식V2.0_02년사업계획양식V3.0_02년사업계획양식V3.0_02년사업계획양식V3.0" xfId="6598"/>
    <cellStyle name="7_02년사업계획양식V1.0_고동욱_011205_02년사업계획양식V2.0_02년사업계획양식V3.0_02년사업계획양식V3.0_02년사업계획양식V3.0 2" xfId="6599"/>
    <cellStyle name="7_02년사업계획양식V1.0_고동욱_011205_02년사업계획양식V2.0_02년사업계획양식V3.0_02년사업계획양식V3.0_02년사업계획양식V3.0(원본)" xfId="6600"/>
    <cellStyle name="7_02년사업계획양식V1.0_고동욱_011205_02년사업계획양식V2.0_02년사업계획양식V3.0_02년사업계획양식V3.0_02년사업계획양식V3.0(원본) 2" xfId="6601"/>
    <cellStyle name="7_02년사업계획양식V1.0_고동욱_011205_02년사업계획양식V2.0_02년사업계획양식V3.0_02년사업계획양식V3.0_02년사업계획양식V3.0(원본)_1" xfId="6602"/>
    <cellStyle name="7_02년사업계획양식V1.0_고동욱_011205_02년사업계획양식V2.0_02년사업계획양식V3.0_02년사업계획양식V3.0_02년사업계획양식V3.0(원본)_1 2" xfId="6603"/>
    <cellStyle name="7_02년사업계획양식V1.0_고동욱_011205_02년사업계획양식V3.0" xfId="6604"/>
    <cellStyle name="7_02년사업계획양식V1.0_고동욱_011205_02년사업계획양식V3.0 2" xfId="6605"/>
    <cellStyle name="7_02년사업계획양식V1.0_고동욱_011205_02년사업계획양식V3.0_02년사업계획양식V3.0" xfId="6606"/>
    <cellStyle name="7_02년사업계획양식V1.0_고동욱_011205_02년사업계획양식V3.0_02년사업계획양식V3.0 2" xfId="6607"/>
    <cellStyle name="7_02년사업계획양식V1.0_고동욱_011205_02년사업계획양식V3.0_02년사업계획양식V3.0(원본)" xfId="6608"/>
    <cellStyle name="7_02년사업계획양식V1.0_고동욱_011205_02년사업계획양식V3.0_02년사업계획양식V3.0(원본) 2" xfId="6609"/>
    <cellStyle name="7_02년사업계획양식V1.0_고동욱_011205_02년사업계획양식V3.0_02년사업계획양식V3.0(원본)_1" xfId="6610"/>
    <cellStyle name="7_02년사업계획양식V1.0_고동욱_011205_02년사업계획양식V3.0_02년사업계획양식V3.0(원본)_1 2" xfId="6611"/>
    <cellStyle name="7_02년사업계획양식V1.0_대호(bs수정)" xfId="6612"/>
    <cellStyle name="7_02년사업계획양식V1.0_대호(bs수정) 2" xfId="6613"/>
    <cellStyle name="7_02년사업계획양식V1.0_대호(bs수정)_02년사업계획양식V2.0" xfId="6614"/>
    <cellStyle name="7_02년사업계획양식V1.0_대호(bs수정)_02년사업계획양식V2.0 2" xfId="6615"/>
    <cellStyle name="7_02년사업계획양식V1.0_대호(bs수정)_02년사업계획양식V2.0_02년사업계획양식V2.0" xfId="6616"/>
    <cellStyle name="7_02년사업계획양식V1.0_대호(bs수정)_02년사업계획양식V2.0_02년사업계획양식V2.0 2" xfId="6617"/>
    <cellStyle name="7_02년사업계획양식V1.0_대호(bs수정)_02년사업계획양식V2.0_02년사업계획양식V2.0_02년사업계획양식V3.0" xfId="6618"/>
    <cellStyle name="7_02년사업계획양식V1.0_대호(bs수정)_02년사업계획양식V2.0_02년사업계획양식V2.0_02년사업계획양식V3.0 2" xfId="6619"/>
    <cellStyle name="7_02년사업계획양식V1.0_대호(bs수정)_02년사업계획양식V2.0_02년사업계획양식V2.0_02년사업계획양식V3.0_02년사업계획양식V3.0" xfId="6620"/>
    <cellStyle name="7_02년사업계획양식V1.0_대호(bs수정)_02년사업계획양식V2.0_02년사업계획양식V2.0_02년사업계획양식V3.0_02년사업계획양식V3.0 2" xfId="6621"/>
    <cellStyle name="7_02년사업계획양식V1.0_대호(bs수정)_02년사업계획양식V2.0_02년사업계획양식V2.0_02년사업계획양식V3.0_02년사업계획양식V3.0(원본)" xfId="6622"/>
    <cellStyle name="7_02년사업계획양식V1.0_대호(bs수정)_02년사업계획양식V2.0_02년사업계획양식V2.0_02년사업계획양식V3.0_02년사업계획양식V3.0(원본) 2" xfId="6623"/>
    <cellStyle name="7_02년사업계획양식V1.0_대호(bs수정)_02년사업계획양식V2.0_02년사업계획양식V2.0_02년사업계획양식V3.0_02년사업계획양식V3.0(원본)_1" xfId="6624"/>
    <cellStyle name="7_02년사업계획양식V1.0_대호(bs수정)_02년사업계획양식V2.0_02년사업계획양식V2.0_02년사업계획양식V3.0_02년사업계획양식V3.0(원본)_1 2" xfId="6625"/>
    <cellStyle name="7_02년사업계획양식V1.0_대호(bs수정)_02년사업계획양식V2.0_02년사업계획양식V3.0" xfId="6626"/>
    <cellStyle name="7_02년사업계획양식V1.0_대호(bs수정)_02년사업계획양식V2.0_02년사업계획양식V3.0 2" xfId="6627"/>
    <cellStyle name="7_02년사업계획양식V1.0_대호(bs수정)_02년사업계획양식V2.0_02년사업계획양식V3.0(원본)" xfId="6628"/>
    <cellStyle name="7_02년사업계획양식V1.0_대호(bs수정)_02년사업계획양식V2.0_02년사업계획양식V3.0(원본) 2" xfId="6629"/>
    <cellStyle name="7_02년사업계획양식V1.0_대호(bs수정)_02년사업계획양식V2.0_02년사업계획양식V3.0(원본)_1" xfId="6630"/>
    <cellStyle name="7_02년사업계획양식V1.0_대호(bs수정)_02년사업계획양식V2.0_02년사업계획양식V3.0(원본)_1 2" xfId="6631"/>
    <cellStyle name="7_02년사업계획양식V1.0_대호(bs수정)_02년사업계획양식V2.0_02년사업계획양식V3.0_02년사업계획양식V3.0" xfId="6632"/>
    <cellStyle name="7_02년사업계획양식V1.0_대호(bs수정)_02년사업계획양식V2.0_02년사업계획양식V3.0_02년사업계획양식V3.0 2" xfId="6633"/>
    <cellStyle name="7_02년사업계획양식V1.0_대호(bs수정)_02년사업계획양식V2.0_02년사업계획양식V3.0_02년사업계획양식V3.0_02년사업계획양식V3.0" xfId="6634"/>
    <cellStyle name="7_02년사업계획양식V1.0_대호(bs수정)_02년사업계획양식V2.0_02년사업계획양식V3.0_02년사업계획양식V3.0_02년사업계획양식V3.0 2" xfId="6635"/>
    <cellStyle name="7_02년사업계획양식V1.0_대호(bs수정)_02년사업계획양식V2.0_02년사업계획양식V3.0_02년사업계획양식V3.0_02년사업계획양식V3.0(원본)" xfId="6636"/>
    <cellStyle name="7_02년사업계획양식V1.0_대호(bs수정)_02년사업계획양식V2.0_02년사업계획양식V3.0_02년사업계획양식V3.0_02년사업계획양식V3.0(원본) 2" xfId="6637"/>
    <cellStyle name="7_02년사업계획양식V1.0_대호(bs수정)_02년사업계획양식V2.0_02년사업계획양식V3.0_02년사업계획양식V3.0_02년사업계획양식V3.0(원본)_1" xfId="6638"/>
    <cellStyle name="7_02년사업계획양식V1.0_대호(bs수정)_02년사업계획양식V2.0_02년사업계획양식V3.0_02년사업계획양식V3.0_02년사업계획양식V3.0(원본)_1 2" xfId="6639"/>
    <cellStyle name="7_02년사업계획양식V1.0_대호(bs수정)_02년사업계획양식V3.0" xfId="6640"/>
    <cellStyle name="7_02년사업계획양식V1.0_대호(bs수정)_02년사업계획양식V3.0 2" xfId="6641"/>
    <cellStyle name="7_02년사업계획양식V1.0_대호(bs수정)_02년사업계획양식V3.0_02년사업계획양식V3.0" xfId="6642"/>
    <cellStyle name="7_02년사업계획양식V1.0_대호(bs수정)_02년사업계획양식V3.0_02년사업계획양식V3.0 2" xfId="6643"/>
    <cellStyle name="7_02년사업계획양식V1.0_대호(bs수정)_02년사업계획양식V3.0_02년사업계획양식V3.0(원본)" xfId="6644"/>
    <cellStyle name="7_02년사업계획양식V1.0_대호(bs수정)_02년사업계획양식V3.0_02년사업계획양식V3.0(원본) 2" xfId="6645"/>
    <cellStyle name="7_02년사업계획양식V1.0_대호(bs수정)_02년사업계획양식V3.0_02년사업계획양식V3.0(원본)_1" xfId="6646"/>
    <cellStyle name="7_02년사업계획양식V1.0_대호(bs수정)_02년사업계획양식V3.0_02년사업계획양식V3.0(원본)_1 2" xfId="6647"/>
    <cellStyle name="7_02년사업계획양식V2.0" xfId="6648"/>
    <cellStyle name="7_02년사업계획양식V2.0 2" xfId="6649"/>
    <cellStyle name="7_02년사업계획양식V2.0_02년사업계획양식V3.0" xfId="6650"/>
    <cellStyle name="7_02년사업계획양식V2.0_02년사업계획양식V3.0 2" xfId="6651"/>
    <cellStyle name="7_02년사업계획양식V2.0_02년사업계획양식V3.0_02년사업계획양식V3.0" xfId="6652"/>
    <cellStyle name="7_02년사업계획양식V2.0_02년사업계획양식V3.0_02년사업계획양식V3.0 2" xfId="6653"/>
    <cellStyle name="7_02년사업계획양식V2.0_02년사업계획양식V3.0_02년사업계획양식V3.0(원본)" xfId="6654"/>
    <cellStyle name="7_02년사업계획양식V2.0_02년사업계획양식V3.0_02년사업계획양식V3.0(원본) 2" xfId="6655"/>
    <cellStyle name="7_02년사업계획양식V2.0_02년사업계획양식V3.0_02년사업계획양식V3.0(원본)_1" xfId="6656"/>
    <cellStyle name="7_02년사업계획양식V2.0_02년사업계획양식V3.0_02년사업계획양식V3.0(원본)_1 2" xfId="6657"/>
    <cellStyle name="7_02년사업계획양식V3.0" xfId="6658"/>
    <cellStyle name="7_02년사업계획양식V3.0 2" xfId="6659"/>
    <cellStyle name="7_02년사업계획양식V3.0(원본)" xfId="6660"/>
    <cellStyle name="7_02년사업계획양식V3.0(원본) 2" xfId="6661"/>
    <cellStyle name="7_02년사업계획양식V3.0(원본)_1" xfId="6662"/>
    <cellStyle name="7_02년사업계획양식V3.0(원본)_1 2" xfId="6663"/>
    <cellStyle name="7_02년사업계획양식V3.0_02년사업계획양식V3.0" xfId="6664"/>
    <cellStyle name="7_02년사업계획양식V3.0_02년사업계획양식V3.0 2" xfId="6665"/>
    <cellStyle name="7_02년사업계획양식V3.0_02년사업계획양식V3.0_02년사업계획양식V3.0" xfId="6666"/>
    <cellStyle name="7_02년사업계획양식V3.0_02년사업계획양식V3.0_02년사업계획양식V3.0 2" xfId="6667"/>
    <cellStyle name="7_02년사업계획양식V3.0_02년사업계획양식V3.0_02년사업계획양식V3.0(원본)" xfId="6668"/>
    <cellStyle name="7_02년사업계획양식V3.0_02년사업계획양식V3.0_02년사업계획양식V3.0(원본) 2" xfId="6669"/>
    <cellStyle name="7_02년사업계획양식V3.0_02년사업계획양식V3.0_02년사업계획양식V3.0(원본)_1" xfId="6670"/>
    <cellStyle name="7_02년사업계획양식V3.0_02년사업계획양식V3.0_02년사업계획양식V3.0(원본)_1 2" xfId="6671"/>
    <cellStyle name="7_03_사업계획양식(MASS_Link)_1104" xfId="6672"/>
    <cellStyle name="7_03_사업계획양식(MASS_Link)_1104 2" xfId="6673"/>
    <cellStyle name="7_03기본_종합장표" xfId="6674"/>
    <cellStyle name="7_03기본_종합장표 2" xfId="6675"/>
    <cellStyle name="7_03법인비용_회수양식_AC" xfId="6676"/>
    <cellStyle name="7_03법인비용_회수양식_AC 2" xfId="6677"/>
    <cellStyle name="7_03혁신_종합장표" xfId="6678"/>
    <cellStyle name="7_03혁신_종합장표 2" xfId="6679"/>
    <cellStyle name="7_2001년 01월차 이동계획_0102" xfId="6680"/>
    <cellStyle name="7_2001년 01월차 이동계획_0102 2" xfId="6681"/>
    <cellStyle name="7_2001년 01월차 이동계획_0102_2001년 05월 이동계획_" xfId="6682"/>
    <cellStyle name="7_2001년 01월차 이동계획_0102_2001년 05월 이동계획_ 2" xfId="6683"/>
    <cellStyle name="7_2001년 01월차 이동계획_0102_2001년 06월 이동계획_(Maximum)" xfId="6684"/>
    <cellStyle name="7_2001년 01월차 이동계획_0102_2001년 06월 이동계획_(Maximum) 2" xfId="6685"/>
    <cellStyle name="7_2001년 01월차 이동계획_0102_2001년 07월차 이동계획보고_" xfId="6686"/>
    <cellStyle name="7_2001년 01월차 이동계획_0102_2001년 07월차 이동계획보고_ 2" xfId="6687"/>
    <cellStyle name="7_2001년 01월차 이동계획_0102_2002년_02월차_이동계획보고_" xfId="6688"/>
    <cellStyle name="7_2001년 01월차 이동계획_0102_2002년_02월차_이동계획보고_ 2" xfId="6689"/>
    <cellStyle name="7_2001년 01월차 이동계획_0102_2002년_03월차_이동계획보고_" xfId="6690"/>
    <cellStyle name="7_2001년 01월차 이동계획_0102_2002년_03월차_이동계획보고_ 2" xfId="6691"/>
    <cellStyle name="7_2001년 01월차 이동계획_0102_2002년_03월차_이동계획보고_1차수정" xfId="6692"/>
    <cellStyle name="7_2001년 01월차 이동계획_0102_2002년_03월차_이동계획보고_1차수정 2" xfId="6693"/>
    <cellStyle name="7_2001년 01월차 이동계획_0102_2002년_05월차_이동계획보고_" xfId="6694"/>
    <cellStyle name="7_2001년 01월차 이동계획_0102_2002년_05월차_이동계획보고_ 2" xfId="6695"/>
    <cellStyle name="7_2001년 01월차 이동계획_0102_2002년_06월차_이동계획보고_기종별수정" xfId="6696"/>
    <cellStyle name="7_2001년 01월차 이동계획_0102_2002년_06월차_이동계획보고_기종별수정 2" xfId="6697"/>
    <cellStyle name="7_2001년 01월차 이동계획_0102_2002년_07월차_이동계획보고_수정중_철판 반영후_최종" xfId="6700"/>
    <cellStyle name="7_2001년 01월차 이동계획_0102_2002년_07월차_이동계획보고_수정중_철판 반영후_최종 2" xfId="6701"/>
    <cellStyle name="7_2001년 01월차 이동계획_0102_2002년_07월차_이동계획보고_수정중0628_2" xfId="6698"/>
    <cellStyle name="7_2001년 01월차 이동계획_0102_2002년_07월차_이동계획보고_수정중0628_2 2" xfId="6699"/>
    <cellStyle name="7_2001년 01월차 이동계획_0102_VVR0J9DV" xfId="6702"/>
    <cellStyle name="7_2001년 01월차 이동계획_0102_VVR0J9DV 2" xfId="6703"/>
    <cellStyle name="7_2001년 02월 실적예상_02월21일기준" xfId="6704"/>
    <cellStyle name="7_2001년 02월 실적예상_02월21일기준 2" xfId="6705"/>
    <cellStyle name="7_2001년 02월 실적예상_02월21일기준_2001년 05월 이동계획_" xfId="6706"/>
    <cellStyle name="7_2001년 02월 실적예상_02월21일기준_2001년 05월 이동계획_ 2" xfId="6707"/>
    <cellStyle name="7_2001년 02월 실적예상_02월21일기준_2001년 06월 이동계획_(Maximum)" xfId="6708"/>
    <cellStyle name="7_2001년 02월 실적예상_02월21일기준_2001년 06월 이동계획_(Maximum) 2" xfId="6709"/>
    <cellStyle name="7_2001년 02월 실적예상_02월21일기준_2001년 07월차 이동계획보고_" xfId="6710"/>
    <cellStyle name="7_2001년 02월 실적예상_02월21일기준_2001년 07월차 이동계획보고_ 2" xfId="6711"/>
    <cellStyle name="7_2001년 02월 실적예상_02월21일기준_2002년_02월차_이동계획보고_" xfId="6712"/>
    <cellStyle name="7_2001년 02월 실적예상_02월21일기준_2002년_02월차_이동계획보고_ 2" xfId="6713"/>
    <cellStyle name="7_2001년 02월 실적예상_02월21일기준_2002년_03월차_이동계획보고_" xfId="6714"/>
    <cellStyle name="7_2001년 02월 실적예상_02월21일기준_2002년_03월차_이동계획보고_ 2" xfId="6715"/>
    <cellStyle name="7_2001년 02월 실적예상_02월21일기준_2002년_03월차_이동계획보고_1차수정" xfId="6716"/>
    <cellStyle name="7_2001년 02월 실적예상_02월21일기준_2002년_03월차_이동계획보고_1차수정 2" xfId="6717"/>
    <cellStyle name="7_2001년 02월 실적예상_02월21일기준_2002년_05월차_이동계획보고_" xfId="6718"/>
    <cellStyle name="7_2001년 02월 실적예상_02월21일기준_2002년_05월차_이동계획보고_ 2" xfId="6719"/>
    <cellStyle name="7_2001년 02월 실적예상_02월21일기준_2002년_06월차_이동계획보고_기종별수정" xfId="6720"/>
    <cellStyle name="7_2001년 02월 실적예상_02월21일기준_2002년_06월차_이동계획보고_기종별수정 2" xfId="6721"/>
    <cellStyle name="7_2001년 02월 실적예상_02월21일기준_2002년_07월차_이동계획보고_수정중_철판 반영후_최종" xfId="6724"/>
    <cellStyle name="7_2001년 02월 실적예상_02월21일기준_2002년_07월차_이동계획보고_수정중_철판 반영후_최종 2" xfId="6725"/>
    <cellStyle name="7_2001년 02월 실적예상_02월21일기준_2002년_07월차_이동계획보고_수정중0628_2" xfId="6722"/>
    <cellStyle name="7_2001년 02월 실적예상_02월21일기준_2002년_07월차_이동계획보고_수정중0628_2 2" xfId="6723"/>
    <cellStyle name="7_2001년 02월 실적예상_02월21일기준_VVR0J9DV" xfId="6726"/>
    <cellStyle name="7_2001년 02월 실적예상_02월21일기준_VVR0J9DV 2" xfId="6727"/>
    <cellStyle name="7_2001년 02월차 이동계획_" xfId="6728"/>
    <cellStyle name="7_2001년 02월차 이동계획_ 2" xfId="6729"/>
    <cellStyle name="7_2001년 02월차 이동계획__2001년 05월 이동계획_" xfId="6730"/>
    <cellStyle name="7_2001년 02월차 이동계획__2001년 05월 이동계획_ 2" xfId="6731"/>
    <cellStyle name="7_2001년 02월차 이동계획__2001년 06월 이동계획_(Maximum)" xfId="6732"/>
    <cellStyle name="7_2001년 02월차 이동계획__2001년 06월 이동계획_(Maximum) 2" xfId="6733"/>
    <cellStyle name="7_2001년 02월차 이동계획__2001년 07월차 이동계획보고_" xfId="6734"/>
    <cellStyle name="7_2001년 02월차 이동계획__2001년 07월차 이동계획보고_ 2" xfId="6735"/>
    <cellStyle name="7_2001년 02월차 이동계획__2002년_02월차_이동계획보고_" xfId="6736"/>
    <cellStyle name="7_2001년 02월차 이동계획__2002년_02월차_이동계획보고_ 2" xfId="6737"/>
    <cellStyle name="7_2001년 02월차 이동계획__2002년_03월차_이동계획보고_" xfId="6738"/>
    <cellStyle name="7_2001년 02월차 이동계획__2002년_03월차_이동계획보고_ 2" xfId="6739"/>
    <cellStyle name="7_2001년 02월차 이동계획__2002년_03월차_이동계획보고_1차수정" xfId="6740"/>
    <cellStyle name="7_2001년 02월차 이동계획__2002년_03월차_이동계획보고_1차수정 2" xfId="6741"/>
    <cellStyle name="7_2001년 02월차 이동계획__2002년_05월차_이동계획보고_" xfId="6742"/>
    <cellStyle name="7_2001년 02월차 이동계획__2002년_05월차_이동계획보고_ 2" xfId="6743"/>
    <cellStyle name="7_2001년 02월차 이동계획__2002년_06월차_이동계획보고_기종별수정" xfId="6744"/>
    <cellStyle name="7_2001년 02월차 이동계획__2002년_06월차_이동계획보고_기종별수정 2" xfId="6745"/>
    <cellStyle name="7_2001년 02월차 이동계획__2002년_07월차_이동계획보고_수정중_철판 반영후_최종" xfId="6748"/>
    <cellStyle name="7_2001년 02월차 이동계획__2002년_07월차_이동계획보고_수정중_철판 반영후_최종 2" xfId="6749"/>
    <cellStyle name="7_2001년 02월차 이동계획__2002년_07월차_이동계획보고_수정중0628_2" xfId="6746"/>
    <cellStyle name="7_2001년 02월차 이동계획__2002년_07월차_이동계획보고_수정중0628_2 2" xfId="6747"/>
    <cellStyle name="7_2001년 02월차 이동계획__VVR0J9DV" xfId="6750"/>
    <cellStyle name="7_2001년 02월차 이동계획__VVR0J9DV 2" xfId="6751"/>
    <cellStyle name="7_2002년_월별사업계획전산_DM" xfId="6752"/>
    <cellStyle name="7_2002년_월별사업계획전산_DM 2" xfId="6753"/>
    <cellStyle name="7_2002년_월별사업계획전산_DM_02년사업계획양식V1.0_대호(bs수정)" xfId="6754"/>
    <cellStyle name="7_2002년_월별사업계획전산_DM_02년사업계획양식V1.0_대호(bs수정) 2" xfId="6755"/>
    <cellStyle name="7_2002년_월별사업계획전산_DM_02년사업계획양식V1.0_대호(bs수정)_02년사업계획양식V2.0" xfId="6756"/>
    <cellStyle name="7_2002년_월별사업계획전산_DM_02년사업계획양식V1.0_대호(bs수정)_02년사업계획양식V2.0 2" xfId="6757"/>
    <cellStyle name="7_2002년_월별사업계획전산_DM_02년사업계획양식V1.0_대호(bs수정)_02년사업계획양식V2.0_02년사업계획양식V2.0" xfId="6758"/>
    <cellStyle name="7_2002년_월별사업계획전산_DM_02년사업계획양식V1.0_대호(bs수정)_02년사업계획양식V2.0_02년사업계획양식V2.0 2" xfId="6759"/>
    <cellStyle name="7_2002년_월별사업계획전산_DM_02년사업계획양식V1.0_대호(bs수정)_02년사업계획양식V2.0_02년사업계획양식V2.0_02년사업계획양식V3.0" xfId="6760"/>
    <cellStyle name="7_2002년_월별사업계획전산_DM_02년사업계획양식V1.0_대호(bs수정)_02년사업계획양식V2.0_02년사업계획양식V2.0_02년사업계획양식V3.0 2" xfId="6761"/>
    <cellStyle name="7_2002년_월별사업계획전산_DM_02년사업계획양식V1.0_대호(bs수정)_02년사업계획양식V2.0_02년사업계획양식V2.0_02년사업계획양식V3.0_02년사업계획양식V3.0" xfId="6762"/>
    <cellStyle name="7_2002년_월별사업계획전산_DM_02년사업계획양식V1.0_대호(bs수정)_02년사업계획양식V2.0_02년사업계획양식V2.0_02년사업계획양식V3.0_02년사업계획양식V3.0 2" xfId="6763"/>
    <cellStyle name="7_2002년_월별사업계획전산_DM_02년사업계획양식V1.0_대호(bs수정)_02년사업계획양식V2.0_02년사업계획양식V2.0_02년사업계획양식V3.0_02년사업계획양식V3.0(원본)" xfId="6764"/>
    <cellStyle name="7_2002년_월별사업계획전산_DM_02년사업계획양식V1.0_대호(bs수정)_02년사업계획양식V2.0_02년사업계획양식V2.0_02년사업계획양식V3.0_02년사업계획양식V3.0(원본) 2" xfId="6765"/>
    <cellStyle name="7_2002년_월별사업계획전산_DM_02년사업계획양식V1.0_대호(bs수정)_02년사업계획양식V2.0_02년사업계획양식V2.0_02년사업계획양식V3.0_02년사업계획양식V3.0(원본)_1" xfId="6766"/>
    <cellStyle name="7_2002년_월별사업계획전산_DM_02년사업계획양식V1.0_대호(bs수정)_02년사업계획양식V2.0_02년사업계획양식V2.0_02년사업계획양식V3.0_02년사업계획양식V3.0(원본)_1 2" xfId="6767"/>
    <cellStyle name="7_2002년_월별사업계획전산_DM_02년사업계획양식V1.0_대호(bs수정)_02년사업계획양식V2.0_02년사업계획양식V3.0" xfId="6768"/>
    <cellStyle name="7_2002년_월별사업계획전산_DM_02년사업계획양식V1.0_대호(bs수정)_02년사업계획양식V2.0_02년사업계획양식V3.0 2" xfId="6769"/>
    <cellStyle name="7_2002년_월별사업계획전산_DM_02년사업계획양식V1.0_대호(bs수정)_02년사업계획양식V2.0_02년사업계획양식V3.0(원본)" xfId="6770"/>
    <cellStyle name="7_2002년_월별사업계획전산_DM_02년사업계획양식V1.0_대호(bs수정)_02년사업계획양식V2.0_02년사업계획양식V3.0(원본) 2" xfId="6771"/>
    <cellStyle name="7_2002년_월별사업계획전산_DM_02년사업계획양식V1.0_대호(bs수정)_02년사업계획양식V2.0_02년사업계획양식V3.0(원본)_1" xfId="6772"/>
    <cellStyle name="7_2002년_월별사업계획전산_DM_02년사업계획양식V1.0_대호(bs수정)_02년사업계획양식V2.0_02년사업계획양식V3.0(원본)_1 2" xfId="6773"/>
    <cellStyle name="7_2002년_월별사업계획전산_DM_02년사업계획양식V1.0_대호(bs수정)_02년사업계획양식V2.0_02년사업계획양식V3.0_02년사업계획양식V3.0" xfId="6774"/>
    <cellStyle name="7_2002년_월별사업계획전산_DM_02년사업계획양식V1.0_대호(bs수정)_02년사업계획양식V2.0_02년사업계획양식V3.0_02년사업계획양식V3.0 2" xfId="6775"/>
    <cellStyle name="7_2002년_월별사업계획전산_DM_02년사업계획양식V1.0_대호(bs수정)_02년사업계획양식V2.0_02년사업계획양식V3.0_02년사업계획양식V3.0_02년사업계획양식V3.0" xfId="6776"/>
    <cellStyle name="7_2002년_월별사업계획전산_DM_02년사업계획양식V1.0_대호(bs수정)_02년사업계획양식V2.0_02년사업계획양식V3.0_02년사업계획양식V3.0_02년사업계획양식V3.0 2" xfId="6777"/>
    <cellStyle name="7_2002년_월별사업계획전산_DM_02년사업계획양식V1.0_대호(bs수정)_02년사업계획양식V2.0_02년사업계획양식V3.0_02년사업계획양식V3.0_02년사업계획양식V3.0(원본)" xfId="6778"/>
    <cellStyle name="7_2002년_월별사업계획전산_DM_02년사업계획양식V1.0_대호(bs수정)_02년사업계획양식V2.0_02년사업계획양식V3.0_02년사업계획양식V3.0_02년사업계획양식V3.0(원본) 2" xfId="6779"/>
    <cellStyle name="7_2002년_월별사업계획전산_DM_02년사업계획양식V1.0_대호(bs수정)_02년사업계획양식V2.0_02년사업계획양식V3.0_02년사업계획양식V3.0_02년사업계획양식V3.0(원본)_1" xfId="6780"/>
    <cellStyle name="7_2002년_월별사업계획전산_DM_02년사업계획양식V1.0_대호(bs수정)_02년사업계획양식V2.0_02년사업계획양식V3.0_02년사업계획양식V3.0_02년사업계획양식V3.0(원본)_1 2" xfId="6781"/>
    <cellStyle name="7_2002년_월별사업계획전산_DM_02년사업계획양식V1.0_대호(bs수정)_02년사업계획양식V3.0" xfId="6782"/>
    <cellStyle name="7_2002년_월별사업계획전산_DM_02년사업계획양식V1.0_대호(bs수정)_02년사업계획양식V3.0 2" xfId="6783"/>
    <cellStyle name="7_2002년_월별사업계획전산_DM_02년사업계획양식V1.0_대호(bs수정)_02년사업계획양식V3.0_02년사업계획양식V3.0" xfId="6784"/>
    <cellStyle name="7_2002년_월별사업계획전산_DM_02년사업계획양식V1.0_대호(bs수정)_02년사업계획양식V3.0_02년사업계획양식V3.0 2" xfId="6785"/>
    <cellStyle name="7_2002년_월별사업계획전산_DM_02년사업계획양식V1.0_대호(bs수정)_02년사업계획양식V3.0_02년사업계획양식V3.0(원본)" xfId="6786"/>
    <cellStyle name="7_2002년_월별사업계획전산_DM_02년사업계획양식V1.0_대호(bs수정)_02년사업계획양식V3.0_02년사업계획양식V3.0(원본) 2" xfId="6787"/>
    <cellStyle name="7_2002년_월별사업계획전산_DM_02년사업계획양식V1.0_대호(bs수정)_02년사업계획양식V3.0_02년사업계획양식V3.0(원본)_1" xfId="6788"/>
    <cellStyle name="7_2002년_월별사업계획전산_DM_02년사업계획양식V1.0_대호(bs수정)_02년사업계획양식V3.0_02년사업계획양식V3.0(원본)_1 2" xfId="6789"/>
    <cellStyle name="7_2002년_월별사업계획전산_DM_02년사업계획양식V2.0" xfId="6790"/>
    <cellStyle name="7_2002년_월별사업계획전산_DM_02년사업계획양식V2.0 2" xfId="6791"/>
    <cellStyle name="7_2002년_월별사업계획전산_DM_02년사업계획양식V2.0_02년사업계획양식V3.0" xfId="6792"/>
    <cellStyle name="7_2002년_월별사업계획전산_DM_02년사업계획양식V2.0_02년사업계획양식V3.0 2" xfId="6793"/>
    <cellStyle name="7_2002년_월별사업계획전산_DM_02년사업계획양식V2.0_02년사업계획양식V3.0_02년사업계획양식V3.0" xfId="6794"/>
    <cellStyle name="7_2002년_월별사업계획전산_DM_02년사업계획양식V2.0_02년사업계획양식V3.0_02년사업계획양식V3.0 2" xfId="6795"/>
    <cellStyle name="7_2002년_월별사업계획전산_DM_02년사업계획양식V2.0_02년사업계획양식V3.0_02년사업계획양식V3.0(원본)" xfId="6796"/>
    <cellStyle name="7_2002년_월별사업계획전산_DM_02년사업계획양식V2.0_02년사업계획양식V3.0_02년사업계획양식V3.0(원본) 2" xfId="6797"/>
    <cellStyle name="7_2002년_월별사업계획전산_DM_02년사업계획양식V2.0_02년사업계획양식V3.0_02년사업계획양식V3.0(원본)_1" xfId="6798"/>
    <cellStyle name="7_2002년_월별사업계획전산_DM_02년사업계획양식V2.0_02년사업계획양식V3.0_02년사업계획양식V3.0(원본)_1 2" xfId="6799"/>
    <cellStyle name="7_2002년_월별사업계획전산_DM_02년사업계획양식V3.0" xfId="6800"/>
    <cellStyle name="7_2002년_월별사업계획전산_DM_02년사업계획양식V3.0 2" xfId="6801"/>
    <cellStyle name="7_2002년_월별사업계획전산_DM_02년사업계획양식V3.0(원본)" xfId="6802"/>
    <cellStyle name="7_2002년_월별사업계획전산_DM_02년사업계획양식V3.0(원본) 2" xfId="6803"/>
    <cellStyle name="7_2002년_월별사업계획전산_DM_02년사업계획양식V3.0(원본)_1" xfId="6804"/>
    <cellStyle name="7_2002년_월별사업계획전산_DM_02년사업계획양식V3.0(원본)_1 2" xfId="6805"/>
    <cellStyle name="7_2002년_월별사업계획전산_DM_02년사업계획양식V3.0_02년사업계획양식V3.0" xfId="6806"/>
    <cellStyle name="7_2002년_월별사업계획전산_DM_02년사업계획양식V3.0_02년사업계획양식V3.0 2" xfId="6807"/>
    <cellStyle name="7_2002년_월별사업계획전산_DM_02년사업계획양식V3.0_02년사업계획양식V3.0_02년사업계획양식V3.0" xfId="6808"/>
    <cellStyle name="7_2002년_월별사업계획전산_DM_02년사업계획양식V3.0_02년사업계획양식V3.0_02년사업계획양식V3.0 2" xfId="6809"/>
    <cellStyle name="7_2002년_월별사업계획전산_DM_02년사업계획양식V3.0_02년사업계획양식V3.0_02년사업계획양식V3.0(원본)" xfId="6810"/>
    <cellStyle name="7_2002년_월별사업계획전산_DM_02년사업계획양식V3.0_02년사업계획양식V3.0_02년사업계획양식V3.0(원본) 2" xfId="6811"/>
    <cellStyle name="7_2002년_월별사업계획전산_DM_02년사업계획양식V3.0_02년사업계획양식V3.0_02년사업계획양식V3.0(원본)_1" xfId="6812"/>
    <cellStyle name="7_2002년_월별사업계획전산_DM_02년사업계획양식V3.0_02년사업계획양식V3.0_02년사업계획양식V3.0(원본)_1 2" xfId="6813"/>
    <cellStyle name="7_eva&amp;cash_02~05년 CM" xfId="6814"/>
    <cellStyle name="7_eva&amp;cash_02~05년 CM 2" xfId="6815"/>
    <cellStyle name="7_결산진실성EVA" xfId="6816"/>
    <cellStyle name="7_결산진실성EVA 2" xfId="6817"/>
    <cellStyle name="7_결산진실성EVA_02년사업계획양식V1.0" xfId="6818"/>
    <cellStyle name="7_결산진실성EVA_02년사업계획양식V1.0 2" xfId="6819"/>
    <cellStyle name="7_결산진실성EVA_02년사업계획양식V1.0_02년사업계획양식V1.0_고동욱_011205" xfId="6820"/>
    <cellStyle name="7_결산진실성EVA_02년사업계획양식V1.0_02년사업계획양식V1.0_고동욱_011205 2" xfId="6821"/>
    <cellStyle name="7_결산진실성EVA_02년사업계획양식V1.0_02년사업계획양식V1.0_고동욱_011205_02년사업계획양식V2.0" xfId="6822"/>
    <cellStyle name="7_결산진실성EVA_02년사업계획양식V1.0_02년사업계획양식V1.0_고동욱_011205_02년사업계획양식V2.0 2" xfId="6823"/>
    <cellStyle name="7_결산진실성EVA_02년사업계획양식V1.0_02년사업계획양식V1.0_고동욱_011205_02년사업계획양식V2.0_02년사업계획양식V2.0" xfId="6824"/>
    <cellStyle name="7_결산진실성EVA_02년사업계획양식V1.0_02년사업계획양식V1.0_고동욱_011205_02년사업계획양식V2.0_02년사업계획양식V2.0 2" xfId="6825"/>
    <cellStyle name="7_결산진실성EVA_02년사업계획양식V1.0_02년사업계획양식V1.0_고동욱_011205_02년사업계획양식V2.0_02년사업계획양식V2.0_02년사업계획양식V3.0" xfId="6826"/>
    <cellStyle name="7_결산진실성EVA_02년사업계획양식V1.0_02년사업계획양식V1.0_고동욱_011205_02년사업계획양식V2.0_02년사업계획양식V2.0_02년사업계획양식V3.0 2" xfId="6827"/>
    <cellStyle name="7_결산진실성EVA_02년사업계획양식V1.0_02년사업계획양식V1.0_고동욱_011205_02년사업계획양식V2.0_02년사업계획양식V2.0_02년사업계획양식V3.0_02년사업계획양식V3.0" xfId="6828"/>
    <cellStyle name="7_결산진실성EVA_02년사업계획양식V1.0_02년사업계획양식V1.0_고동욱_011205_02년사업계획양식V2.0_02년사업계획양식V2.0_02년사업계획양식V3.0_02년사업계획양식V3.0 2" xfId="6829"/>
    <cellStyle name="7_결산진실성EVA_02년사업계획양식V1.0_02년사업계획양식V1.0_고동욱_011205_02년사업계획양식V2.0_02년사업계획양식V2.0_02년사업계획양식V3.0_02년사업계획양식V3.0(원본)" xfId="6830"/>
    <cellStyle name="7_결산진실성EVA_02년사업계획양식V1.0_02년사업계획양식V1.0_고동욱_011205_02년사업계획양식V2.0_02년사업계획양식V2.0_02년사업계획양식V3.0_02년사업계획양식V3.0(원본) 2" xfId="6831"/>
    <cellStyle name="7_결산진실성EVA_02년사업계획양식V1.0_02년사업계획양식V1.0_고동욱_011205_02년사업계획양식V2.0_02년사업계획양식V2.0_02년사업계획양식V3.0_02년사업계획양식V3.0(원본)_1" xfId="6832"/>
    <cellStyle name="7_결산진실성EVA_02년사업계획양식V1.0_02년사업계획양식V1.0_고동욱_011205_02년사업계획양식V2.0_02년사업계획양식V2.0_02년사업계획양식V3.0_02년사업계획양식V3.0(원본)_1 2" xfId="6833"/>
    <cellStyle name="7_결산진실성EVA_02년사업계획양식V1.0_02년사업계획양식V1.0_고동욱_011205_02년사업계획양식V2.0_02년사업계획양식V3.0" xfId="6834"/>
    <cellStyle name="7_결산진실성EVA_02년사업계획양식V1.0_02년사업계획양식V1.0_고동욱_011205_02년사업계획양식V2.0_02년사업계획양식V3.0 2" xfId="6835"/>
    <cellStyle name="7_결산진실성EVA_02년사업계획양식V1.0_02년사업계획양식V1.0_고동욱_011205_02년사업계획양식V2.0_02년사업계획양식V3.0(원본)" xfId="6836"/>
    <cellStyle name="7_결산진실성EVA_02년사업계획양식V1.0_02년사업계획양식V1.0_고동욱_011205_02년사업계획양식V2.0_02년사업계획양식V3.0(원본) 2" xfId="6837"/>
    <cellStyle name="7_결산진실성EVA_02년사업계획양식V1.0_02년사업계획양식V1.0_고동욱_011205_02년사업계획양식V2.0_02년사업계획양식V3.0(원본)_1" xfId="6838"/>
    <cellStyle name="7_결산진실성EVA_02년사업계획양식V1.0_02년사업계획양식V1.0_고동욱_011205_02년사업계획양식V2.0_02년사업계획양식V3.0(원본)_1 2" xfId="6839"/>
    <cellStyle name="7_결산진실성EVA_02년사업계획양식V1.0_02년사업계획양식V1.0_고동욱_011205_02년사업계획양식V2.0_02년사업계획양식V3.0_02년사업계획양식V3.0" xfId="6840"/>
    <cellStyle name="7_결산진실성EVA_02년사업계획양식V1.0_02년사업계획양식V1.0_고동욱_011205_02년사업계획양식V2.0_02년사업계획양식V3.0_02년사업계획양식V3.0 2" xfId="6841"/>
    <cellStyle name="7_결산진실성EVA_02년사업계획양식V1.0_02년사업계획양식V1.0_고동욱_011205_02년사업계획양식V2.0_02년사업계획양식V3.0_02년사업계획양식V3.0_02년사업계획양식V3.0" xfId="6842"/>
    <cellStyle name="7_결산진실성EVA_02년사업계획양식V1.0_02년사업계획양식V1.0_고동욱_011205_02년사업계획양식V2.0_02년사업계획양식V3.0_02년사업계획양식V3.0_02년사업계획양식V3.0 2" xfId="6843"/>
    <cellStyle name="7_결산진실성EVA_02년사업계획양식V1.0_02년사업계획양식V1.0_고동욱_011205_02년사업계획양식V2.0_02년사업계획양식V3.0_02년사업계획양식V3.0_02년사업계획양식V3.0(원본)" xfId="6844"/>
    <cellStyle name="7_결산진실성EVA_02년사업계획양식V1.0_02년사업계획양식V1.0_고동욱_011205_02년사업계획양식V2.0_02년사업계획양식V3.0_02년사업계획양식V3.0_02년사업계획양식V3.0(원본) 2" xfId="6845"/>
    <cellStyle name="7_결산진실성EVA_02년사업계획양식V1.0_02년사업계획양식V1.0_고동욱_011205_02년사업계획양식V2.0_02년사업계획양식V3.0_02년사업계획양식V3.0_02년사업계획양식V3.0(원본)_1" xfId="6846"/>
    <cellStyle name="7_결산진실성EVA_02년사업계획양식V1.0_02년사업계획양식V1.0_고동욱_011205_02년사업계획양식V2.0_02년사업계획양식V3.0_02년사업계획양식V3.0_02년사업계획양식V3.0(원본)_1 2" xfId="6847"/>
    <cellStyle name="7_결산진실성EVA_02년사업계획양식V1.0_02년사업계획양식V1.0_고동욱_011205_02년사업계획양식V3.0" xfId="6848"/>
    <cellStyle name="7_결산진실성EVA_02년사업계획양식V1.0_02년사업계획양식V1.0_고동욱_011205_02년사업계획양식V3.0 2" xfId="6849"/>
    <cellStyle name="7_결산진실성EVA_02년사업계획양식V1.0_02년사업계획양식V1.0_고동욱_011205_02년사업계획양식V3.0_02년사업계획양식V3.0" xfId="6850"/>
    <cellStyle name="7_결산진실성EVA_02년사업계획양식V1.0_02년사업계획양식V1.0_고동욱_011205_02년사업계획양식V3.0_02년사업계획양식V3.0 2" xfId="6851"/>
    <cellStyle name="7_결산진실성EVA_02년사업계획양식V1.0_02년사업계획양식V1.0_고동욱_011205_02년사업계획양식V3.0_02년사업계획양식V3.0(원본)" xfId="6852"/>
    <cellStyle name="7_결산진실성EVA_02년사업계획양식V1.0_02년사업계획양식V1.0_고동욱_011205_02년사업계획양식V3.0_02년사업계획양식V3.0(원본) 2" xfId="6853"/>
    <cellStyle name="7_결산진실성EVA_02년사업계획양식V1.0_02년사업계획양식V1.0_고동욱_011205_02년사업계획양식V3.0_02년사업계획양식V3.0(원본)_1" xfId="6854"/>
    <cellStyle name="7_결산진실성EVA_02년사업계획양식V1.0_02년사업계획양식V1.0_고동욱_011205_02년사업계획양식V3.0_02년사업계획양식V3.0(원본)_1 2" xfId="6855"/>
    <cellStyle name="7_결산진실성EVA_02년사업계획양식V1.0_02년사업계획양식V1.0_대호(bs수정)" xfId="6856"/>
    <cellStyle name="7_결산진실성EVA_02년사업계획양식V1.0_02년사업계획양식V1.0_대호(bs수정) 2" xfId="6857"/>
    <cellStyle name="7_결산진실성EVA_02년사업계획양식V1.0_02년사업계획양식V1.0_대호(bs수정)_02년사업계획양식V2.0" xfId="6858"/>
    <cellStyle name="7_결산진실성EVA_02년사업계획양식V1.0_02년사업계획양식V1.0_대호(bs수정)_02년사업계획양식V2.0 2" xfId="6859"/>
    <cellStyle name="7_결산진실성EVA_02년사업계획양식V1.0_02년사업계획양식V1.0_대호(bs수정)_02년사업계획양식V2.0_02년사업계획양식V2.0" xfId="6860"/>
    <cellStyle name="7_결산진실성EVA_02년사업계획양식V1.0_02년사업계획양식V1.0_대호(bs수정)_02년사업계획양식V2.0_02년사업계획양식V2.0 2" xfId="6861"/>
    <cellStyle name="7_결산진실성EVA_02년사업계획양식V1.0_02년사업계획양식V1.0_대호(bs수정)_02년사업계획양식V2.0_02년사업계획양식V2.0_02년사업계획양식V3.0" xfId="6862"/>
    <cellStyle name="7_결산진실성EVA_02년사업계획양식V1.0_02년사업계획양식V1.0_대호(bs수정)_02년사업계획양식V2.0_02년사업계획양식V2.0_02년사업계획양식V3.0 2" xfId="6863"/>
    <cellStyle name="7_결산진실성EVA_02년사업계획양식V1.0_02년사업계획양식V1.0_대호(bs수정)_02년사업계획양식V2.0_02년사업계획양식V2.0_02년사업계획양식V3.0_02년사업계획양식V3.0" xfId="6864"/>
    <cellStyle name="7_결산진실성EVA_02년사업계획양식V1.0_02년사업계획양식V1.0_대호(bs수정)_02년사업계획양식V2.0_02년사업계획양식V2.0_02년사업계획양식V3.0_02년사업계획양식V3.0 2" xfId="6865"/>
    <cellStyle name="7_결산진실성EVA_02년사업계획양식V1.0_02년사업계획양식V1.0_대호(bs수정)_02년사업계획양식V2.0_02년사업계획양식V2.0_02년사업계획양식V3.0_02년사업계획양식V3.0(원본)" xfId="6866"/>
    <cellStyle name="7_결산진실성EVA_02년사업계획양식V1.0_02년사업계획양식V1.0_대호(bs수정)_02년사업계획양식V2.0_02년사업계획양식V2.0_02년사업계획양식V3.0_02년사업계획양식V3.0(원본) 2" xfId="6867"/>
    <cellStyle name="7_결산진실성EVA_02년사업계획양식V1.0_02년사업계획양식V1.0_대호(bs수정)_02년사업계획양식V2.0_02년사업계획양식V2.0_02년사업계획양식V3.0_02년사업계획양식V3.0(원본)_1" xfId="6868"/>
    <cellStyle name="7_결산진실성EVA_02년사업계획양식V1.0_02년사업계획양식V1.0_대호(bs수정)_02년사업계획양식V2.0_02년사업계획양식V2.0_02년사업계획양식V3.0_02년사업계획양식V3.0(원본)_1 2" xfId="6869"/>
    <cellStyle name="7_결산진실성EVA_02년사업계획양식V1.0_02년사업계획양식V1.0_대호(bs수정)_02년사업계획양식V2.0_02년사업계획양식V3.0" xfId="6870"/>
    <cellStyle name="7_결산진실성EVA_02년사업계획양식V1.0_02년사업계획양식V1.0_대호(bs수정)_02년사업계획양식V2.0_02년사업계획양식V3.0 2" xfId="6871"/>
    <cellStyle name="7_결산진실성EVA_02년사업계획양식V1.0_02년사업계획양식V1.0_대호(bs수정)_02년사업계획양식V2.0_02년사업계획양식V3.0(원본)" xfId="6872"/>
    <cellStyle name="7_결산진실성EVA_02년사업계획양식V1.0_02년사업계획양식V1.0_대호(bs수정)_02년사업계획양식V2.0_02년사업계획양식V3.0(원본) 2" xfId="6873"/>
    <cellStyle name="7_결산진실성EVA_02년사업계획양식V1.0_02년사업계획양식V1.0_대호(bs수정)_02년사업계획양식V2.0_02년사업계획양식V3.0(원본)_1" xfId="6874"/>
    <cellStyle name="7_결산진실성EVA_02년사업계획양식V1.0_02년사업계획양식V1.0_대호(bs수정)_02년사업계획양식V2.0_02년사업계획양식V3.0(원본)_1 2" xfId="6875"/>
    <cellStyle name="7_결산진실성EVA_02년사업계획양식V1.0_02년사업계획양식V1.0_대호(bs수정)_02년사업계획양식V2.0_02년사업계획양식V3.0_02년사업계획양식V3.0" xfId="6876"/>
    <cellStyle name="7_결산진실성EVA_02년사업계획양식V1.0_02년사업계획양식V1.0_대호(bs수정)_02년사업계획양식V2.0_02년사업계획양식V3.0_02년사업계획양식V3.0 2" xfId="6877"/>
    <cellStyle name="7_결산진실성EVA_02년사업계획양식V1.0_02년사업계획양식V1.0_대호(bs수정)_02년사업계획양식V2.0_02년사업계획양식V3.0_02년사업계획양식V3.0_02년사업계획양식V3.0" xfId="6878"/>
    <cellStyle name="7_결산진실성EVA_02년사업계획양식V1.0_02년사업계획양식V1.0_대호(bs수정)_02년사업계획양식V2.0_02년사업계획양식V3.0_02년사업계획양식V3.0_02년사업계획양식V3.0 2" xfId="6879"/>
    <cellStyle name="7_결산진실성EVA_02년사업계획양식V1.0_02년사업계획양식V1.0_대호(bs수정)_02년사업계획양식V2.0_02년사업계획양식V3.0_02년사업계획양식V3.0_02년사업계획양식V3.0(원본)" xfId="6880"/>
    <cellStyle name="7_결산진실성EVA_02년사업계획양식V1.0_02년사업계획양식V1.0_대호(bs수정)_02년사업계획양식V2.0_02년사업계획양식V3.0_02년사업계획양식V3.0_02년사업계획양식V3.0(원본) 2" xfId="6881"/>
    <cellStyle name="7_결산진실성EVA_02년사업계획양식V1.0_02년사업계획양식V1.0_대호(bs수정)_02년사업계획양식V2.0_02년사업계획양식V3.0_02년사업계획양식V3.0_02년사업계획양식V3.0(원본)_1" xfId="6882"/>
    <cellStyle name="7_결산진실성EVA_02년사업계획양식V1.0_02년사업계획양식V1.0_대호(bs수정)_02년사업계획양식V2.0_02년사업계획양식V3.0_02년사업계획양식V3.0_02년사업계획양식V3.0(원본)_1 2" xfId="6883"/>
    <cellStyle name="7_결산진실성EVA_02년사업계획양식V1.0_02년사업계획양식V1.0_대호(bs수정)_02년사업계획양식V3.0" xfId="6884"/>
    <cellStyle name="7_결산진실성EVA_02년사업계획양식V1.0_02년사업계획양식V1.0_대호(bs수정)_02년사업계획양식V3.0 2" xfId="6885"/>
    <cellStyle name="7_결산진실성EVA_02년사업계획양식V1.0_02년사업계획양식V1.0_대호(bs수정)_02년사업계획양식V3.0_02년사업계획양식V3.0" xfId="6886"/>
    <cellStyle name="7_결산진실성EVA_02년사업계획양식V1.0_02년사업계획양식V1.0_대호(bs수정)_02년사업계획양식V3.0_02년사업계획양식V3.0 2" xfId="6887"/>
    <cellStyle name="7_결산진실성EVA_02년사업계획양식V1.0_02년사업계획양식V1.0_대호(bs수정)_02년사업계획양식V3.0_02년사업계획양식V3.0(원본)" xfId="6888"/>
    <cellStyle name="7_결산진실성EVA_02년사업계획양식V1.0_02년사업계획양식V1.0_대호(bs수정)_02년사업계획양식V3.0_02년사업계획양식V3.0(원본) 2" xfId="6889"/>
    <cellStyle name="7_결산진실성EVA_02년사업계획양식V1.0_02년사업계획양식V1.0_대호(bs수정)_02년사업계획양식V3.0_02년사업계획양식V3.0(원본)_1" xfId="6890"/>
    <cellStyle name="7_결산진실성EVA_02년사업계획양식V1.0_02년사업계획양식V1.0_대호(bs수정)_02년사업계획양식V3.0_02년사업계획양식V3.0(원본)_1 2" xfId="6891"/>
    <cellStyle name="7_결산진실성EVA_02년사업계획양식V1.0_02년사업계획양식V2.0" xfId="6892"/>
    <cellStyle name="7_결산진실성EVA_02년사업계획양식V1.0_02년사업계획양식V2.0 2" xfId="6893"/>
    <cellStyle name="7_결산진실성EVA_02년사업계획양식V1.0_02년사업계획양식V2.0_02년사업계획양식V3.0" xfId="6894"/>
    <cellStyle name="7_결산진실성EVA_02년사업계획양식V1.0_02년사업계획양식V2.0_02년사업계획양식V3.0 2" xfId="6895"/>
    <cellStyle name="7_결산진실성EVA_02년사업계획양식V1.0_02년사업계획양식V2.0_02년사업계획양식V3.0_02년사업계획양식V3.0" xfId="6896"/>
    <cellStyle name="7_결산진실성EVA_02년사업계획양식V1.0_02년사업계획양식V2.0_02년사업계획양식V3.0_02년사업계획양식V3.0 2" xfId="6897"/>
    <cellStyle name="7_결산진실성EVA_02년사업계획양식V1.0_02년사업계획양식V2.0_02년사업계획양식V3.0_02년사업계획양식V3.0(원본)" xfId="6898"/>
    <cellStyle name="7_결산진실성EVA_02년사업계획양식V1.0_02년사업계획양식V2.0_02년사업계획양식V3.0_02년사업계획양식V3.0(원본) 2" xfId="6899"/>
    <cellStyle name="7_결산진실성EVA_02년사업계획양식V1.0_02년사업계획양식V2.0_02년사업계획양식V3.0_02년사업계획양식V3.0(원본)_1" xfId="6900"/>
    <cellStyle name="7_결산진실성EVA_02년사업계획양식V1.0_02년사업계획양식V2.0_02년사업계획양식V3.0_02년사업계획양식V3.0(원본)_1 2" xfId="6901"/>
    <cellStyle name="7_결산진실성EVA_02년사업계획양식V1.0_02년사업계획양식V3.0" xfId="6902"/>
    <cellStyle name="7_결산진실성EVA_02년사업계획양식V1.0_02년사업계획양식V3.0 2" xfId="6903"/>
    <cellStyle name="7_결산진실성EVA_02년사업계획양식V1.0_02년사업계획양식V3.0(원본)" xfId="6904"/>
    <cellStyle name="7_결산진실성EVA_02년사업계획양식V1.0_02년사업계획양식V3.0(원본) 2" xfId="6905"/>
    <cellStyle name="7_결산진실성EVA_02년사업계획양식V1.0_02년사업계획양식V3.0(원본)_1" xfId="6906"/>
    <cellStyle name="7_결산진실성EVA_02년사업계획양식V1.0_02년사업계획양식V3.0(원본)_1 2" xfId="6907"/>
    <cellStyle name="7_결산진실성EVA_02년사업계획양식V1.0_02년사업계획양식V3.0_02년사업계획양식V3.0" xfId="6908"/>
    <cellStyle name="7_결산진실성EVA_02년사업계획양식V1.0_02년사업계획양식V3.0_02년사업계획양식V3.0 2" xfId="6909"/>
    <cellStyle name="7_결산진실성EVA_02년사업계획양식V1.0_02년사업계획양식V3.0_02년사업계획양식V3.0_02년사업계획양식V3.0" xfId="6910"/>
    <cellStyle name="7_결산진실성EVA_02년사업계획양식V1.0_02년사업계획양식V3.0_02년사업계획양식V3.0_02년사업계획양식V3.0 2" xfId="6911"/>
    <cellStyle name="7_결산진실성EVA_02년사업계획양식V1.0_02년사업계획양식V3.0_02년사업계획양식V3.0_02년사업계획양식V3.0(원본)" xfId="6912"/>
    <cellStyle name="7_결산진실성EVA_02년사업계획양식V1.0_02년사업계획양식V3.0_02년사업계획양식V3.0_02년사업계획양식V3.0(원본) 2" xfId="6913"/>
    <cellStyle name="7_결산진실성EVA_02년사업계획양식V1.0_02년사업계획양식V3.0_02년사업계획양식V3.0_02년사업계획양식V3.0(원본)_1" xfId="6914"/>
    <cellStyle name="7_결산진실성EVA_02년사업계획양식V1.0_02년사업계획양식V3.0_02년사업계획양식V3.0_02년사업계획양식V3.0(원본)_1 2" xfId="6915"/>
    <cellStyle name="7_결산진실성EVA_02년사업계획양식V1.0_고동욱_011130" xfId="6916"/>
    <cellStyle name="7_결산진실성EVA_02년사업계획양식V1.0_고동욱_011130 2" xfId="6917"/>
    <cellStyle name="7_결산진실성EVA_02년사업계획양식V1.0_고동욱_011130_02년사업계획양식V2.0" xfId="6918"/>
    <cellStyle name="7_결산진실성EVA_02년사업계획양식V1.0_고동욱_011130_02년사업계획양식V2.0 2" xfId="6919"/>
    <cellStyle name="7_결산진실성EVA_02년사업계획양식V1.0_고동욱_011130_02년사업계획양식V2.0_02년사업계획양식V2.0" xfId="6920"/>
    <cellStyle name="7_결산진실성EVA_02년사업계획양식V1.0_고동욱_011130_02년사업계획양식V2.0_02년사업계획양식V2.0 2" xfId="6921"/>
    <cellStyle name="7_결산진실성EVA_02년사업계획양식V1.0_고동욱_011130_02년사업계획양식V2.0_02년사업계획양식V2.0_02년사업계획양식V3.0" xfId="6922"/>
    <cellStyle name="7_결산진실성EVA_02년사업계획양식V1.0_고동욱_011130_02년사업계획양식V2.0_02년사업계획양식V2.0_02년사업계획양식V3.0 2" xfId="6923"/>
    <cellStyle name="7_결산진실성EVA_02년사업계획양식V1.0_고동욱_011130_02년사업계획양식V2.0_02년사업계획양식V2.0_02년사업계획양식V3.0_02년사업계획양식V3.0" xfId="6924"/>
    <cellStyle name="7_결산진실성EVA_02년사업계획양식V1.0_고동욱_011130_02년사업계획양식V2.0_02년사업계획양식V2.0_02년사업계획양식V3.0_02년사업계획양식V3.0 2" xfId="6925"/>
    <cellStyle name="7_결산진실성EVA_02년사업계획양식V1.0_고동욱_011130_02년사업계획양식V2.0_02년사업계획양식V2.0_02년사업계획양식V3.0_02년사업계획양식V3.0(원본)" xfId="6926"/>
    <cellStyle name="7_결산진실성EVA_02년사업계획양식V1.0_고동욱_011130_02년사업계획양식V2.0_02년사업계획양식V2.0_02년사업계획양식V3.0_02년사업계획양식V3.0(원본) 2" xfId="6927"/>
    <cellStyle name="7_결산진실성EVA_02년사업계획양식V1.0_고동욱_011130_02년사업계획양식V2.0_02년사업계획양식V2.0_02년사업계획양식V3.0_02년사업계획양식V3.0(원본)_1" xfId="6928"/>
    <cellStyle name="7_결산진실성EVA_02년사업계획양식V1.0_고동욱_011130_02년사업계획양식V2.0_02년사업계획양식V2.0_02년사업계획양식V3.0_02년사업계획양식V3.0(원본)_1 2" xfId="6929"/>
    <cellStyle name="7_결산진실성EVA_02년사업계획양식V1.0_고동욱_011130_02년사업계획양식V2.0_02년사업계획양식V3.0" xfId="6930"/>
    <cellStyle name="7_결산진실성EVA_02년사업계획양식V1.0_고동욱_011130_02년사업계획양식V2.0_02년사업계획양식V3.0 2" xfId="6931"/>
    <cellStyle name="7_결산진실성EVA_02년사업계획양식V1.0_고동욱_011130_02년사업계획양식V2.0_02년사업계획양식V3.0(원본)" xfId="6932"/>
    <cellStyle name="7_결산진실성EVA_02년사업계획양식V1.0_고동욱_011130_02년사업계획양식V2.0_02년사업계획양식V3.0(원본) 2" xfId="6933"/>
    <cellStyle name="7_결산진실성EVA_02년사업계획양식V1.0_고동욱_011130_02년사업계획양식V2.0_02년사업계획양식V3.0(원본)_1" xfId="6934"/>
    <cellStyle name="7_결산진실성EVA_02년사업계획양식V1.0_고동욱_011130_02년사업계획양식V2.0_02년사업계획양식V3.0(원본)_1 2" xfId="6935"/>
    <cellStyle name="7_결산진실성EVA_02년사업계획양식V1.0_고동욱_011130_02년사업계획양식V2.0_02년사업계획양식V3.0_02년사업계획양식V3.0" xfId="6936"/>
    <cellStyle name="7_결산진실성EVA_02년사업계획양식V1.0_고동욱_011130_02년사업계획양식V2.0_02년사업계획양식V3.0_02년사업계획양식V3.0 2" xfId="6937"/>
    <cellStyle name="7_결산진실성EVA_02년사업계획양식V1.0_고동욱_011130_02년사업계획양식V2.0_02년사업계획양식V3.0_02년사업계획양식V3.0_02년사업계획양식V3.0" xfId="6938"/>
    <cellStyle name="7_결산진실성EVA_02년사업계획양식V1.0_고동욱_011130_02년사업계획양식V2.0_02년사업계획양식V3.0_02년사업계획양식V3.0_02년사업계획양식V3.0 2" xfId="6939"/>
    <cellStyle name="7_결산진실성EVA_02년사업계획양식V1.0_고동욱_011130_02년사업계획양식V2.0_02년사업계획양식V3.0_02년사업계획양식V3.0_02년사업계획양식V3.0(원본)" xfId="6940"/>
    <cellStyle name="7_결산진실성EVA_02년사업계획양식V1.0_고동욱_011130_02년사업계획양식V2.0_02년사업계획양식V3.0_02년사업계획양식V3.0_02년사업계획양식V3.0(원본) 2" xfId="6941"/>
    <cellStyle name="7_결산진실성EVA_02년사업계획양식V1.0_고동욱_011130_02년사업계획양식V2.0_02년사업계획양식V3.0_02년사업계획양식V3.0_02년사업계획양식V3.0(원본)_1" xfId="6942"/>
    <cellStyle name="7_결산진실성EVA_02년사업계획양식V1.0_고동욱_011130_02년사업계획양식V2.0_02년사업계획양식V3.0_02년사업계획양식V3.0_02년사업계획양식V3.0(원본)_1 2" xfId="6943"/>
    <cellStyle name="7_결산진실성EVA_02년사업계획양식V1.0_고동욱_011130_02년사업계획양식V3.0" xfId="6944"/>
    <cellStyle name="7_결산진실성EVA_02년사업계획양식V1.0_고동욱_011130_02년사업계획양식V3.0 2" xfId="6945"/>
    <cellStyle name="7_결산진실성EVA_02년사업계획양식V1.0_고동욱_011130_02년사업계획양식V3.0_02년사업계획양식V3.0" xfId="6946"/>
    <cellStyle name="7_결산진실성EVA_02년사업계획양식V1.0_고동욱_011130_02년사업계획양식V3.0_02년사업계획양식V3.0 2" xfId="6947"/>
    <cellStyle name="7_결산진실성EVA_02년사업계획양식V1.0_고동욱_011130_02년사업계획양식V3.0_02년사업계획양식V3.0(원본)" xfId="6948"/>
    <cellStyle name="7_결산진실성EVA_02년사업계획양식V1.0_고동욱_011130_02년사업계획양식V3.0_02년사업계획양식V3.0(원본) 2" xfId="6949"/>
    <cellStyle name="7_결산진실성EVA_02년사업계획양식V1.0_고동욱_011130_02년사업계획양식V3.0_02년사업계획양식V3.0(원본)_1" xfId="6950"/>
    <cellStyle name="7_결산진실성EVA_02년사업계획양식V1.0_고동욱_011130_02년사업계획양식V3.0_02년사업계획양식V3.0(원본)_1 2" xfId="6951"/>
    <cellStyle name="7_결산진실성EVA_02년사업계획양식V1.0_고동욱_011205" xfId="6952"/>
    <cellStyle name="7_결산진실성EVA_02년사업계획양식V1.0_고동욱_011205 2" xfId="6953"/>
    <cellStyle name="7_결산진실성EVA_02년사업계획양식V1.0_고동욱_011205_02년사업계획양식V2.0" xfId="6954"/>
    <cellStyle name="7_결산진실성EVA_02년사업계획양식V1.0_고동욱_011205_02년사업계획양식V2.0 2" xfId="6955"/>
    <cellStyle name="7_결산진실성EVA_02년사업계획양식V1.0_고동욱_011205_02년사업계획양식V2.0_02년사업계획양식V2.0" xfId="6956"/>
    <cellStyle name="7_결산진실성EVA_02년사업계획양식V1.0_고동욱_011205_02년사업계획양식V2.0_02년사업계획양식V2.0 2" xfId="6957"/>
    <cellStyle name="7_결산진실성EVA_02년사업계획양식V1.0_고동욱_011205_02년사업계획양식V2.0_02년사업계획양식V2.0_02년사업계획양식V3.0" xfId="6958"/>
    <cellStyle name="7_결산진실성EVA_02년사업계획양식V1.0_고동욱_011205_02년사업계획양식V2.0_02년사업계획양식V2.0_02년사업계획양식V3.0 2" xfId="6959"/>
    <cellStyle name="7_결산진실성EVA_02년사업계획양식V1.0_고동욱_011205_02년사업계획양식V2.0_02년사업계획양식V2.0_02년사업계획양식V3.0_02년사업계획양식V3.0" xfId="6960"/>
    <cellStyle name="7_결산진실성EVA_02년사업계획양식V1.0_고동욱_011205_02년사업계획양식V2.0_02년사업계획양식V2.0_02년사업계획양식V3.0_02년사업계획양식V3.0 2" xfId="6961"/>
    <cellStyle name="7_결산진실성EVA_02년사업계획양식V1.0_고동욱_011205_02년사업계획양식V2.0_02년사업계획양식V2.0_02년사업계획양식V3.0_02년사업계획양식V3.0(원본)" xfId="6962"/>
    <cellStyle name="7_결산진실성EVA_02년사업계획양식V1.0_고동욱_011205_02년사업계획양식V2.0_02년사업계획양식V2.0_02년사업계획양식V3.0_02년사업계획양식V3.0(원본) 2" xfId="6963"/>
    <cellStyle name="7_결산진실성EVA_02년사업계획양식V1.0_고동욱_011205_02년사업계획양식V2.0_02년사업계획양식V2.0_02년사업계획양식V3.0_02년사업계획양식V3.0(원본)_1" xfId="6964"/>
    <cellStyle name="7_결산진실성EVA_02년사업계획양식V1.0_고동욱_011205_02년사업계획양식V2.0_02년사업계획양식V2.0_02년사업계획양식V3.0_02년사업계획양식V3.0(원본)_1 2" xfId="6965"/>
    <cellStyle name="7_결산진실성EVA_02년사업계획양식V1.0_고동욱_011205_02년사업계획양식V2.0_02년사업계획양식V3.0" xfId="6966"/>
    <cellStyle name="7_결산진실성EVA_02년사업계획양식V1.0_고동욱_011205_02년사업계획양식V2.0_02년사업계획양식V3.0 2" xfId="6967"/>
    <cellStyle name="7_결산진실성EVA_02년사업계획양식V1.0_고동욱_011205_02년사업계획양식V2.0_02년사업계획양식V3.0(원본)" xfId="6968"/>
    <cellStyle name="7_결산진실성EVA_02년사업계획양식V1.0_고동욱_011205_02년사업계획양식V2.0_02년사업계획양식V3.0(원본) 2" xfId="6969"/>
    <cellStyle name="7_결산진실성EVA_02년사업계획양식V1.0_고동욱_011205_02년사업계획양식V2.0_02년사업계획양식V3.0(원본)_1" xfId="6970"/>
    <cellStyle name="7_결산진실성EVA_02년사업계획양식V1.0_고동욱_011205_02년사업계획양식V2.0_02년사업계획양식V3.0(원본)_1 2" xfId="6971"/>
    <cellStyle name="7_결산진실성EVA_02년사업계획양식V1.0_고동욱_011205_02년사업계획양식V2.0_02년사업계획양식V3.0_02년사업계획양식V3.0" xfId="6972"/>
    <cellStyle name="7_결산진실성EVA_02년사업계획양식V1.0_고동욱_011205_02년사업계획양식V2.0_02년사업계획양식V3.0_02년사업계획양식V3.0 2" xfId="6973"/>
    <cellStyle name="7_결산진실성EVA_02년사업계획양식V1.0_고동욱_011205_02년사업계획양식V2.0_02년사업계획양식V3.0_02년사업계획양식V3.0_02년사업계획양식V3.0" xfId="6974"/>
    <cellStyle name="7_결산진실성EVA_02년사업계획양식V1.0_고동욱_011205_02년사업계획양식V2.0_02년사업계획양식V3.0_02년사업계획양식V3.0_02년사업계획양식V3.0 2" xfId="6975"/>
    <cellStyle name="7_결산진실성EVA_02년사업계획양식V1.0_고동욱_011205_02년사업계획양식V2.0_02년사업계획양식V3.0_02년사업계획양식V3.0_02년사업계획양식V3.0(원본)" xfId="6976"/>
    <cellStyle name="7_결산진실성EVA_02년사업계획양식V1.0_고동욱_011205_02년사업계획양식V2.0_02년사업계획양식V3.0_02년사업계획양식V3.0_02년사업계획양식V3.0(원본) 2" xfId="6977"/>
    <cellStyle name="7_결산진실성EVA_02년사업계획양식V1.0_고동욱_011205_02년사업계획양식V2.0_02년사업계획양식V3.0_02년사업계획양식V3.0_02년사업계획양식V3.0(원본)_1" xfId="6978"/>
    <cellStyle name="7_결산진실성EVA_02년사업계획양식V1.0_고동욱_011205_02년사업계획양식V2.0_02년사업계획양식V3.0_02년사업계획양식V3.0_02년사업계획양식V3.0(원본)_1 2" xfId="6979"/>
    <cellStyle name="7_결산진실성EVA_02년사업계획양식V1.0_고동욱_011205_02년사업계획양식V3.0" xfId="6980"/>
    <cellStyle name="7_결산진실성EVA_02년사업계획양식V1.0_고동욱_011205_02년사업계획양식V3.0 2" xfId="6981"/>
    <cellStyle name="7_결산진실성EVA_02년사업계획양식V1.0_고동욱_011205_02년사업계획양식V3.0_02년사업계획양식V3.0" xfId="6982"/>
    <cellStyle name="7_결산진실성EVA_02년사업계획양식V1.0_고동욱_011205_02년사업계획양식V3.0_02년사업계획양식V3.0 2" xfId="6983"/>
    <cellStyle name="7_결산진실성EVA_02년사업계획양식V1.0_고동욱_011205_02년사업계획양식V3.0_02년사업계획양식V3.0(원본)" xfId="6984"/>
    <cellStyle name="7_결산진실성EVA_02년사업계획양식V1.0_고동욱_011205_02년사업계획양식V3.0_02년사업계획양식V3.0(원본) 2" xfId="6985"/>
    <cellStyle name="7_결산진실성EVA_02년사업계획양식V1.0_고동욱_011205_02년사업계획양식V3.0_02년사업계획양식V3.0(원본)_1" xfId="6986"/>
    <cellStyle name="7_결산진실성EVA_02년사업계획양식V1.0_고동욱_011205_02년사업계획양식V3.0_02년사업계획양식V3.0(원본)_1 2" xfId="6987"/>
    <cellStyle name="7_결산진실성EVA_02년사업계획양식V1.0_대호(bs수정)" xfId="6988"/>
    <cellStyle name="7_결산진실성EVA_02년사업계획양식V1.0_대호(bs수정) 2" xfId="6989"/>
    <cellStyle name="7_결산진실성EVA_02년사업계획양식V1.0_대호(bs수정)_02년사업계획양식V2.0" xfId="6990"/>
    <cellStyle name="7_결산진실성EVA_02년사업계획양식V1.0_대호(bs수정)_02년사업계획양식V2.0 2" xfId="6991"/>
    <cellStyle name="7_결산진실성EVA_02년사업계획양식V1.0_대호(bs수정)_02년사업계획양식V2.0_02년사업계획양식V2.0" xfId="6992"/>
    <cellStyle name="7_결산진실성EVA_02년사업계획양식V1.0_대호(bs수정)_02년사업계획양식V2.0_02년사업계획양식V2.0 2" xfId="6993"/>
    <cellStyle name="7_결산진실성EVA_02년사업계획양식V1.0_대호(bs수정)_02년사업계획양식V2.0_02년사업계획양식V2.0_02년사업계획양식V3.0" xfId="6994"/>
    <cellStyle name="7_결산진실성EVA_02년사업계획양식V1.0_대호(bs수정)_02년사업계획양식V2.0_02년사업계획양식V2.0_02년사업계획양식V3.0 2" xfId="6995"/>
    <cellStyle name="7_결산진실성EVA_02년사업계획양식V1.0_대호(bs수정)_02년사업계획양식V2.0_02년사업계획양식V2.0_02년사업계획양식V3.0_02년사업계획양식V3.0" xfId="6996"/>
    <cellStyle name="7_결산진실성EVA_02년사업계획양식V1.0_대호(bs수정)_02년사업계획양식V2.0_02년사업계획양식V2.0_02년사업계획양식V3.0_02년사업계획양식V3.0 2" xfId="6997"/>
    <cellStyle name="7_결산진실성EVA_02년사업계획양식V1.0_대호(bs수정)_02년사업계획양식V2.0_02년사업계획양식V2.0_02년사업계획양식V3.0_02년사업계획양식V3.0(원본)" xfId="6998"/>
    <cellStyle name="7_결산진실성EVA_02년사업계획양식V1.0_대호(bs수정)_02년사업계획양식V2.0_02년사업계획양식V2.0_02년사업계획양식V3.0_02년사업계획양식V3.0(원본) 2" xfId="6999"/>
    <cellStyle name="7_결산진실성EVA_02년사업계획양식V1.0_대호(bs수정)_02년사업계획양식V2.0_02년사업계획양식V2.0_02년사업계획양식V3.0_02년사업계획양식V3.0(원본)_1" xfId="7000"/>
    <cellStyle name="7_결산진실성EVA_02년사업계획양식V1.0_대호(bs수정)_02년사업계획양식V2.0_02년사업계획양식V2.0_02년사업계획양식V3.0_02년사업계획양식V3.0(원본)_1 2" xfId="7001"/>
    <cellStyle name="7_결산진실성EVA_02년사업계획양식V1.0_대호(bs수정)_02년사업계획양식V2.0_02년사업계획양식V3.0" xfId="7002"/>
    <cellStyle name="7_결산진실성EVA_02년사업계획양식V1.0_대호(bs수정)_02년사업계획양식V2.0_02년사업계획양식V3.0 2" xfId="7003"/>
    <cellStyle name="7_결산진실성EVA_02년사업계획양식V1.0_대호(bs수정)_02년사업계획양식V2.0_02년사업계획양식V3.0(원본)" xfId="7004"/>
    <cellStyle name="7_결산진실성EVA_02년사업계획양식V1.0_대호(bs수정)_02년사업계획양식V2.0_02년사업계획양식V3.0(원본) 2" xfId="7005"/>
    <cellStyle name="7_결산진실성EVA_02년사업계획양식V1.0_대호(bs수정)_02년사업계획양식V2.0_02년사업계획양식V3.0(원본)_1" xfId="7006"/>
    <cellStyle name="7_결산진실성EVA_02년사업계획양식V1.0_대호(bs수정)_02년사업계획양식V2.0_02년사업계획양식V3.0(원본)_1 2" xfId="7007"/>
    <cellStyle name="7_결산진실성EVA_02년사업계획양식V1.0_대호(bs수정)_02년사업계획양식V2.0_02년사업계획양식V3.0_02년사업계획양식V3.0" xfId="7008"/>
    <cellStyle name="7_결산진실성EVA_02년사업계획양식V1.0_대호(bs수정)_02년사업계획양식V2.0_02년사업계획양식V3.0_02년사업계획양식V3.0 2" xfId="7009"/>
    <cellStyle name="7_결산진실성EVA_02년사업계획양식V1.0_대호(bs수정)_02년사업계획양식V2.0_02년사업계획양식V3.0_02년사업계획양식V3.0_02년사업계획양식V3.0" xfId="7010"/>
    <cellStyle name="7_결산진실성EVA_02년사업계획양식V1.0_대호(bs수정)_02년사업계획양식V2.0_02년사업계획양식V3.0_02년사업계획양식V3.0_02년사업계획양식V3.0 2" xfId="7011"/>
    <cellStyle name="7_결산진실성EVA_02년사업계획양식V1.0_대호(bs수정)_02년사업계획양식V2.0_02년사업계획양식V3.0_02년사업계획양식V3.0_02년사업계획양식V3.0(원본)" xfId="7012"/>
    <cellStyle name="7_결산진실성EVA_02년사업계획양식V1.0_대호(bs수정)_02년사업계획양식V2.0_02년사업계획양식V3.0_02년사업계획양식V3.0_02년사업계획양식V3.0(원본) 2" xfId="7013"/>
    <cellStyle name="7_결산진실성EVA_02년사업계획양식V1.0_대호(bs수정)_02년사업계획양식V2.0_02년사업계획양식V3.0_02년사업계획양식V3.0_02년사업계획양식V3.0(원본)_1" xfId="7014"/>
    <cellStyle name="7_결산진실성EVA_02년사업계획양식V1.0_대호(bs수정)_02년사업계획양식V2.0_02년사업계획양식V3.0_02년사업계획양식V3.0_02년사업계획양식V3.0(원본)_1 2" xfId="7015"/>
    <cellStyle name="7_결산진실성EVA_02년사업계획양식V1.0_대호(bs수정)_02년사업계획양식V3.0" xfId="7016"/>
    <cellStyle name="7_결산진실성EVA_02년사업계획양식V1.0_대호(bs수정)_02년사업계획양식V3.0 2" xfId="7017"/>
    <cellStyle name="7_결산진실성EVA_02년사업계획양식V1.0_대호(bs수정)_02년사업계획양식V3.0_02년사업계획양식V3.0" xfId="7018"/>
    <cellStyle name="7_결산진실성EVA_02년사업계획양식V1.0_대호(bs수정)_02년사업계획양식V3.0_02년사업계획양식V3.0 2" xfId="7019"/>
    <cellStyle name="7_결산진실성EVA_02년사업계획양식V1.0_대호(bs수정)_02년사업계획양식V3.0_02년사업계획양식V3.0(원본)" xfId="7020"/>
    <cellStyle name="7_결산진실성EVA_02년사업계획양식V1.0_대호(bs수정)_02년사업계획양식V3.0_02년사업계획양식V3.0(원본) 2" xfId="7021"/>
    <cellStyle name="7_결산진실성EVA_02년사업계획양식V1.0_대호(bs수정)_02년사업계획양식V3.0_02년사업계획양식V3.0(원본)_1" xfId="7022"/>
    <cellStyle name="7_결산진실성EVA_02년사업계획양식V1.0_대호(bs수정)_02년사업계획양식V3.0_02년사업계획양식V3.0(원본)_1 2" xfId="7023"/>
    <cellStyle name="7_결산진실성EVA_02년사업계획양식V2.0" xfId="7024"/>
    <cellStyle name="7_결산진실성EVA_02년사업계획양식V2.0 2" xfId="7025"/>
    <cellStyle name="7_결산진실성EVA_02년사업계획양식V2.0_02년사업계획양식V3.0" xfId="7026"/>
    <cellStyle name="7_결산진실성EVA_02년사업계획양식V2.0_02년사업계획양식V3.0 2" xfId="7027"/>
    <cellStyle name="7_결산진실성EVA_02년사업계획양식V2.0_02년사업계획양식V3.0_02년사업계획양식V3.0" xfId="7028"/>
    <cellStyle name="7_결산진실성EVA_02년사업계획양식V2.0_02년사업계획양식V3.0_02년사업계획양식V3.0 2" xfId="7029"/>
    <cellStyle name="7_결산진실성EVA_02년사업계획양식V2.0_02년사업계획양식V3.0_02년사업계획양식V3.0(원본)" xfId="7030"/>
    <cellStyle name="7_결산진실성EVA_02년사업계획양식V2.0_02년사업계획양식V3.0_02년사업계획양식V3.0(원본) 2" xfId="7031"/>
    <cellStyle name="7_결산진실성EVA_02년사업계획양식V2.0_02년사업계획양식V3.0_02년사업계획양식V3.0(원본)_1" xfId="7032"/>
    <cellStyle name="7_결산진실성EVA_02년사업계획양식V2.0_02년사업계획양식V3.0_02년사업계획양식V3.0(원본)_1 2" xfId="7033"/>
    <cellStyle name="7_결산진실성EVA_02년사업계획양식V3.0" xfId="7034"/>
    <cellStyle name="7_결산진실성EVA_02년사업계획양식V3.0 2" xfId="7035"/>
    <cellStyle name="7_결산진실성EVA_02년사업계획양식V3.0(원본)" xfId="7036"/>
    <cellStyle name="7_결산진실성EVA_02년사업계획양식V3.0(원본) 2" xfId="7037"/>
    <cellStyle name="7_결산진실성EVA_02년사업계획양식V3.0(원본)_1" xfId="7038"/>
    <cellStyle name="7_결산진실성EVA_02년사업계획양식V3.0(원본)_1 2" xfId="7039"/>
    <cellStyle name="7_결산진실성EVA_02년사업계획양식V3.0_02년사업계획양식V3.0" xfId="7040"/>
    <cellStyle name="7_결산진실성EVA_02년사업계획양식V3.0_02년사업계획양식V3.0 2" xfId="7041"/>
    <cellStyle name="7_결산진실성EVA_02년사업계획양식V3.0_02년사업계획양식V3.0_02년사업계획양식V3.0" xfId="7042"/>
    <cellStyle name="7_결산진실성EVA_02년사업계획양식V3.0_02년사업계획양식V3.0_02년사업계획양식V3.0 2" xfId="7043"/>
    <cellStyle name="7_결산진실성EVA_02년사업계획양식V3.0_02년사업계획양식V3.0_02년사업계획양식V3.0(원본)" xfId="7044"/>
    <cellStyle name="7_결산진실성EVA_02년사업계획양식V3.0_02년사업계획양식V3.0_02년사업계획양식V3.0(원본) 2" xfId="7045"/>
    <cellStyle name="7_결산진실성EVA_02년사업계획양식V3.0_02년사업계획양식V3.0_02년사업계획양식V3.0(원본)_1" xfId="7046"/>
    <cellStyle name="7_결산진실성EVA_02년사업계획양식V3.0_02년사업계획양식V3.0_02년사업계획양식V3.0(원본)_1 2" xfId="7047"/>
    <cellStyle name="7_결산진실성EVA_03_사업계획양식(MASS_Link)_1104" xfId="7048"/>
    <cellStyle name="7_결산진실성EVA_03_사업계획양식(MASS_Link)_1104 2" xfId="7049"/>
    <cellStyle name="7_결산진실성EVA_03기본_종합장표" xfId="7050"/>
    <cellStyle name="7_결산진실성EVA_03기본_종합장표 2" xfId="7051"/>
    <cellStyle name="7_결산진실성EVA_03법인비용_회수양식_AC" xfId="7052"/>
    <cellStyle name="7_결산진실성EVA_03법인비용_회수양식_AC 2" xfId="7053"/>
    <cellStyle name="7_결산진실성EVA_03혁신_종합장표" xfId="7054"/>
    <cellStyle name="7_결산진실성EVA_03혁신_종합장표 2" xfId="7055"/>
    <cellStyle name="7_결산진실성EVA_2001년 01월차 이동계획_0102" xfId="7056"/>
    <cellStyle name="7_결산진실성EVA_2001년 01월차 이동계획_0102 2" xfId="7057"/>
    <cellStyle name="7_결산진실성EVA_2001년 01월차 이동계획_0102_2001년 05월 이동계획_" xfId="7058"/>
    <cellStyle name="7_결산진실성EVA_2001년 01월차 이동계획_0102_2001년 05월 이동계획_ 2" xfId="7059"/>
    <cellStyle name="7_결산진실성EVA_2001년 01월차 이동계획_0102_2001년 06월 이동계획_(Maximum)" xfId="7060"/>
    <cellStyle name="7_결산진실성EVA_2001년 01월차 이동계획_0102_2001년 06월 이동계획_(Maximum) 2" xfId="7061"/>
    <cellStyle name="7_결산진실성EVA_2001년 01월차 이동계획_0102_2001년 07월차 이동계획보고_" xfId="7062"/>
    <cellStyle name="7_결산진실성EVA_2001년 01월차 이동계획_0102_2001년 07월차 이동계획보고_ 2" xfId="7063"/>
    <cellStyle name="7_결산진실성EVA_2001년 01월차 이동계획_0102_2002년_02월차_이동계획보고_" xfId="7064"/>
    <cellStyle name="7_결산진실성EVA_2001년 01월차 이동계획_0102_2002년_02월차_이동계획보고_ 2" xfId="7065"/>
    <cellStyle name="7_결산진실성EVA_2001년 01월차 이동계획_0102_2002년_03월차_이동계획보고_" xfId="7066"/>
    <cellStyle name="7_결산진실성EVA_2001년 01월차 이동계획_0102_2002년_03월차_이동계획보고_ 2" xfId="7067"/>
    <cellStyle name="7_결산진실성EVA_2001년 01월차 이동계획_0102_2002년_03월차_이동계획보고_1차수정" xfId="7068"/>
    <cellStyle name="7_결산진실성EVA_2001년 01월차 이동계획_0102_2002년_03월차_이동계획보고_1차수정 2" xfId="7069"/>
    <cellStyle name="7_결산진실성EVA_2001년 01월차 이동계획_0102_2002년_05월차_이동계획보고_" xfId="7070"/>
    <cellStyle name="7_결산진실성EVA_2001년 01월차 이동계획_0102_2002년_05월차_이동계획보고_ 2" xfId="7071"/>
    <cellStyle name="7_결산진실성EVA_2001년 01월차 이동계획_0102_2002년_06월차_이동계획보고_기종별수정" xfId="7072"/>
    <cellStyle name="7_결산진실성EVA_2001년 01월차 이동계획_0102_2002년_06월차_이동계획보고_기종별수정 2" xfId="7073"/>
    <cellStyle name="7_결산진실성EVA_2001년 01월차 이동계획_0102_2002년_07월차_이동계획보고_수정중_철판 반영후_최종" xfId="7076"/>
    <cellStyle name="7_결산진실성EVA_2001년 01월차 이동계획_0102_2002년_07월차_이동계획보고_수정중_철판 반영후_최종 2" xfId="7077"/>
    <cellStyle name="7_결산진실성EVA_2001년 01월차 이동계획_0102_2002년_07월차_이동계획보고_수정중0628_2" xfId="7074"/>
    <cellStyle name="7_결산진실성EVA_2001년 01월차 이동계획_0102_2002년_07월차_이동계획보고_수정중0628_2 2" xfId="7075"/>
    <cellStyle name="7_결산진실성EVA_2001년 01월차 이동계획_0102_VVR0J9DV" xfId="7078"/>
    <cellStyle name="7_결산진실성EVA_2001년 01월차 이동계획_0102_VVR0J9DV 2" xfId="7079"/>
    <cellStyle name="7_결산진실성EVA_2001년 02월 실적예상_02월21일기준" xfId="7080"/>
    <cellStyle name="7_결산진실성EVA_2001년 02월 실적예상_02월21일기준 2" xfId="7081"/>
    <cellStyle name="7_결산진실성EVA_2001년 02월 실적예상_02월21일기준_2001년 05월 이동계획_" xfId="7082"/>
    <cellStyle name="7_결산진실성EVA_2001년 02월 실적예상_02월21일기준_2001년 05월 이동계획_ 2" xfId="7083"/>
    <cellStyle name="7_결산진실성EVA_2001년 02월 실적예상_02월21일기준_2001년 06월 이동계획_(Maximum)" xfId="7084"/>
    <cellStyle name="7_결산진실성EVA_2001년 02월 실적예상_02월21일기준_2001년 06월 이동계획_(Maximum) 2" xfId="7085"/>
    <cellStyle name="7_결산진실성EVA_2001년 02월 실적예상_02월21일기준_2001년 07월차 이동계획보고_" xfId="7086"/>
    <cellStyle name="7_결산진실성EVA_2001년 02월 실적예상_02월21일기준_2001년 07월차 이동계획보고_ 2" xfId="7087"/>
    <cellStyle name="7_결산진실성EVA_2001년 02월 실적예상_02월21일기준_2002년_02월차_이동계획보고_" xfId="7088"/>
    <cellStyle name="7_결산진실성EVA_2001년 02월 실적예상_02월21일기준_2002년_02월차_이동계획보고_ 2" xfId="7089"/>
    <cellStyle name="7_결산진실성EVA_2001년 02월 실적예상_02월21일기준_2002년_03월차_이동계획보고_" xfId="7090"/>
    <cellStyle name="7_결산진실성EVA_2001년 02월 실적예상_02월21일기준_2002년_03월차_이동계획보고_ 2" xfId="7091"/>
    <cellStyle name="7_결산진실성EVA_2001년 02월 실적예상_02월21일기준_2002년_03월차_이동계획보고_1차수정" xfId="7092"/>
    <cellStyle name="7_결산진실성EVA_2001년 02월 실적예상_02월21일기준_2002년_03월차_이동계획보고_1차수정 2" xfId="7093"/>
    <cellStyle name="7_결산진실성EVA_2001년 02월 실적예상_02월21일기준_2002년_05월차_이동계획보고_" xfId="7094"/>
    <cellStyle name="7_결산진실성EVA_2001년 02월 실적예상_02월21일기준_2002년_05월차_이동계획보고_ 2" xfId="7095"/>
    <cellStyle name="7_결산진실성EVA_2001년 02월 실적예상_02월21일기준_2002년_06월차_이동계획보고_기종별수정" xfId="7096"/>
    <cellStyle name="7_결산진실성EVA_2001년 02월 실적예상_02월21일기준_2002년_06월차_이동계획보고_기종별수정 2" xfId="7097"/>
    <cellStyle name="7_결산진실성EVA_2001년 02월 실적예상_02월21일기준_2002년_07월차_이동계획보고_수정중_철판 반영후_최종" xfId="7100"/>
    <cellStyle name="7_결산진실성EVA_2001년 02월 실적예상_02월21일기준_2002년_07월차_이동계획보고_수정중_철판 반영후_최종 2" xfId="7101"/>
    <cellStyle name="7_결산진실성EVA_2001년 02월 실적예상_02월21일기준_2002년_07월차_이동계획보고_수정중0628_2" xfId="7098"/>
    <cellStyle name="7_결산진실성EVA_2001년 02월 실적예상_02월21일기준_2002년_07월차_이동계획보고_수정중0628_2 2" xfId="7099"/>
    <cellStyle name="7_결산진실성EVA_2001년 02월 실적예상_02월21일기준_VVR0J9DV" xfId="7102"/>
    <cellStyle name="7_결산진실성EVA_2001년 02월 실적예상_02월21일기준_VVR0J9DV 2" xfId="7103"/>
    <cellStyle name="7_결산진실성EVA_2001년 02월차 이동계획_" xfId="7104"/>
    <cellStyle name="7_결산진실성EVA_2001년 02월차 이동계획_ 2" xfId="7105"/>
    <cellStyle name="7_결산진실성EVA_2001년 02월차 이동계획__2001년 05월 이동계획_" xfId="7106"/>
    <cellStyle name="7_결산진실성EVA_2001년 02월차 이동계획__2001년 05월 이동계획_ 2" xfId="7107"/>
    <cellStyle name="7_결산진실성EVA_2001년 02월차 이동계획__2001년 06월 이동계획_(Maximum)" xfId="7108"/>
    <cellStyle name="7_결산진실성EVA_2001년 02월차 이동계획__2001년 06월 이동계획_(Maximum) 2" xfId="7109"/>
    <cellStyle name="7_결산진실성EVA_2001년 02월차 이동계획__2001년 07월차 이동계획보고_" xfId="7110"/>
    <cellStyle name="7_결산진실성EVA_2001년 02월차 이동계획__2001년 07월차 이동계획보고_ 2" xfId="7111"/>
    <cellStyle name="7_결산진실성EVA_2001년 02월차 이동계획__2002년_02월차_이동계획보고_" xfId="7112"/>
    <cellStyle name="7_결산진실성EVA_2001년 02월차 이동계획__2002년_02월차_이동계획보고_ 2" xfId="7113"/>
    <cellStyle name="7_결산진실성EVA_2001년 02월차 이동계획__2002년_03월차_이동계획보고_" xfId="7114"/>
    <cellStyle name="7_결산진실성EVA_2001년 02월차 이동계획__2002년_03월차_이동계획보고_ 2" xfId="7115"/>
    <cellStyle name="7_결산진실성EVA_2001년 02월차 이동계획__2002년_03월차_이동계획보고_1차수정" xfId="7116"/>
    <cellStyle name="7_결산진실성EVA_2001년 02월차 이동계획__2002년_03월차_이동계획보고_1차수정 2" xfId="7117"/>
    <cellStyle name="7_결산진실성EVA_2001년 02월차 이동계획__2002년_05월차_이동계획보고_" xfId="7118"/>
    <cellStyle name="7_결산진실성EVA_2001년 02월차 이동계획__2002년_05월차_이동계획보고_ 2" xfId="7119"/>
    <cellStyle name="7_결산진실성EVA_2001년 02월차 이동계획__2002년_06월차_이동계획보고_기종별수정" xfId="7120"/>
    <cellStyle name="7_결산진실성EVA_2001년 02월차 이동계획__2002년_06월차_이동계획보고_기종별수정 2" xfId="7121"/>
    <cellStyle name="7_결산진실성EVA_2001년 02월차 이동계획__2002년_07월차_이동계획보고_수정중_철판 반영후_최종" xfId="7124"/>
    <cellStyle name="7_결산진실성EVA_2001년 02월차 이동계획__2002년_07월차_이동계획보고_수정중_철판 반영후_최종 2" xfId="7125"/>
    <cellStyle name="7_결산진실성EVA_2001년 02월차 이동계획__2002년_07월차_이동계획보고_수정중0628_2" xfId="7122"/>
    <cellStyle name="7_결산진실성EVA_2001년 02월차 이동계획__2002년_07월차_이동계획보고_수정중0628_2 2" xfId="7123"/>
    <cellStyle name="7_결산진실성EVA_2001년 02월차 이동계획__VVR0J9DV" xfId="7126"/>
    <cellStyle name="7_결산진실성EVA_2001년 02월차 이동계획__VVR0J9DV 2" xfId="7127"/>
    <cellStyle name="7_결산진실성EVA_2002년_월별사업계획전산_DM" xfId="7128"/>
    <cellStyle name="7_결산진실성EVA_2002년_월별사업계획전산_DM 2" xfId="7129"/>
    <cellStyle name="7_결산진실성EVA_2002년_월별사업계획전산_DM_02년사업계획양식V1.0_대호(bs수정)" xfId="7130"/>
    <cellStyle name="7_결산진실성EVA_2002년_월별사업계획전산_DM_02년사업계획양식V1.0_대호(bs수정) 2" xfId="7131"/>
    <cellStyle name="7_결산진실성EVA_2002년_월별사업계획전산_DM_02년사업계획양식V1.0_대호(bs수정)_02년사업계획양식V2.0" xfId="7132"/>
    <cellStyle name="7_결산진실성EVA_2002년_월별사업계획전산_DM_02년사업계획양식V1.0_대호(bs수정)_02년사업계획양식V2.0 2" xfId="7133"/>
    <cellStyle name="7_결산진실성EVA_2002년_월별사업계획전산_DM_02년사업계획양식V1.0_대호(bs수정)_02년사업계획양식V2.0_02년사업계획양식V2.0" xfId="7134"/>
    <cellStyle name="7_결산진실성EVA_2002년_월별사업계획전산_DM_02년사업계획양식V1.0_대호(bs수정)_02년사업계획양식V2.0_02년사업계획양식V2.0 2" xfId="7135"/>
    <cellStyle name="7_결산진실성EVA_2002년_월별사업계획전산_DM_02년사업계획양식V1.0_대호(bs수정)_02년사업계획양식V2.0_02년사업계획양식V2.0_02년사업계획양식V3.0" xfId="7136"/>
    <cellStyle name="7_결산진실성EVA_2002년_월별사업계획전산_DM_02년사업계획양식V1.0_대호(bs수정)_02년사업계획양식V2.0_02년사업계획양식V2.0_02년사업계획양식V3.0 2" xfId="7137"/>
    <cellStyle name="7_결산진실성EVA_2002년_월별사업계획전산_DM_02년사업계획양식V1.0_대호(bs수정)_02년사업계획양식V2.0_02년사업계획양식V2.0_02년사업계획양식V3.0_02년사업계획양식V3.0" xfId="7138"/>
    <cellStyle name="7_결산진실성EVA_2002년_월별사업계획전산_DM_02년사업계획양식V1.0_대호(bs수정)_02년사업계획양식V2.0_02년사업계획양식V2.0_02년사업계획양식V3.0_02년사업계획양식V3.0 2" xfId="7139"/>
    <cellStyle name="7_결산진실성EVA_2002년_월별사업계획전산_DM_02년사업계획양식V1.0_대호(bs수정)_02년사업계획양식V2.0_02년사업계획양식V2.0_02년사업계획양식V3.0_02년사업계획양식V3.0(원본)" xfId="7140"/>
    <cellStyle name="7_결산진실성EVA_2002년_월별사업계획전산_DM_02년사업계획양식V1.0_대호(bs수정)_02년사업계획양식V2.0_02년사업계획양식V2.0_02년사업계획양식V3.0_02년사업계획양식V3.0(원본) 2" xfId="7141"/>
    <cellStyle name="7_결산진실성EVA_2002년_월별사업계획전산_DM_02년사업계획양식V1.0_대호(bs수정)_02년사업계획양식V2.0_02년사업계획양식V2.0_02년사업계획양식V3.0_02년사업계획양식V3.0(원본)_1" xfId="7142"/>
    <cellStyle name="7_결산진실성EVA_2002년_월별사업계획전산_DM_02년사업계획양식V1.0_대호(bs수정)_02년사업계획양식V2.0_02년사업계획양식V2.0_02년사업계획양식V3.0_02년사업계획양식V3.0(원본)_1 2" xfId="7143"/>
    <cellStyle name="7_결산진실성EVA_2002년_월별사업계획전산_DM_02년사업계획양식V1.0_대호(bs수정)_02년사업계획양식V2.0_02년사업계획양식V3.0" xfId="7144"/>
    <cellStyle name="7_결산진실성EVA_2002년_월별사업계획전산_DM_02년사업계획양식V1.0_대호(bs수정)_02년사업계획양식V2.0_02년사업계획양식V3.0 2" xfId="7145"/>
    <cellStyle name="7_결산진실성EVA_2002년_월별사업계획전산_DM_02년사업계획양식V1.0_대호(bs수정)_02년사업계획양식V2.0_02년사업계획양식V3.0(원본)" xfId="7146"/>
    <cellStyle name="7_결산진실성EVA_2002년_월별사업계획전산_DM_02년사업계획양식V1.0_대호(bs수정)_02년사업계획양식V2.0_02년사업계획양식V3.0(원본) 2" xfId="7147"/>
    <cellStyle name="7_결산진실성EVA_2002년_월별사업계획전산_DM_02년사업계획양식V1.0_대호(bs수정)_02년사업계획양식V2.0_02년사업계획양식V3.0(원본)_1" xfId="7148"/>
    <cellStyle name="7_결산진실성EVA_2002년_월별사업계획전산_DM_02년사업계획양식V1.0_대호(bs수정)_02년사업계획양식V2.0_02년사업계획양식V3.0(원본)_1 2" xfId="7149"/>
    <cellStyle name="7_결산진실성EVA_2002년_월별사업계획전산_DM_02년사업계획양식V1.0_대호(bs수정)_02년사업계획양식V2.0_02년사업계획양식V3.0_02년사업계획양식V3.0" xfId="7150"/>
    <cellStyle name="7_결산진실성EVA_2002년_월별사업계획전산_DM_02년사업계획양식V1.0_대호(bs수정)_02년사업계획양식V2.0_02년사업계획양식V3.0_02년사업계획양식V3.0 2" xfId="7151"/>
    <cellStyle name="7_결산진실성EVA_2002년_월별사업계획전산_DM_02년사업계획양식V1.0_대호(bs수정)_02년사업계획양식V2.0_02년사업계획양식V3.0_02년사업계획양식V3.0_02년사업계획양식V3.0" xfId="7152"/>
    <cellStyle name="7_결산진실성EVA_2002년_월별사업계획전산_DM_02년사업계획양식V1.0_대호(bs수정)_02년사업계획양식V2.0_02년사업계획양식V3.0_02년사업계획양식V3.0_02년사업계획양식V3.0 2" xfId="7153"/>
    <cellStyle name="7_결산진실성EVA_2002년_월별사업계획전산_DM_02년사업계획양식V1.0_대호(bs수정)_02년사업계획양식V2.0_02년사업계획양식V3.0_02년사업계획양식V3.0_02년사업계획양식V3.0(원본)" xfId="7154"/>
    <cellStyle name="7_결산진실성EVA_2002년_월별사업계획전산_DM_02년사업계획양식V1.0_대호(bs수정)_02년사업계획양식V2.0_02년사업계획양식V3.0_02년사업계획양식V3.0_02년사업계획양식V3.0(원본) 2" xfId="7155"/>
    <cellStyle name="7_결산진실성EVA_2002년_월별사업계획전산_DM_02년사업계획양식V1.0_대호(bs수정)_02년사업계획양식V2.0_02년사업계획양식V3.0_02년사업계획양식V3.0_02년사업계획양식V3.0(원본)_1" xfId="7156"/>
    <cellStyle name="7_결산진실성EVA_2002년_월별사업계획전산_DM_02년사업계획양식V1.0_대호(bs수정)_02년사업계획양식V2.0_02년사업계획양식V3.0_02년사업계획양식V3.0_02년사업계획양식V3.0(원본)_1 2" xfId="7157"/>
    <cellStyle name="7_결산진실성EVA_2002년_월별사업계획전산_DM_02년사업계획양식V1.0_대호(bs수정)_02년사업계획양식V3.0" xfId="7158"/>
    <cellStyle name="7_결산진실성EVA_2002년_월별사업계획전산_DM_02년사업계획양식V1.0_대호(bs수정)_02년사업계획양식V3.0 2" xfId="7159"/>
    <cellStyle name="7_결산진실성EVA_2002년_월별사업계획전산_DM_02년사업계획양식V1.0_대호(bs수정)_02년사업계획양식V3.0_02년사업계획양식V3.0" xfId="7160"/>
    <cellStyle name="7_결산진실성EVA_2002년_월별사업계획전산_DM_02년사업계획양식V1.0_대호(bs수정)_02년사업계획양식V3.0_02년사업계획양식V3.0 2" xfId="7161"/>
    <cellStyle name="7_결산진실성EVA_2002년_월별사업계획전산_DM_02년사업계획양식V1.0_대호(bs수정)_02년사업계획양식V3.0_02년사업계획양식V3.0(원본)" xfId="7162"/>
    <cellStyle name="7_결산진실성EVA_2002년_월별사업계획전산_DM_02년사업계획양식V1.0_대호(bs수정)_02년사업계획양식V3.0_02년사업계획양식V3.0(원본) 2" xfId="7163"/>
    <cellStyle name="7_결산진실성EVA_2002년_월별사업계획전산_DM_02년사업계획양식V1.0_대호(bs수정)_02년사업계획양식V3.0_02년사업계획양식V3.0(원본)_1" xfId="7164"/>
    <cellStyle name="7_결산진실성EVA_2002년_월별사업계획전산_DM_02년사업계획양식V1.0_대호(bs수정)_02년사업계획양식V3.0_02년사업계획양식V3.0(원본)_1 2" xfId="7165"/>
    <cellStyle name="7_결산진실성EVA_2002년_월별사업계획전산_DM_02년사업계획양식V2.0" xfId="7166"/>
    <cellStyle name="7_결산진실성EVA_2002년_월별사업계획전산_DM_02년사업계획양식V2.0 2" xfId="7167"/>
    <cellStyle name="7_결산진실성EVA_2002년_월별사업계획전산_DM_02년사업계획양식V2.0_02년사업계획양식V3.0" xfId="7168"/>
    <cellStyle name="7_결산진실성EVA_2002년_월별사업계획전산_DM_02년사업계획양식V2.0_02년사업계획양식V3.0 2" xfId="7169"/>
    <cellStyle name="7_결산진실성EVA_2002년_월별사업계획전산_DM_02년사업계획양식V2.0_02년사업계획양식V3.0_02년사업계획양식V3.0" xfId="7170"/>
    <cellStyle name="7_결산진실성EVA_2002년_월별사업계획전산_DM_02년사업계획양식V2.0_02년사업계획양식V3.0_02년사업계획양식V3.0 2" xfId="7171"/>
    <cellStyle name="7_결산진실성EVA_2002년_월별사업계획전산_DM_02년사업계획양식V2.0_02년사업계획양식V3.0_02년사업계획양식V3.0(원본)" xfId="7172"/>
    <cellStyle name="7_결산진실성EVA_2002년_월별사업계획전산_DM_02년사업계획양식V2.0_02년사업계획양식V3.0_02년사업계획양식V3.0(원본) 2" xfId="7173"/>
    <cellStyle name="7_결산진실성EVA_2002년_월별사업계획전산_DM_02년사업계획양식V2.0_02년사업계획양식V3.0_02년사업계획양식V3.0(원본)_1" xfId="7174"/>
    <cellStyle name="7_결산진실성EVA_2002년_월별사업계획전산_DM_02년사업계획양식V2.0_02년사업계획양식V3.0_02년사업계획양식V3.0(원본)_1 2" xfId="7175"/>
    <cellStyle name="7_결산진실성EVA_2002년_월별사업계획전산_DM_02년사업계획양식V3.0" xfId="7176"/>
    <cellStyle name="7_결산진실성EVA_2002년_월별사업계획전산_DM_02년사업계획양식V3.0 2" xfId="7177"/>
    <cellStyle name="7_결산진실성EVA_2002년_월별사업계획전산_DM_02년사업계획양식V3.0(원본)" xfId="7178"/>
    <cellStyle name="7_결산진실성EVA_2002년_월별사업계획전산_DM_02년사업계획양식V3.0(원본) 2" xfId="7179"/>
    <cellStyle name="7_결산진실성EVA_2002년_월별사업계획전산_DM_02년사업계획양식V3.0(원본)_1" xfId="7180"/>
    <cellStyle name="7_결산진실성EVA_2002년_월별사업계획전산_DM_02년사업계획양식V3.0(원본)_1 2" xfId="7181"/>
    <cellStyle name="7_결산진실성EVA_2002년_월별사업계획전산_DM_02년사업계획양식V3.0_02년사업계획양식V3.0" xfId="7182"/>
    <cellStyle name="7_결산진실성EVA_2002년_월별사업계획전산_DM_02년사업계획양식V3.0_02년사업계획양식V3.0 2" xfId="7183"/>
    <cellStyle name="7_결산진실성EVA_2002년_월별사업계획전산_DM_02년사업계획양식V3.0_02년사업계획양식V3.0_02년사업계획양식V3.0" xfId="7184"/>
    <cellStyle name="7_결산진실성EVA_2002년_월별사업계획전산_DM_02년사업계획양식V3.0_02년사업계획양식V3.0_02년사업계획양식V3.0 2" xfId="7185"/>
    <cellStyle name="7_결산진실성EVA_2002년_월별사업계획전산_DM_02년사업계획양식V3.0_02년사업계획양식V3.0_02년사업계획양식V3.0(원본)" xfId="7186"/>
    <cellStyle name="7_결산진실성EVA_2002년_월별사업계획전산_DM_02년사업계획양식V3.0_02년사업계획양식V3.0_02년사업계획양식V3.0(원본) 2" xfId="7187"/>
    <cellStyle name="7_결산진실성EVA_2002년_월별사업계획전산_DM_02년사업계획양식V3.0_02년사업계획양식V3.0_02년사업계획양식V3.0(원본)_1" xfId="7188"/>
    <cellStyle name="7_결산진실성EVA_2002년_월별사업계획전산_DM_02년사업계획양식V3.0_02년사업계획양식V3.0_02년사업계획양식V3.0(원본)_1 2" xfId="7189"/>
    <cellStyle name="7_결산진실성EVA_eva&amp;cash_02~05년 CM" xfId="7190"/>
    <cellStyle name="7_결산진실성EVA_eva&amp;cash_02~05년 CM 2" xfId="7191"/>
    <cellStyle name="7_결산진실성EVA_그룹+업적보고회+보완사항" xfId="7192"/>
    <cellStyle name="7_결산진실성EVA_그룹+업적보고회+보완사항 2" xfId="7193"/>
    <cellStyle name="7_결산진실성EVA_본부본사배부_1022FINAL본사비축소_해외법인" xfId="7194"/>
    <cellStyle name="7_결산진실성EVA_본부본사배부_1022FINAL본사비축소_해외법인 2" xfId="7195"/>
    <cellStyle name="7_결산진실성EVA_사업계획 양식" xfId="7196"/>
    <cellStyle name="7_결산진실성EVA_사업계획 양식 2" xfId="7197"/>
    <cellStyle name="7_결산진실성EVA_사업계획 양식_02년사업계획양식V1.0_대호(bs수정)" xfId="7198"/>
    <cellStyle name="7_결산진실성EVA_사업계획 양식_02년사업계획양식V1.0_대호(bs수정) 2" xfId="7199"/>
    <cellStyle name="7_결산진실성EVA_사업계획 양식_02년사업계획양식V1.0_대호(bs수정)_02년사업계획양식V2.0" xfId="7200"/>
    <cellStyle name="7_결산진실성EVA_사업계획 양식_02년사업계획양식V1.0_대호(bs수정)_02년사업계획양식V2.0 2" xfId="7201"/>
    <cellStyle name="7_결산진실성EVA_사업계획 양식_02년사업계획양식V1.0_대호(bs수정)_02년사업계획양식V2.0_02년사업계획양식V2.0" xfId="7202"/>
    <cellStyle name="7_결산진실성EVA_사업계획 양식_02년사업계획양식V1.0_대호(bs수정)_02년사업계획양식V2.0_02년사업계획양식V2.0 2" xfId="7203"/>
    <cellStyle name="7_결산진실성EVA_사업계획 양식_02년사업계획양식V1.0_대호(bs수정)_02년사업계획양식V2.0_02년사업계획양식V2.0_02년사업계획양식V3.0" xfId="7204"/>
    <cellStyle name="7_결산진실성EVA_사업계획 양식_02년사업계획양식V1.0_대호(bs수정)_02년사업계획양식V2.0_02년사업계획양식V2.0_02년사업계획양식V3.0 2" xfId="7205"/>
    <cellStyle name="7_결산진실성EVA_사업계획 양식_02년사업계획양식V1.0_대호(bs수정)_02년사업계획양식V2.0_02년사업계획양식V2.0_02년사업계획양식V3.0_02년사업계획양식V3.0" xfId="7206"/>
    <cellStyle name="7_결산진실성EVA_사업계획 양식_02년사업계획양식V1.0_대호(bs수정)_02년사업계획양식V2.0_02년사업계획양식V2.0_02년사업계획양식V3.0_02년사업계획양식V3.0 2" xfId="7207"/>
    <cellStyle name="7_결산진실성EVA_사업계획 양식_02년사업계획양식V1.0_대호(bs수정)_02년사업계획양식V2.0_02년사업계획양식V2.0_02년사업계획양식V3.0_02년사업계획양식V3.0(원본)" xfId="7208"/>
    <cellStyle name="7_결산진실성EVA_사업계획 양식_02년사업계획양식V1.0_대호(bs수정)_02년사업계획양식V2.0_02년사업계획양식V2.0_02년사업계획양식V3.0_02년사업계획양식V3.0(원본) 2" xfId="7209"/>
    <cellStyle name="7_결산진실성EVA_사업계획 양식_02년사업계획양식V1.0_대호(bs수정)_02년사업계획양식V2.0_02년사업계획양식V2.0_02년사업계획양식V3.0_02년사업계획양식V3.0(원본)_1" xfId="7210"/>
    <cellStyle name="7_결산진실성EVA_사업계획 양식_02년사업계획양식V1.0_대호(bs수정)_02년사업계획양식V2.0_02년사업계획양식V2.0_02년사업계획양식V3.0_02년사업계획양식V3.0(원본)_1 2" xfId="7211"/>
    <cellStyle name="7_결산진실성EVA_사업계획 양식_02년사업계획양식V1.0_대호(bs수정)_02년사업계획양식V2.0_02년사업계획양식V3.0" xfId="7212"/>
    <cellStyle name="7_결산진실성EVA_사업계획 양식_02년사업계획양식V1.0_대호(bs수정)_02년사업계획양식V2.0_02년사업계획양식V3.0 2" xfId="7213"/>
    <cellStyle name="7_결산진실성EVA_사업계획 양식_02년사업계획양식V1.0_대호(bs수정)_02년사업계획양식V2.0_02년사업계획양식V3.0(원본)" xfId="7214"/>
    <cellStyle name="7_결산진실성EVA_사업계획 양식_02년사업계획양식V1.0_대호(bs수정)_02년사업계획양식V2.0_02년사업계획양식V3.0(원본) 2" xfId="7215"/>
    <cellStyle name="7_결산진실성EVA_사업계획 양식_02년사업계획양식V1.0_대호(bs수정)_02년사업계획양식V2.0_02년사업계획양식V3.0(원본)_1" xfId="7216"/>
    <cellStyle name="7_결산진실성EVA_사업계획 양식_02년사업계획양식V1.0_대호(bs수정)_02년사업계획양식V2.0_02년사업계획양식V3.0(원본)_1 2" xfId="7217"/>
    <cellStyle name="7_결산진실성EVA_사업계획 양식_02년사업계획양식V1.0_대호(bs수정)_02년사업계획양식V2.0_02년사업계획양식V3.0_02년사업계획양식V3.0" xfId="7218"/>
    <cellStyle name="7_결산진실성EVA_사업계획 양식_02년사업계획양식V1.0_대호(bs수정)_02년사업계획양식V2.0_02년사업계획양식V3.0_02년사업계획양식V3.0 2" xfId="7219"/>
    <cellStyle name="7_결산진실성EVA_사업계획 양식_02년사업계획양식V1.0_대호(bs수정)_02년사업계획양식V2.0_02년사업계획양식V3.0_02년사업계획양식V3.0_02년사업계획양식V3.0" xfId="7220"/>
    <cellStyle name="7_결산진실성EVA_사업계획 양식_02년사업계획양식V1.0_대호(bs수정)_02년사업계획양식V2.0_02년사업계획양식V3.0_02년사업계획양식V3.0_02년사업계획양식V3.0 2" xfId="7221"/>
    <cellStyle name="7_결산진실성EVA_사업계획 양식_02년사업계획양식V1.0_대호(bs수정)_02년사업계획양식V2.0_02년사업계획양식V3.0_02년사업계획양식V3.0_02년사업계획양식V3.0(원본)" xfId="7222"/>
    <cellStyle name="7_결산진실성EVA_사업계획 양식_02년사업계획양식V1.0_대호(bs수정)_02년사업계획양식V2.0_02년사업계획양식V3.0_02년사업계획양식V3.0_02년사업계획양식V3.0(원본) 2" xfId="7223"/>
    <cellStyle name="7_결산진실성EVA_사업계획 양식_02년사업계획양식V1.0_대호(bs수정)_02년사업계획양식V2.0_02년사업계획양식V3.0_02년사업계획양식V3.0_02년사업계획양식V3.0(원본)_1" xfId="7224"/>
    <cellStyle name="7_결산진실성EVA_사업계획 양식_02년사업계획양식V1.0_대호(bs수정)_02년사업계획양식V2.0_02년사업계획양식V3.0_02년사업계획양식V3.0_02년사업계획양식V3.0(원본)_1 2" xfId="7225"/>
    <cellStyle name="7_결산진실성EVA_사업계획 양식_02년사업계획양식V1.0_대호(bs수정)_02년사업계획양식V3.0" xfId="7226"/>
    <cellStyle name="7_결산진실성EVA_사업계획 양식_02년사업계획양식V1.0_대호(bs수정)_02년사업계획양식V3.0 2" xfId="7227"/>
    <cellStyle name="7_결산진실성EVA_사업계획 양식_02년사업계획양식V1.0_대호(bs수정)_02년사업계획양식V3.0_02년사업계획양식V3.0" xfId="7228"/>
    <cellStyle name="7_결산진실성EVA_사업계획 양식_02년사업계획양식V1.0_대호(bs수정)_02년사업계획양식V3.0_02년사업계획양식V3.0 2" xfId="7229"/>
    <cellStyle name="7_결산진실성EVA_사업계획 양식_02년사업계획양식V1.0_대호(bs수정)_02년사업계획양식V3.0_02년사업계획양식V3.0(원본)" xfId="7230"/>
    <cellStyle name="7_결산진실성EVA_사업계획 양식_02년사업계획양식V1.0_대호(bs수정)_02년사업계획양식V3.0_02년사업계획양식V3.0(원본) 2" xfId="7231"/>
    <cellStyle name="7_결산진실성EVA_사업계획 양식_02년사업계획양식V1.0_대호(bs수정)_02년사업계획양식V3.0_02년사업계획양식V3.0(원본)_1" xfId="7232"/>
    <cellStyle name="7_결산진실성EVA_사업계획 양식_02년사업계획양식V1.0_대호(bs수정)_02년사업계획양식V3.0_02년사업계획양식V3.0(원본)_1 2" xfId="7233"/>
    <cellStyle name="7_결산진실성EVA_사업계획 양식_02년사업계획양식V2.0" xfId="7234"/>
    <cellStyle name="7_결산진실성EVA_사업계획 양식_02년사업계획양식V2.0 2" xfId="7235"/>
    <cellStyle name="7_결산진실성EVA_사업계획 양식_02년사업계획양식V2.0_02년사업계획양식V3.0" xfId="7236"/>
    <cellStyle name="7_결산진실성EVA_사업계획 양식_02년사업계획양식V2.0_02년사업계획양식V3.0 2" xfId="7237"/>
    <cellStyle name="7_결산진실성EVA_사업계획 양식_02년사업계획양식V2.0_02년사업계획양식V3.0_02년사업계획양식V3.0" xfId="7238"/>
    <cellStyle name="7_결산진실성EVA_사업계획 양식_02년사업계획양식V2.0_02년사업계획양식V3.0_02년사업계획양식V3.0 2" xfId="7239"/>
    <cellStyle name="7_결산진실성EVA_사업계획 양식_02년사업계획양식V2.0_02년사업계획양식V3.0_02년사업계획양식V3.0(원본)" xfId="7240"/>
    <cellStyle name="7_결산진실성EVA_사업계획 양식_02년사업계획양식V2.0_02년사업계획양식V3.0_02년사업계획양식V3.0(원본) 2" xfId="7241"/>
    <cellStyle name="7_결산진실성EVA_사업계획 양식_02년사업계획양식V2.0_02년사업계획양식V3.0_02년사업계획양식V3.0(원본)_1" xfId="7242"/>
    <cellStyle name="7_결산진실성EVA_사업계획 양식_02년사업계획양식V2.0_02년사업계획양식V3.0_02년사업계획양식V3.0(원본)_1 2" xfId="7243"/>
    <cellStyle name="7_결산진실성EVA_사업계획 양식_02년사업계획양식V3.0" xfId="7244"/>
    <cellStyle name="7_결산진실성EVA_사업계획 양식_02년사업계획양식V3.0 2" xfId="7245"/>
    <cellStyle name="7_결산진실성EVA_사업계획 양식_02년사업계획양식V3.0(원본)" xfId="7246"/>
    <cellStyle name="7_결산진실성EVA_사업계획 양식_02년사업계획양식V3.0(원본) 2" xfId="7247"/>
    <cellStyle name="7_결산진실성EVA_사업계획 양식_02년사업계획양식V3.0(원본)_1" xfId="7248"/>
    <cellStyle name="7_결산진실성EVA_사업계획 양식_02년사업계획양식V3.0(원본)_1 2" xfId="7249"/>
    <cellStyle name="7_결산진실성EVA_사업계획 양식_02년사업계획양식V3.0_02년사업계획양식V3.0" xfId="7250"/>
    <cellStyle name="7_결산진실성EVA_사업계획 양식_02년사업계획양식V3.0_02년사업계획양식V3.0 2" xfId="7251"/>
    <cellStyle name="7_결산진실성EVA_사업계획 양식_02년사업계획양식V3.0_02년사업계획양식V3.0_02년사업계획양식V3.0" xfId="7252"/>
    <cellStyle name="7_결산진실성EVA_사업계획 양식_02년사업계획양식V3.0_02년사업계획양식V3.0_02년사업계획양식V3.0 2" xfId="7253"/>
    <cellStyle name="7_결산진실성EVA_사업계획 양식_02년사업계획양식V3.0_02년사업계획양식V3.0_02년사업계획양식V3.0(원본)" xfId="7254"/>
    <cellStyle name="7_결산진실성EVA_사업계획 양식_02년사업계획양식V3.0_02년사업계획양식V3.0_02년사업계획양식V3.0(원본) 2" xfId="7255"/>
    <cellStyle name="7_결산진실성EVA_사업계획 양식_02년사업계획양식V3.0_02년사업계획양식V3.0_02년사업계획양식V3.0(원본)_1" xfId="7256"/>
    <cellStyle name="7_결산진실성EVA_사업계획 양식_02년사업계획양식V3.0_02년사업계획양식V3.0_02년사업계획양식V3.0(원본)_1 2" xfId="7257"/>
    <cellStyle name="7_그룹+업적보고회+보완사항" xfId="7258"/>
    <cellStyle name="7_그룹+업적보고회+보완사항 2" xfId="7259"/>
    <cellStyle name="7_본부본사배부_1022FINAL본사비축소_해외법인" xfId="7260"/>
    <cellStyle name="7_본부본사배부_1022FINAL본사비축소_해외법인 2" xfId="7261"/>
    <cellStyle name="7_사업계획 양식" xfId="7262"/>
    <cellStyle name="7_사업계획 양식 2" xfId="7263"/>
    <cellStyle name="7_사업계획 양식_02년사업계획양식V1.0_대호(bs수정)" xfId="7264"/>
    <cellStyle name="7_사업계획 양식_02년사업계획양식V1.0_대호(bs수정) 2" xfId="7265"/>
    <cellStyle name="7_사업계획 양식_02년사업계획양식V1.0_대호(bs수정)_02년사업계획양식V2.0" xfId="7266"/>
    <cellStyle name="7_사업계획 양식_02년사업계획양식V1.0_대호(bs수정)_02년사업계획양식V2.0 2" xfId="7267"/>
    <cellStyle name="7_사업계획 양식_02년사업계획양식V1.0_대호(bs수정)_02년사업계획양식V2.0_02년사업계획양식V2.0" xfId="7268"/>
    <cellStyle name="7_사업계획 양식_02년사업계획양식V1.0_대호(bs수정)_02년사업계획양식V2.0_02년사업계획양식V2.0 2" xfId="7269"/>
    <cellStyle name="7_사업계획 양식_02년사업계획양식V1.0_대호(bs수정)_02년사업계획양식V2.0_02년사업계획양식V2.0_02년사업계획양식V3.0" xfId="7270"/>
    <cellStyle name="7_사업계획 양식_02년사업계획양식V1.0_대호(bs수정)_02년사업계획양식V2.0_02년사업계획양식V2.0_02년사업계획양식V3.0 2" xfId="7271"/>
    <cellStyle name="7_사업계획 양식_02년사업계획양식V1.0_대호(bs수정)_02년사업계획양식V2.0_02년사업계획양식V2.0_02년사업계획양식V3.0_02년사업계획양식V3.0" xfId="7272"/>
    <cellStyle name="7_사업계획 양식_02년사업계획양식V1.0_대호(bs수정)_02년사업계획양식V2.0_02년사업계획양식V2.0_02년사업계획양식V3.0_02년사업계획양식V3.0 2" xfId="7273"/>
    <cellStyle name="7_사업계획 양식_02년사업계획양식V1.0_대호(bs수정)_02년사업계획양식V2.0_02년사업계획양식V2.0_02년사업계획양식V3.0_02년사업계획양식V3.0(원본)" xfId="7274"/>
    <cellStyle name="7_사업계획 양식_02년사업계획양식V1.0_대호(bs수정)_02년사업계획양식V2.0_02년사업계획양식V2.0_02년사업계획양식V3.0_02년사업계획양식V3.0(원본) 2" xfId="7275"/>
    <cellStyle name="7_사업계획 양식_02년사업계획양식V1.0_대호(bs수정)_02년사업계획양식V2.0_02년사업계획양식V2.0_02년사업계획양식V3.0_02년사업계획양식V3.0(원본)_1" xfId="7276"/>
    <cellStyle name="7_사업계획 양식_02년사업계획양식V1.0_대호(bs수정)_02년사업계획양식V2.0_02년사업계획양식V2.0_02년사업계획양식V3.0_02년사업계획양식V3.0(원본)_1 2" xfId="7277"/>
    <cellStyle name="7_사업계획 양식_02년사업계획양식V1.0_대호(bs수정)_02년사업계획양식V2.0_02년사업계획양식V3.0" xfId="7278"/>
    <cellStyle name="7_사업계획 양식_02년사업계획양식V1.0_대호(bs수정)_02년사업계획양식V2.0_02년사업계획양식V3.0 2" xfId="7279"/>
    <cellStyle name="7_사업계획 양식_02년사업계획양식V1.0_대호(bs수정)_02년사업계획양식V2.0_02년사업계획양식V3.0(원본)" xfId="7280"/>
    <cellStyle name="7_사업계획 양식_02년사업계획양식V1.0_대호(bs수정)_02년사업계획양식V2.0_02년사업계획양식V3.0(원본) 2" xfId="7281"/>
    <cellStyle name="7_사업계획 양식_02년사업계획양식V1.0_대호(bs수정)_02년사업계획양식V2.0_02년사업계획양식V3.0(원본)_1" xfId="7282"/>
    <cellStyle name="7_사업계획 양식_02년사업계획양식V1.0_대호(bs수정)_02년사업계획양식V2.0_02년사업계획양식V3.0(원본)_1 2" xfId="7283"/>
    <cellStyle name="7_사업계획 양식_02년사업계획양식V1.0_대호(bs수정)_02년사업계획양식V2.0_02년사업계획양식V3.0_02년사업계획양식V3.0" xfId="7284"/>
    <cellStyle name="7_사업계획 양식_02년사업계획양식V1.0_대호(bs수정)_02년사업계획양식V2.0_02년사업계획양식V3.0_02년사업계획양식V3.0 2" xfId="7285"/>
    <cellStyle name="7_사업계획 양식_02년사업계획양식V1.0_대호(bs수정)_02년사업계획양식V2.0_02년사업계획양식V3.0_02년사업계획양식V3.0_02년사업계획양식V3.0" xfId="7286"/>
    <cellStyle name="7_사업계획 양식_02년사업계획양식V1.0_대호(bs수정)_02년사업계획양식V2.0_02년사업계획양식V3.0_02년사업계획양식V3.0_02년사업계획양식V3.0 2" xfId="7287"/>
    <cellStyle name="7_사업계획 양식_02년사업계획양식V1.0_대호(bs수정)_02년사업계획양식V2.0_02년사업계획양식V3.0_02년사업계획양식V3.0_02년사업계획양식V3.0(원본)" xfId="7288"/>
    <cellStyle name="7_사업계획 양식_02년사업계획양식V1.0_대호(bs수정)_02년사업계획양식V2.0_02년사업계획양식V3.0_02년사업계획양식V3.0_02년사업계획양식V3.0(원본) 2" xfId="7289"/>
    <cellStyle name="7_사업계획 양식_02년사업계획양식V1.0_대호(bs수정)_02년사업계획양식V2.0_02년사업계획양식V3.0_02년사업계획양식V3.0_02년사업계획양식V3.0(원본)_1" xfId="7290"/>
    <cellStyle name="7_사업계획 양식_02년사업계획양식V1.0_대호(bs수정)_02년사업계획양식V2.0_02년사업계획양식V3.0_02년사업계획양식V3.0_02년사업계획양식V3.0(원본)_1 2" xfId="7291"/>
    <cellStyle name="7_사업계획 양식_02년사업계획양식V1.0_대호(bs수정)_02년사업계획양식V3.0" xfId="7292"/>
    <cellStyle name="7_사업계획 양식_02년사업계획양식V1.0_대호(bs수정)_02년사업계획양식V3.0 2" xfId="7293"/>
    <cellStyle name="7_사업계획 양식_02년사업계획양식V1.0_대호(bs수정)_02년사업계획양식V3.0_02년사업계획양식V3.0" xfId="7294"/>
    <cellStyle name="7_사업계획 양식_02년사업계획양식V1.0_대호(bs수정)_02년사업계획양식V3.0_02년사업계획양식V3.0 2" xfId="7295"/>
    <cellStyle name="7_사업계획 양식_02년사업계획양식V1.0_대호(bs수정)_02년사업계획양식V3.0_02년사업계획양식V3.0(원본)" xfId="7296"/>
    <cellStyle name="7_사업계획 양식_02년사업계획양식V1.0_대호(bs수정)_02년사업계획양식V3.0_02년사업계획양식V3.0(원본) 2" xfId="7297"/>
    <cellStyle name="7_사업계획 양식_02년사업계획양식V1.0_대호(bs수정)_02년사업계획양식V3.0_02년사업계획양식V3.0(원본)_1" xfId="7298"/>
    <cellStyle name="7_사업계획 양식_02년사업계획양식V1.0_대호(bs수정)_02년사업계획양식V3.0_02년사업계획양식V3.0(원본)_1 2" xfId="7299"/>
    <cellStyle name="7_사업계획 양식_02년사업계획양식V2.0" xfId="7300"/>
    <cellStyle name="7_사업계획 양식_02년사업계획양식V2.0 2" xfId="7301"/>
    <cellStyle name="7_사업계획 양식_02년사업계획양식V2.0_02년사업계획양식V3.0" xfId="7302"/>
    <cellStyle name="7_사업계획 양식_02년사업계획양식V2.0_02년사업계획양식V3.0 2" xfId="7303"/>
    <cellStyle name="7_사업계획 양식_02년사업계획양식V2.0_02년사업계획양식V3.0_02년사업계획양식V3.0" xfId="7304"/>
    <cellStyle name="7_사업계획 양식_02년사업계획양식V2.0_02년사업계획양식V3.0_02년사업계획양식V3.0 2" xfId="7305"/>
    <cellStyle name="7_사업계획 양식_02년사업계획양식V2.0_02년사업계획양식V3.0_02년사업계획양식V3.0(원본)" xfId="7306"/>
    <cellStyle name="7_사업계획 양식_02년사업계획양식V2.0_02년사업계획양식V3.0_02년사업계획양식V3.0(원본) 2" xfId="7307"/>
    <cellStyle name="7_사업계획 양식_02년사업계획양식V2.0_02년사업계획양식V3.0_02년사업계획양식V3.0(원본)_1" xfId="7308"/>
    <cellStyle name="7_사업계획 양식_02년사업계획양식V2.0_02년사업계획양식V3.0_02년사업계획양식V3.0(원본)_1 2" xfId="7309"/>
    <cellStyle name="7_사업계획 양식_02년사업계획양식V3.0" xfId="7310"/>
    <cellStyle name="7_사업계획 양식_02년사업계획양식V3.0 2" xfId="7311"/>
    <cellStyle name="7_사업계획 양식_02년사업계획양식V3.0(원본)" xfId="7312"/>
    <cellStyle name="7_사업계획 양식_02년사업계획양식V3.0(원본) 2" xfId="7313"/>
    <cellStyle name="7_사업계획 양식_02년사업계획양식V3.0(원본)_1" xfId="7314"/>
    <cellStyle name="7_사업계획 양식_02년사업계획양식V3.0(원본)_1 2" xfId="7315"/>
    <cellStyle name="7_사업계획 양식_02년사업계획양식V3.0_02년사업계획양식V3.0" xfId="7316"/>
    <cellStyle name="7_사업계획 양식_02년사업계획양식V3.0_02년사업계획양식V3.0 2" xfId="7317"/>
    <cellStyle name="7_사업계획 양식_02년사업계획양식V3.0_02년사업계획양식V3.0_02년사업계획양식V3.0" xfId="7318"/>
    <cellStyle name="7_사업계획 양식_02년사업계획양식V3.0_02년사업계획양식V3.0_02년사업계획양식V3.0 2" xfId="7319"/>
    <cellStyle name="7_사업계획 양식_02년사업계획양식V3.0_02년사업계획양식V3.0_02년사업계획양식V3.0(원본)" xfId="7320"/>
    <cellStyle name="7_사업계획 양식_02년사업계획양식V3.0_02년사업계획양식V3.0_02년사업계획양식V3.0(원본) 2" xfId="7321"/>
    <cellStyle name="7_사업계획 양식_02년사업계획양식V3.0_02년사업계획양식V3.0_02년사업계획양식V3.0(원본)_1" xfId="7322"/>
    <cellStyle name="7_사업계획 양식_02년사업계획양식V3.0_02년사업계획양식V3.0_02년사업계획양식V3.0(원본)_1 2" xfId="7323"/>
    <cellStyle name="7_전자98결산진실" xfId="7324"/>
    <cellStyle name="7_전자98결산진실 2" xfId="7325"/>
    <cellStyle name="7_전자98결산진실_02년사업계획양식V1.0" xfId="7326"/>
    <cellStyle name="7_전자98결산진실_02년사업계획양식V1.0 2" xfId="7327"/>
    <cellStyle name="7_전자98결산진실_02년사업계획양식V1.0_02년사업계획양식V1.0_고동욱_011205" xfId="7328"/>
    <cellStyle name="7_전자98결산진실_02년사업계획양식V1.0_02년사업계획양식V1.0_고동욱_011205 2" xfId="7329"/>
    <cellStyle name="7_전자98결산진실_02년사업계획양식V1.0_02년사업계획양식V1.0_고동욱_011205_02년사업계획양식V2.0" xfId="7330"/>
    <cellStyle name="7_전자98결산진실_02년사업계획양식V1.0_02년사업계획양식V1.0_고동욱_011205_02년사업계획양식V2.0 2" xfId="7331"/>
    <cellStyle name="7_전자98결산진실_02년사업계획양식V1.0_02년사업계획양식V1.0_고동욱_011205_02년사업계획양식V2.0_02년사업계획양식V2.0" xfId="7332"/>
    <cellStyle name="7_전자98결산진실_02년사업계획양식V1.0_02년사업계획양식V1.0_고동욱_011205_02년사업계획양식V2.0_02년사업계획양식V2.0 2" xfId="7333"/>
    <cellStyle name="7_전자98결산진실_02년사업계획양식V1.0_02년사업계획양식V1.0_고동욱_011205_02년사업계획양식V2.0_02년사업계획양식V2.0_02년사업계획양식V3.0" xfId="7334"/>
    <cellStyle name="7_전자98결산진실_02년사업계획양식V1.0_02년사업계획양식V1.0_고동욱_011205_02년사업계획양식V2.0_02년사업계획양식V2.0_02년사업계획양식V3.0 2" xfId="7335"/>
    <cellStyle name="7_전자98결산진실_02년사업계획양식V1.0_02년사업계획양식V1.0_고동욱_011205_02년사업계획양식V2.0_02년사업계획양식V2.0_02년사업계획양식V3.0_02년사업계획양식V3.0" xfId="7336"/>
    <cellStyle name="7_전자98결산진실_02년사업계획양식V1.0_02년사업계획양식V1.0_고동욱_011205_02년사업계획양식V2.0_02년사업계획양식V2.0_02년사업계획양식V3.0_02년사업계획양식V3.0 2" xfId="7337"/>
    <cellStyle name="7_전자98결산진실_02년사업계획양식V1.0_02년사업계획양식V1.0_고동욱_011205_02년사업계획양식V2.0_02년사업계획양식V2.0_02년사업계획양식V3.0_02년사업계획양식V3.0(원본)" xfId="7338"/>
    <cellStyle name="7_전자98결산진실_02년사업계획양식V1.0_02년사업계획양식V1.0_고동욱_011205_02년사업계획양식V2.0_02년사업계획양식V2.0_02년사업계획양식V3.0_02년사업계획양식V3.0(원본) 2" xfId="7339"/>
    <cellStyle name="7_전자98결산진실_02년사업계획양식V1.0_02년사업계획양식V1.0_고동욱_011205_02년사업계획양식V2.0_02년사업계획양식V2.0_02년사업계획양식V3.0_02년사업계획양식V3.0(원본)_1" xfId="7340"/>
    <cellStyle name="7_전자98결산진실_02년사업계획양식V1.0_02년사업계획양식V1.0_고동욱_011205_02년사업계획양식V2.0_02년사업계획양식V2.0_02년사업계획양식V3.0_02년사업계획양식V3.0(원본)_1 2" xfId="7341"/>
    <cellStyle name="7_전자98결산진실_02년사업계획양식V1.0_02년사업계획양식V1.0_고동욱_011205_02년사업계획양식V2.0_02년사업계획양식V3.0" xfId="7342"/>
    <cellStyle name="7_전자98결산진실_02년사업계획양식V1.0_02년사업계획양식V1.0_고동욱_011205_02년사업계획양식V2.0_02년사업계획양식V3.0 2" xfId="7343"/>
    <cellStyle name="7_전자98결산진실_02년사업계획양식V1.0_02년사업계획양식V1.0_고동욱_011205_02년사업계획양식V2.0_02년사업계획양식V3.0(원본)" xfId="7344"/>
    <cellStyle name="7_전자98결산진실_02년사업계획양식V1.0_02년사업계획양식V1.0_고동욱_011205_02년사업계획양식V2.0_02년사업계획양식V3.0(원본) 2" xfId="7345"/>
    <cellStyle name="7_전자98결산진실_02년사업계획양식V1.0_02년사업계획양식V1.0_고동욱_011205_02년사업계획양식V2.0_02년사업계획양식V3.0(원본)_1" xfId="7346"/>
    <cellStyle name="7_전자98결산진실_02년사업계획양식V1.0_02년사업계획양식V1.0_고동욱_011205_02년사업계획양식V2.0_02년사업계획양식V3.0(원본)_1 2" xfId="7347"/>
    <cellStyle name="7_전자98결산진실_02년사업계획양식V1.0_02년사업계획양식V1.0_고동욱_011205_02년사업계획양식V2.0_02년사업계획양식V3.0_02년사업계획양식V3.0" xfId="7348"/>
    <cellStyle name="7_전자98결산진실_02년사업계획양식V1.0_02년사업계획양식V1.0_고동욱_011205_02년사업계획양식V2.0_02년사업계획양식V3.0_02년사업계획양식V3.0 2" xfId="7349"/>
    <cellStyle name="7_전자98결산진실_02년사업계획양식V1.0_02년사업계획양식V1.0_고동욱_011205_02년사업계획양식V2.0_02년사업계획양식V3.0_02년사업계획양식V3.0_02년사업계획양식V3.0" xfId="7350"/>
    <cellStyle name="7_전자98결산진실_02년사업계획양식V1.0_02년사업계획양식V1.0_고동욱_011205_02년사업계획양식V2.0_02년사업계획양식V3.0_02년사업계획양식V3.0_02년사업계획양식V3.0 2" xfId="7351"/>
    <cellStyle name="7_전자98결산진실_02년사업계획양식V1.0_02년사업계획양식V1.0_고동욱_011205_02년사업계획양식V2.0_02년사업계획양식V3.0_02년사업계획양식V3.0_02년사업계획양식V3.0(원본)" xfId="7352"/>
    <cellStyle name="7_전자98결산진실_02년사업계획양식V1.0_02년사업계획양식V1.0_고동욱_011205_02년사업계획양식V2.0_02년사업계획양식V3.0_02년사업계획양식V3.0_02년사업계획양식V3.0(원본) 2" xfId="7353"/>
    <cellStyle name="7_전자98결산진실_02년사업계획양식V1.0_02년사업계획양식V1.0_고동욱_011205_02년사업계획양식V2.0_02년사업계획양식V3.0_02년사업계획양식V3.0_02년사업계획양식V3.0(원본)_1" xfId="7354"/>
    <cellStyle name="7_전자98결산진실_02년사업계획양식V1.0_02년사업계획양식V1.0_고동욱_011205_02년사업계획양식V2.0_02년사업계획양식V3.0_02년사업계획양식V3.0_02년사업계획양식V3.0(원본)_1 2" xfId="7355"/>
    <cellStyle name="7_전자98결산진실_02년사업계획양식V1.0_02년사업계획양식V1.0_고동욱_011205_02년사업계획양식V3.0" xfId="7356"/>
    <cellStyle name="7_전자98결산진실_02년사업계획양식V1.0_02년사업계획양식V1.0_고동욱_011205_02년사업계획양식V3.0 2" xfId="7357"/>
    <cellStyle name="7_전자98결산진실_02년사업계획양식V1.0_02년사업계획양식V1.0_고동욱_011205_02년사업계획양식V3.0_02년사업계획양식V3.0" xfId="7358"/>
    <cellStyle name="7_전자98결산진실_02년사업계획양식V1.0_02년사업계획양식V1.0_고동욱_011205_02년사업계획양식V3.0_02년사업계획양식V3.0 2" xfId="7359"/>
    <cellStyle name="7_전자98결산진실_02년사업계획양식V1.0_02년사업계획양식V1.0_고동욱_011205_02년사업계획양식V3.0_02년사업계획양식V3.0(원본)" xfId="7360"/>
    <cellStyle name="7_전자98결산진실_02년사업계획양식V1.0_02년사업계획양식V1.0_고동욱_011205_02년사업계획양식V3.0_02년사업계획양식V3.0(원본) 2" xfId="7361"/>
    <cellStyle name="7_전자98결산진실_02년사업계획양식V1.0_02년사업계획양식V1.0_고동욱_011205_02년사업계획양식V3.0_02년사업계획양식V3.0(원본)_1" xfId="7362"/>
    <cellStyle name="7_전자98결산진실_02년사업계획양식V1.0_02년사업계획양식V1.0_고동욱_011205_02년사업계획양식V3.0_02년사업계획양식V3.0(원본)_1 2" xfId="7363"/>
    <cellStyle name="7_전자98결산진실_02년사업계획양식V1.0_02년사업계획양식V1.0_대호(bs수정)" xfId="7364"/>
    <cellStyle name="7_전자98결산진실_02년사업계획양식V1.0_02년사업계획양식V1.0_대호(bs수정) 2" xfId="7365"/>
    <cellStyle name="7_전자98결산진실_02년사업계획양식V1.0_02년사업계획양식V1.0_대호(bs수정)_02년사업계획양식V2.0" xfId="7366"/>
    <cellStyle name="7_전자98결산진실_02년사업계획양식V1.0_02년사업계획양식V1.0_대호(bs수정)_02년사업계획양식V2.0 2" xfId="7367"/>
    <cellStyle name="7_전자98결산진실_02년사업계획양식V1.0_02년사업계획양식V1.0_대호(bs수정)_02년사업계획양식V2.0_02년사업계획양식V2.0" xfId="7368"/>
    <cellStyle name="7_전자98결산진실_02년사업계획양식V1.0_02년사업계획양식V1.0_대호(bs수정)_02년사업계획양식V2.0_02년사업계획양식V2.0 2" xfId="7369"/>
    <cellStyle name="7_전자98결산진실_02년사업계획양식V1.0_02년사업계획양식V1.0_대호(bs수정)_02년사업계획양식V2.0_02년사업계획양식V2.0_02년사업계획양식V3.0" xfId="7370"/>
    <cellStyle name="7_전자98결산진실_02년사업계획양식V1.0_02년사업계획양식V1.0_대호(bs수정)_02년사업계획양식V2.0_02년사업계획양식V2.0_02년사업계획양식V3.0 2" xfId="7371"/>
    <cellStyle name="7_전자98결산진실_02년사업계획양식V1.0_02년사업계획양식V1.0_대호(bs수정)_02년사업계획양식V2.0_02년사업계획양식V2.0_02년사업계획양식V3.0_02년사업계획양식V3.0" xfId="7372"/>
    <cellStyle name="7_전자98결산진실_02년사업계획양식V1.0_02년사업계획양식V1.0_대호(bs수정)_02년사업계획양식V2.0_02년사업계획양식V2.0_02년사업계획양식V3.0_02년사업계획양식V3.0 2" xfId="7373"/>
    <cellStyle name="7_전자98결산진실_02년사업계획양식V1.0_02년사업계획양식V1.0_대호(bs수정)_02년사업계획양식V2.0_02년사업계획양식V2.0_02년사업계획양식V3.0_02년사업계획양식V3.0(원본)" xfId="7374"/>
    <cellStyle name="7_전자98결산진실_02년사업계획양식V1.0_02년사업계획양식V1.0_대호(bs수정)_02년사업계획양식V2.0_02년사업계획양식V2.0_02년사업계획양식V3.0_02년사업계획양식V3.0(원본) 2" xfId="7375"/>
    <cellStyle name="7_전자98결산진실_02년사업계획양식V1.0_02년사업계획양식V1.0_대호(bs수정)_02년사업계획양식V2.0_02년사업계획양식V2.0_02년사업계획양식V3.0_02년사업계획양식V3.0(원본)_1" xfId="7376"/>
    <cellStyle name="7_전자98결산진실_02년사업계획양식V1.0_02년사업계획양식V1.0_대호(bs수정)_02년사업계획양식V2.0_02년사업계획양식V2.0_02년사업계획양식V3.0_02년사업계획양식V3.0(원본)_1 2" xfId="7377"/>
    <cellStyle name="7_전자98결산진실_02년사업계획양식V1.0_02년사업계획양식V1.0_대호(bs수정)_02년사업계획양식V2.0_02년사업계획양식V3.0" xfId="7378"/>
    <cellStyle name="7_전자98결산진실_02년사업계획양식V1.0_02년사업계획양식V1.0_대호(bs수정)_02년사업계획양식V2.0_02년사업계획양식V3.0 2" xfId="7379"/>
    <cellStyle name="7_전자98결산진실_02년사업계획양식V1.0_02년사업계획양식V1.0_대호(bs수정)_02년사업계획양식V2.0_02년사업계획양식V3.0(원본)" xfId="7380"/>
    <cellStyle name="7_전자98결산진실_02년사업계획양식V1.0_02년사업계획양식V1.0_대호(bs수정)_02년사업계획양식V2.0_02년사업계획양식V3.0(원본) 2" xfId="7381"/>
    <cellStyle name="7_전자98결산진실_02년사업계획양식V1.0_02년사업계획양식V1.0_대호(bs수정)_02년사업계획양식V2.0_02년사업계획양식V3.0(원본)_1" xfId="7382"/>
    <cellStyle name="7_전자98결산진실_02년사업계획양식V1.0_02년사업계획양식V1.0_대호(bs수정)_02년사업계획양식V2.0_02년사업계획양식V3.0(원본)_1 2" xfId="7383"/>
    <cellStyle name="7_전자98결산진실_02년사업계획양식V1.0_02년사업계획양식V1.0_대호(bs수정)_02년사업계획양식V2.0_02년사업계획양식V3.0_02년사업계획양식V3.0" xfId="7384"/>
    <cellStyle name="7_전자98결산진실_02년사업계획양식V1.0_02년사업계획양식V1.0_대호(bs수정)_02년사업계획양식V2.0_02년사업계획양식V3.0_02년사업계획양식V3.0 2" xfId="7385"/>
    <cellStyle name="7_전자98결산진실_02년사업계획양식V1.0_02년사업계획양식V1.0_대호(bs수정)_02년사업계획양식V2.0_02년사업계획양식V3.0_02년사업계획양식V3.0_02년사업계획양식V3.0" xfId="7386"/>
    <cellStyle name="7_전자98결산진실_02년사업계획양식V1.0_02년사업계획양식V1.0_대호(bs수정)_02년사업계획양식V2.0_02년사업계획양식V3.0_02년사업계획양식V3.0_02년사업계획양식V3.0 2" xfId="7387"/>
    <cellStyle name="7_전자98결산진실_02년사업계획양식V1.0_02년사업계획양식V1.0_대호(bs수정)_02년사업계획양식V2.0_02년사업계획양식V3.0_02년사업계획양식V3.0_02년사업계획양식V3.0(원본)" xfId="7388"/>
    <cellStyle name="7_전자98결산진실_02년사업계획양식V1.0_02년사업계획양식V1.0_대호(bs수정)_02년사업계획양식V2.0_02년사업계획양식V3.0_02년사업계획양식V3.0_02년사업계획양식V3.0(원본) 2" xfId="7389"/>
    <cellStyle name="7_전자98결산진실_02년사업계획양식V1.0_02년사업계획양식V1.0_대호(bs수정)_02년사업계획양식V2.0_02년사업계획양식V3.0_02년사업계획양식V3.0_02년사업계획양식V3.0(원본)_1" xfId="7390"/>
    <cellStyle name="7_전자98결산진실_02년사업계획양식V1.0_02년사업계획양식V1.0_대호(bs수정)_02년사업계획양식V2.0_02년사업계획양식V3.0_02년사업계획양식V3.0_02년사업계획양식V3.0(원본)_1 2" xfId="7391"/>
    <cellStyle name="7_전자98결산진실_02년사업계획양식V1.0_02년사업계획양식V1.0_대호(bs수정)_02년사업계획양식V3.0" xfId="7392"/>
    <cellStyle name="7_전자98결산진실_02년사업계획양식V1.0_02년사업계획양식V1.0_대호(bs수정)_02년사업계획양식V3.0 2" xfId="7393"/>
    <cellStyle name="7_전자98결산진실_02년사업계획양식V1.0_02년사업계획양식V1.0_대호(bs수정)_02년사업계획양식V3.0_02년사업계획양식V3.0" xfId="7394"/>
    <cellStyle name="7_전자98결산진실_02년사업계획양식V1.0_02년사업계획양식V1.0_대호(bs수정)_02년사업계획양식V3.0_02년사업계획양식V3.0 2" xfId="7395"/>
    <cellStyle name="7_전자98결산진실_02년사업계획양식V1.0_02년사업계획양식V1.0_대호(bs수정)_02년사업계획양식V3.0_02년사업계획양식V3.0(원본)" xfId="7396"/>
    <cellStyle name="7_전자98결산진실_02년사업계획양식V1.0_02년사업계획양식V1.0_대호(bs수정)_02년사업계획양식V3.0_02년사업계획양식V3.0(원본) 2" xfId="7397"/>
    <cellStyle name="7_전자98결산진실_02년사업계획양식V1.0_02년사업계획양식V1.0_대호(bs수정)_02년사업계획양식V3.0_02년사업계획양식V3.0(원본)_1" xfId="7398"/>
    <cellStyle name="7_전자98결산진실_02년사업계획양식V1.0_02년사업계획양식V1.0_대호(bs수정)_02년사업계획양식V3.0_02년사업계획양식V3.0(원본)_1 2" xfId="7399"/>
    <cellStyle name="7_전자98결산진실_02년사업계획양식V1.0_02년사업계획양식V2.0" xfId="7400"/>
    <cellStyle name="7_전자98결산진실_02년사업계획양식V1.0_02년사업계획양식V2.0 2" xfId="7401"/>
    <cellStyle name="7_전자98결산진실_02년사업계획양식V1.0_02년사업계획양식V2.0_02년사업계획양식V3.0" xfId="7402"/>
    <cellStyle name="7_전자98결산진실_02년사업계획양식V1.0_02년사업계획양식V2.0_02년사업계획양식V3.0 2" xfId="7403"/>
    <cellStyle name="7_전자98결산진실_02년사업계획양식V1.0_02년사업계획양식V2.0_02년사업계획양식V3.0_02년사업계획양식V3.0" xfId="7404"/>
    <cellStyle name="7_전자98결산진실_02년사업계획양식V1.0_02년사업계획양식V2.0_02년사업계획양식V3.0_02년사업계획양식V3.0 2" xfId="7405"/>
    <cellStyle name="7_전자98결산진실_02년사업계획양식V1.0_02년사업계획양식V2.0_02년사업계획양식V3.0_02년사업계획양식V3.0(원본)" xfId="7406"/>
    <cellStyle name="7_전자98결산진실_02년사업계획양식V1.0_02년사업계획양식V2.0_02년사업계획양식V3.0_02년사업계획양식V3.0(원본) 2" xfId="7407"/>
    <cellStyle name="7_전자98결산진실_02년사업계획양식V1.0_02년사업계획양식V2.0_02년사업계획양식V3.0_02년사업계획양식V3.0(원본)_1" xfId="7408"/>
    <cellStyle name="7_전자98결산진실_02년사업계획양식V1.0_02년사업계획양식V2.0_02년사업계획양식V3.0_02년사업계획양식V3.0(원본)_1 2" xfId="7409"/>
    <cellStyle name="7_전자98결산진실_02년사업계획양식V1.0_02년사업계획양식V3.0" xfId="7410"/>
    <cellStyle name="7_전자98결산진실_02년사업계획양식V1.0_02년사업계획양식V3.0 2" xfId="7411"/>
    <cellStyle name="7_전자98결산진실_02년사업계획양식V1.0_02년사업계획양식V3.0(원본)" xfId="7412"/>
    <cellStyle name="7_전자98결산진실_02년사업계획양식V1.0_02년사업계획양식V3.0(원본) 2" xfId="7413"/>
    <cellStyle name="7_전자98결산진실_02년사업계획양식V1.0_02년사업계획양식V3.0(원본)_1" xfId="7414"/>
    <cellStyle name="7_전자98결산진실_02년사업계획양식V1.0_02년사업계획양식V3.0(원본)_1 2" xfId="7415"/>
    <cellStyle name="7_전자98결산진실_02년사업계획양식V1.0_02년사업계획양식V3.0_02년사업계획양식V3.0" xfId="7416"/>
    <cellStyle name="7_전자98결산진실_02년사업계획양식V1.0_02년사업계획양식V3.0_02년사업계획양식V3.0 2" xfId="7417"/>
    <cellStyle name="7_전자98결산진실_02년사업계획양식V1.0_02년사업계획양식V3.0_02년사업계획양식V3.0_02년사업계획양식V3.0" xfId="7418"/>
    <cellStyle name="7_전자98결산진실_02년사업계획양식V1.0_02년사업계획양식V3.0_02년사업계획양식V3.0_02년사업계획양식V3.0 2" xfId="7419"/>
    <cellStyle name="7_전자98결산진실_02년사업계획양식V1.0_02년사업계획양식V3.0_02년사업계획양식V3.0_02년사업계획양식V3.0(원본)" xfId="7420"/>
    <cellStyle name="7_전자98결산진실_02년사업계획양식V1.0_02년사업계획양식V3.0_02년사업계획양식V3.0_02년사업계획양식V3.0(원본) 2" xfId="7421"/>
    <cellStyle name="7_전자98결산진실_02년사업계획양식V1.0_02년사업계획양식V3.0_02년사업계획양식V3.0_02년사업계획양식V3.0(원본)_1" xfId="7422"/>
    <cellStyle name="7_전자98결산진실_02년사업계획양식V1.0_02년사업계획양식V3.0_02년사업계획양식V3.0_02년사업계획양식V3.0(원본)_1 2" xfId="7423"/>
    <cellStyle name="7_전자98결산진실_02년사업계획양식V1.0_고동욱_011130" xfId="7424"/>
    <cellStyle name="7_전자98결산진실_02년사업계획양식V1.0_고동욱_011130 2" xfId="7425"/>
    <cellStyle name="7_전자98결산진실_02년사업계획양식V1.0_고동욱_011130_02년사업계획양식V2.0" xfId="7426"/>
    <cellStyle name="7_전자98결산진실_02년사업계획양식V1.0_고동욱_011130_02년사업계획양식V2.0 2" xfId="7427"/>
    <cellStyle name="7_전자98결산진실_02년사업계획양식V1.0_고동욱_011130_02년사업계획양식V2.0_02년사업계획양식V2.0" xfId="7428"/>
    <cellStyle name="7_전자98결산진실_02년사업계획양식V1.0_고동욱_011130_02년사업계획양식V2.0_02년사업계획양식V2.0 2" xfId="7429"/>
    <cellStyle name="7_전자98결산진실_02년사업계획양식V1.0_고동욱_011130_02년사업계획양식V2.0_02년사업계획양식V2.0_02년사업계획양식V3.0" xfId="7430"/>
    <cellStyle name="7_전자98결산진실_02년사업계획양식V1.0_고동욱_011130_02년사업계획양식V2.0_02년사업계획양식V2.0_02년사업계획양식V3.0 2" xfId="7431"/>
    <cellStyle name="7_전자98결산진실_02년사업계획양식V1.0_고동욱_011130_02년사업계획양식V2.0_02년사업계획양식V2.0_02년사업계획양식V3.0_02년사업계획양식V3.0" xfId="7432"/>
    <cellStyle name="7_전자98결산진실_02년사업계획양식V1.0_고동욱_011130_02년사업계획양식V2.0_02년사업계획양식V2.0_02년사업계획양식V3.0_02년사업계획양식V3.0 2" xfId="7433"/>
    <cellStyle name="7_전자98결산진실_02년사업계획양식V1.0_고동욱_011130_02년사업계획양식V2.0_02년사업계획양식V2.0_02년사업계획양식V3.0_02년사업계획양식V3.0(원본)" xfId="7434"/>
    <cellStyle name="7_전자98결산진실_02년사업계획양식V1.0_고동욱_011130_02년사업계획양식V2.0_02년사업계획양식V2.0_02년사업계획양식V3.0_02년사업계획양식V3.0(원본) 2" xfId="7435"/>
    <cellStyle name="7_전자98결산진실_02년사업계획양식V1.0_고동욱_011130_02년사업계획양식V2.0_02년사업계획양식V2.0_02년사업계획양식V3.0_02년사업계획양식V3.0(원본)_1" xfId="7436"/>
    <cellStyle name="7_전자98결산진실_02년사업계획양식V1.0_고동욱_011130_02년사업계획양식V2.0_02년사업계획양식V2.0_02년사업계획양식V3.0_02년사업계획양식V3.0(원본)_1 2" xfId="7437"/>
    <cellStyle name="7_전자98결산진실_02년사업계획양식V1.0_고동욱_011130_02년사업계획양식V2.0_02년사업계획양식V3.0" xfId="7438"/>
    <cellStyle name="7_전자98결산진실_02년사업계획양식V1.0_고동욱_011130_02년사업계획양식V2.0_02년사업계획양식V3.0 2" xfId="7439"/>
    <cellStyle name="7_전자98결산진실_02년사업계획양식V1.0_고동욱_011130_02년사업계획양식V2.0_02년사업계획양식V3.0(원본)" xfId="7440"/>
    <cellStyle name="7_전자98결산진실_02년사업계획양식V1.0_고동욱_011130_02년사업계획양식V2.0_02년사업계획양식V3.0(원본) 2" xfId="7441"/>
    <cellStyle name="7_전자98결산진실_02년사업계획양식V1.0_고동욱_011130_02년사업계획양식V2.0_02년사업계획양식V3.0(원본)_1" xfId="7442"/>
    <cellStyle name="7_전자98결산진실_02년사업계획양식V1.0_고동욱_011130_02년사업계획양식V2.0_02년사업계획양식V3.0(원본)_1 2" xfId="7443"/>
    <cellStyle name="7_전자98결산진실_02년사업계획양식V1.0_고동욱_011130_02년사업계획양식V2.0_02년사업계획양식V3.0_02년사업계획양식V3.0" xfId="7444"/>
    <cellStyle name="7_전자98결산진실_02년사업계획양식V1.0_고동욱_011130_02년사업계획양식V2.0_02년사업계획양식V3.0_02년사업계획양식V3.0 2" xfId="7445"/>
    <cellStyle name="7_전자98결산진실_02년사업계획양식V1.0_고동욱_011130_02년사업계획양식V2.0_02년사업계획양식V3.0_02년사업계획양식V3.0_02년사업계획양식V3.0" xfId="7446"/>
    <cellStyle name="7_전자98결산진실_02년사업계획양식V1.0_고동욱_011130_02년사업계획양식V2.0_02년사업계획양식V3.0_02년사업계획양식V3.0_02년사업계획양식V3.0 2" xfId="7447"/>
    <cellStyle name="7_전자98결산진실_02년사업계획양식V1.0_고동욱_011130_02년사업계획양식V2.0_02년사업계획양식V3.0_02년사업계획양식V3.0_02년사업계획양식V3.0(원본)" xfId="7448"/>
    <cellStyle name="7_전자98결산진실_02년사업계획양식V1.0_고동욱_011130_02년사업계획양식V2.0_02년사업계획양식V3.0_02년사업계획양식V3.0_02년사업계획양식V3.0(원본) 2" xfId="7449"/>
    <cellStyle name="7_전자98결산진실_02년사업계획양식V1.0_고동욱_011130_02년사업계획양식V2.0_02년사업계획양식V3.0_02년사업계획양식V3.0_02년사업계획양식V3.0(원본)_1" xfId="7450"/>
    <cellStyle name="7_전자98결산진실_02년사업계획양식V1.0_고동욱_011130_02년사업계획양식V2.0_02년사업계획양식V3.0_02년사업계획양식V3.0_02년사업계획양식V3.0(원본)_1 2" xfId="7451"/>
    <cellStyle name="7_전자98결산진실_02년사업계획양식V1.0_고동욱_011130_02년사업계획양식V3.0" xfId="7452"/>
    <cellStyle name="7_전자98결산진실_02년사업계획양식V1.0_고동욱_011130_02년사업계획양식V3.0 2" xfId="7453"/>
    <cellStyle name="7_전자98결산진실_02년사업계획양식V1.0_고동욱_011130_02년사업계획양식V3.0_02년사업계획양식V3.0" xfId="7454"/>
    <cellStyle name="7_전자98결산진실_02년사업계획양식V1.0_고동욱_011130_02년사업계획양식V3.0_02년사업계획양식V3.0 2" xfId="7455"/>
    <cellStyle name="7_전자98결산진실_02년사업계획양식V1.0_고동욱_011130_02년사업계획양식V3.0_02년사업계획양식V3.0(원본)" xfId="7456"/>
    <cellStyle name="7_전자98결산진실_02년사업계획양식V1.0_고동욱_011130_02년사업계획양식V3.0_02년사업계획양식V3.0(원본) 2" xfId="7457"/>
    <cellStyle name="7_전자98결산진실_02년사업계획양식V1.0_고동욱_011130_02년사업계획양식V3.0_02년사업계획양식V3.0(원본)_1" xfId="7458"/>
    <cellStyle name="7_전자98결산진실_02년사업계획양식V1.0_고동욱_011130_02년사업계획양식V3.0_02년사업계획양식V3.0(원본)_1 2" xfId="7459"/>
    <cellStyle name="7_전자98결산진실_02년사업계획양식V1.0_고동욱_011205" xfId="7460"/>
    <cellStyle name="7_전자98결산진실_02년사업계획양식V1.0_고동욱_011205 2" xfId="7461"/>
    <cellStyle name="7_전자98결산진실_02년사업계획양식V1.0_고동욱_011205_02년사업계획양식V2.0" xfId="7462"/>
    <cellStyle name="7_전자98결산진실_02년사업계획양식V1.0_고동욱_011205_02년사업계획양식V2.0 2" xfId="7463"/>
    <cellStyle name="7_전자98결산진실_02년사업계획양식V1.0_고동욱_011205_02년사업계획양식V2.0_02년사업계획양식V2.0" xfId="7464"/>
    <cellStyle name="7_전자98결산진실_02년사업계획양식V1.0_고동욱_011205_02년사업계획양식V2.0_02년사업계획양식V2.0 2" xfId="7465"/>
    <cellStyle name="7_전자98결산진실_02년사업계획양식V1.0_고동욱_011205_02년사업계획양식V2.0_02년사업계획양식V2.0_02년사업계획양식V3.0" xfId="7466"/>
    <cellStyle name="7_전자98결산진실_02년사업계획양식V1.0_고동욱_011205_02년사업계획양식V2.0_02년사업계획양식V2.0_02년사업계획양식V3.0 2" xfId="7467"/>
    <cellStyle name="7_전자98결산진실_02년사업계획양식V1.0_고동욱_011205_02년사업계획양식V2.0_02년사업계획양식V2.0_02년사업계획양식V3.0_02년사업계획양식V3.0" xfId="7468"/>
    <cellStyle name="7_전자98결산진실_02년사업계획양식V1.0_고동욱_011205_02년사업계획양식V2.0_02년사업계획양식V2.0_02년사업계획양식V3.0_02년사업계획양식V3.0 2" xfId="7469"/>
    <cellStyle name="7_전자98결산진실_02년사업계획양식V1.0_고동욱_011205_02년사업계획양식V2.0_02년사업계획양식V2.0_02년사업계획양식V3.0_02년사업계획양식V3.0(원본)" xfId="7470"/>
    <cellStyle name="7_전자98결산진실_02년사업계획양식V1.0_고동욱_011205_02년사업계획양식V2.0_02년사업계획양식V2.0_02년사업계획양식V3.0_02년사업계획양식V3.0(원본) 2" xfId="7471"/>
    <cellStyle name="7_전자98결산진실_02년사업계획양식V1.0_고동욱_011205_02년사업계획양식V2.0_02년사업계획양식V2.0_02년사업계획양식V3.0_02년사업계획양식V3.0(원본)_1" xfId="7472"/>
    <cellStyle name="7_전자98결산진실_02년사업계획양식V1.0_고동욱_011205_02년사업계획양식V2.0_02년사업계획양식V2.0_02년사업계획양식V3.0_02년사업계획양식V3.0(원본)_1 2" xfId="7473"/>
    <cellStyle name="7_전자98결산진실_02년사업계획양식V1.0_고동욱_011205_02년사업계획양식V2.0_02년사업계획양식V3.0" xfId="7474"/>
    <cellStyle name="7_전자98결산진실_02년사업계획양식V1.0_고동욱_011205_02년사업계획양식V2.0_02년사업계획양식V3.0 2" xfId="7475"/>
    <cellStyle name="7_전자98결산진실_02년사업계획양식V1.0_고동욱_011205_02년사업계획양식V2.0_02년사업계획양식V3.0(원본)" xfId="7476"/>
    <cellStyle name="7_전자98결산진실_02년사업계획양식V1.0_고동욱_011205_02년사업계획양식V2.0_02년사업계획양식V3.0(원본) 2" xfId="7477"/>
    <cellStyle name="7_전자98결산진실_02년사업계획양식V1.0_고동욱_011205_02년사업계획양식V2.0_02년사업계획양식V3.0(원본)_1" xfId="7478"/>
    <cellStyle name="7_전자98결산진실_02년사업계획양식V1.0_고동욱_011205_02년사업계획양식V2.0_02년사업계획양식V3.0(원본)_1 2" xfId="7479"/>
    <cellStyle name="7_전자98결산진실_02년사업계획양식V1.0_고동욱_011205_02년사업계획양식V2.0_02년사업계획양식V3.0_02년사업계획양식V3.0" xfId="7480"/>
    <cellStyle name="7_전자98결산진실_02년사업계획양식V1.0_고동욱_011205_02년사업계획양식V2.0_02년사업계획양식V3.0_02년사업계획양식V3.0 2" xfId="7481"/>
    <cellStyle name="7_전자98결산진실_02년사업계획양식V1.0_고동욱_011205_02년사업계획양식V2.0_02년사업계획양식V3.0_02년사업계획양식V3.0_02년사업계획양식V3.0" xfId="7482"/>
    <cellStyle name="7_전자98결산진실_02년사업계획양식V1.0_고동욱_011205_02년사업계획양식V2.0_02년사업계획양식V3.0_02년사업계획양식V3.0_02년사업계획양식V3.0 2" xfId="7483"/>
    <cellStyle name="7_전자98결산진실_02년사업계획양식V1.0_고동욱_011205_02년사업계획양식V2.0_02년사업계획양식V3.0_02년사업계획양식V3.0_02년사업계획양식V3.0(원본)" xfId="7484"/>
    <cellStyle name="7_전자98결산진실_02년사업계획양식V1.0_고동욱_011205_02년사업계획양식V2.0_02년사업계획양식V3.0_02년사업계획양식V3.0_02년사업계획양식V3.0(원본) 2" xfId="7485"/>
    <cellStyle name="7_전자98결산진실_02년사업계획양식V1.0_고동욱_011205_02년사업계획양식V2.0_02년사업계획양식V3.0_02년사업계획양식V3.0_02년사업계획양식V3.0(원본)_1" xfId="7486"/>
    <cellStyle name="7_전자98결산진실_02년사업계획양식V1.0_고동욱_011205_02년사업계획양식V2.0_02년사업계획양식V3.0_02년사업계획양식V3.0_02년사업계획양식V3.0(원본)_1 2" xfId="7487"/>
    <cellStyle name="7_전자98결산진실_02년사업계획양식V1.0_고동욱_011205_02년사업계획양식V3.0" xfId="7488"/>
    <cellStyle name="7_전자98결산진실_02년사업계획양식V1.0_고동욱_011205_02년사업계획양식V3.0 2" xfId="7489"/>
    <cellStyle name="7_전자98결산진실_02년사업계획양식V1.0_고동욱_011205_02년사업계획양식V3.0_02년사업계획양식V3.0" xfId="7490"/>
    <cellStyle name="7_전자98결산진실_02년사업계획양식V1.0_고동욱_011205_02년사업계획양식V3.0_02년사업계획양식V3.0 2" xfId="7491"/>
    <cellStyle name="7_전자98결산진실_02년사업계획양식V1.0_고동욱_011205_02년사업계획양식V3.0_02년사업계획양식V3.0(원본)" xfId="7492"/>
    <cellStyle name="7_전자98결산진실_02년사업계획양식V1.0_고동욱_011205_02년사업계획양식V3.0_02년사업계획양식V3.0(원본) 2" xfId="7493"/>
    <cellStyle name="7_전자98결산진실_02년사업계획양식V1.0_고동욱_011205_02년사업계획양식V3.0_02년사업계획양식V3.0(원본)_1" xfId="7494"/>
    <cellStyle name="7_전자98결산진실_02년사업계획양식V1.0_고동욱_011205_02년사업계획양식V3.0_02년사업계획양식V3.0(원본)_1 2" xfId="7495"/>
    <cellStyle name="7_전자98결산진실_02년사업계획양식V1.0_대호(bs수정)" xfId="7496"/>
    <cellStyle name="7_전자98결산진실_02년사업계획양식V1.0_대호(bs수정) 2" xfId="7497"/>
    <cellStyle name="7_전자98결산진실_02년사업계획양식V1.0_대호(bs수정)_02년사업계획양식V2.0" xfId="7498"/>
    <cellStyle name="7_전자98결산진실_02년사업계획양식V1.0_대호(bs수정)_02년사업계획양식V2.0 2" xfId="7499"/>
    <cellStyle name="7_전자98결산진실_02년사업계획양식V1.0_대호(bs수정)_02년사업계획양식V2.0_02년사업계획양식V2.0" xfId="7500"/>
    <cellStyle name="7_전자98결산진실_02년사업계획양식V1.0_대호(bs수정)_02년사업계획양식V2.0_02년사업계획양식V2.0 2" xfId="7501"/>
    <cellStyle name="7_전자98결산진실_02년사업계획양식V1.0_대호(bs수정)_02년사업계획양식V2.0_02년사업계획양식V2.0_02년사업계획양식V3.0" xfId="7502"/>
    <cellStyle name="7_전자98결산진실_02년사업계획양식V1.0_대호(bs수정)_02년사업계획양식V2.0_02년사업계획양식V2.0_02년사업계획양식V3.0 2" xfId="7503"/>
    <cellStyle name="7_전자98결산진실_02년사업계획양식V1.0_대호(bs수정)_02년사업계획양식V2.0_02년사업계획양식V2.0_02년사업계획양식V3.0_02년사업계획양식V3.0" xfId="7504"/>
    <cellStyle name="7_전자98결산진실_02년사업계획양식V1.0_대호(bs수정)_02년사업계획양식V2.0_02년사업계획양식V2.0_02년사업계획양식V3.0_02년사업계획양식V3.0 2" xfId="7505"/>
    <cellStyle name="7_전자98결산진실_02년사업계획양식V1.0_대호(bs수정)_02년사업계획양식V2.0_02년사업계획양식V2.0_02년사업계획양식V3.0_02년사업계획양식V3.0(원본)" xfId="7506"/>
    <cellStyle name="7_전자98결산진실_02년사업계획양식V1.0_대호(bs수정)_02년사업계획양식V2.0_02년사업계획양식V2.0_02년사업계획양식V3.0_02년사업계획양식V3.0(원본) 2" xfId="7507"/>
    <cellStyle name="7_전자98결산진실_02년사업계획양식V1.0_대호(bs수정)_02년사업계획양식V2.0_02년사업계획양식V2.0_02년사업계획양식V3.0_02년사업계획양식V3.0(원본)_1" xfId="7508"/>
    <cellStyle name="7_전자98결산진실_02년사업계획양식V1.0_대호(bs수정)_02년사업계획양식V2.0_02년사업계획양식V2.0_02년사업계획양식V3.0_02년사업계획양식V3.0(원본)_1 2" xfId="7509"/>
    <cellStyle name="7_전자98결산진실_02년사업계획양식V1.0_대호(bs수정)_02년사업계획양식V2.0_02년사업계획양식V3.0" xfId="7510"/>
    <cellStyle name="7_전자98결산진실_02년사업계획양식V1.0_대호(bs수정)_02년사업계획양식V2.0_02년사업계획양식V3.0 2" xfId="7511"/>
    <cellStyle name="7_전자98결산진실_02년사업계획양식V1.0_대호(bs수정)_02년사업계획양식V2.0_02년사업계획양식V3.0(원본)" xfId="7512"/>
    <cellStyle name="7_전자98결산진실_02년사업계획양식V1.0_대호(bs수정)_02년사업계획양식V2.0_02년사업계획양식V3.0(원본) 2" xfId="7513"/>
    <cellStyle name="7_전자98결산진실_02년사업계획양식V1.0_대호(bs수정)_02년사업계획양식V2.0_02년사업계획양식V3.0(원본)_1" xfId="7514"/>
    <cellStyle name="7_전자98결산진실_02년사업계획양식V1.0_대호(bs수정)_02년사업계획양식V2.0_02년사업계획양식V3.0(원본)_1 2" xfId="7515"/>
    <cellStyle name="7_전자98결산진실_02년사업계획양식V1.0_대호(bs수정)_02년사업계획양식V2.0_02년사업계획양식V3.0_02년사업계획양식V3.0" xfId="7516"/>
    <cellStyle name="7_전자98결산진실_02년사업계획양식V1.0_대호(bs수정)_02년사업계획양식V2.0_02년사업계획양식V3.0_02년사업계획양식V3.0 2" xfId="7517"/>
    <cellStyle name="7_전자98결산진실_02년사업계획양식V1.0_대호(bs수정)_02년사업계획양식V2.0_02년사업계획양식V3.0_02년사업계획양식V3.0_02년사업계획양식V3.0" xfId="7518"/>
    <cellStyle name="7_전자98결산진실_02년사업계획양식V1.0_대호(bs수정)_02년사업계획양식V2.0_02년사업계획양식V3.0_02년사업계획양식V3.0_02년사업계획양식V3.0 2" xfId="7519"/>
    <cellStyle name="7_전자98결산진실_02년사업계획양식V1.0_대호(bs수정)_02년사업계획양식V2.0_02년사업계획양식V3.0_02년사업계획양식V3.0_02년사업계획양식V3.0(원본)" xfId="7520"/>
    <cellStyle name="7_전자98결산진실_02년사업계획양식V1.0_대호(bs수정)_02년사업계획양식V2.0_02년사업계획양식V3.0_02년사업계획양식V3.0_02년사업계획양식V3.0(원본) 2" xfId="7521"/>
    <cellStyle name="7_전자98결산진실_02년사업계획양식V1.0_대호(bs수정)_02년사업계획양식V2.0_02년사업계획양식V3.0_02년사업계획양식V3.0_02년사업계획양식V3.0(원본)_1" xfId="7522"/>
    <cellStyle name="7_전자98결산진실_02년사업계획양식V1.0_대호(bs수정)_02년사업계획양식V2.0_02년사업계획양식V3.0_02년사업계획양식V3.0_02년사업계획양식V3.0(원본)_1 2" xfId="7523"/>
    <cellStyle name="7_전자98결산진실_02년사업계획양식V1.0_대호(bs수정)_02년사업계획양식V3.0" xfId="7524"/>
    <cellStyle name="7_전자98결산진실_02년사업계획양식V1.0_대호(bs수정)_02년사업계획양식V3.0 2" xfId="7525"/>
    <cellStyle name="7_전자98결산진실_02년사업계획양식V1.0_대호(bs수정)_02년사업계획양식V3.0_02년사업계획양식V3.0" xfId="7526"/>
    <cellStyle name="7_전자98결산진실_02년사업계획양식V1.0_대호(bs수정)_02년사업계획양식V3.0_02년사업계획양식V3.0 2" xfId="7527"/>
    <cellStyle name="7_전자98결산진실_02년사업계획양식V1.0_대호(bs수정)_02년사업계획양식V3.0_02년사업계획양식V3.0(원본)" xfId="7528"/>
    <cellStyle name="7_전자98결산진실_02년사업계획양식V1.0_대호(bs수정)_02년사업계획양식V3.0_02년사업계획양식V3.0(원본) 2" xfId="7529"/>
    <cellStyle name="7_전자98결산진실_02년사업계획양식V1.0_대호(bs수정)_02년사업계획양식V3.0_02년사업계획양식V3.0(원본)_1" xfId="7530"/>
    <cellStyle name="7_전자98결산진실_02년사업계획양식V1.0_대호(bs수정)_02년사업계획양식V3.0_02년사업계획양식V3.0(원본)_1 2" xfId="7531"/>
    <cellStyle name="7_전자98결산진실_02년사업계획양식V2.0" xfId="7532"/>
    <cellStyle name="7_전자98결산진실_02년사업계획양식V2.0 2" xfId="7533"/>
    <cellStyle name="7_전자98결산진실_02년사업계획양식V2.0_02년사업계획양식V3.0" xfId="7534"/>
    <cellStyle name="7_전자98결산진실_02년사업계획양식V2.0_02년사업계획양식V3.0 2" xfId="7535"/>
    <cellStyle name="7_전자98결산진실_02년사업계획양식V2.0_02년사업계획양식V3.0_02년사업계획양식V3.0" xfId="7536"/>
    <cellStyle name="7_전자98결산진실_02년사업계획양식V2.0_02년사업계획양식V3.0_02년사업계획양식V3.0 2" xfId="7537"/>
    <cellStyle name="7_전자98결산진실_02년사업계획양식V2.0_02년사업계획양식V3.0_02년사업계획양식V3.0(원본)" xfId="7538"/>
    <cellStyle name="7_전자98결산진실_02년사업계획양식V2.0_02년사업계획양식V3.0_02년사업계획양식V3.0(원본) 2" xfId="7539"/>
    <cellStyle name="7_전자98결산진실_02년사업계획양식V2.0_02년사업계획양식V3.0_02년사업계획양식V3.0(원본)_1" xfId="7540"/>
    <cellStyle name="7_전자98결산진실_02년사업계획양식V2.0_02년사업계획양식V3.0_02년사업계획양식V3.0(원본)_1 2" xfId="7541"/>
    <cellStyle name="7_전자98결산진실_02년사업계획양식V3.0" xfId="7542"/>
    <cellStyle name="7_전자98결산진실_02년사업계획양식V3.0 2" xfId="7543"/>
    <cellStyle name="7_전자98결산진실_02년사업계획양식V3.0(원본)" xfId="7544"/>
    <cellStyle name="7_전자98결산진실_02년사업계획양식V3.0(원본) 2" xfId="7545"/>
    <cellStyle name="7_전자98결산진실_02년사업계획양식V3.0(원본)_1" xfId="7546"/>
    <cellStyle name="7_전자98결산진실_02년사업계획양식V3.0(원본)_1 2" xfId="7547"/>
    <cellStyle name="7_전자98결산진실_02년사업계획양식V3.0_02년사업계획양식V3.0" xfId="7548"/>
    <cellStyle name="7_전자98결산진실_02년사업계획양식V3.0_02년사업계획양식V3.0 2" xfId="7549"/>
    <cellStyle name="7_전자98결산진실_02년사업계획양식V3.0_02년사업계획양식V3.0_02년사업계획양식V3.0" xfId="7550"/>
    <cellStyle name="7_전자98결산진실_02년사업계획양식V3.0_02년사업계획양식V3.0_02년사업계획양식V3.0 2" xfId="7551"/>
    <cellStyle name="7_전자98결산진실_02년사업계획양식V3.0_02년사업계획양식V3.0_02년사업계획양식V3.0(원본)" xfId="7552"/>
    <cellStyle name="7_전자98결산진실_02년사업계획양식V3.0_02년사업계획양식V3.0_02년사업계획양식V3.0(원본) 2" xfId="7553"/>
    <cellStyle name="7_전자98결산진실_02년사업계획양식V3.0_02년사업계획양식V3.0_02년사업계획양식V3.0(원본)_1" xfId="7554"/>
    <cellStyle name="7_전자98결산진실_02년사업계획양식V3.0_02년사업계획양식V3.0_02년사업계획양식V3.0(원본)_1 2" xfId="7555"/>
    <cellStyle name="7_전자98결산진실_03_사업계획양식(MASS_Link)_1104" xfId="7556"/>
    <cellStyle name="7_전자98결산진실_03_사업계획양식(MASS_Link)_1104 2" xfId="7557"/>
    <cellStyle name="7_전자98결산진실_03기본_종합장표" xfId="7558"/>
    <cellStyle name="7_전자98결산진실_03기본_종합장표 2" xfId="7559"/>
    <cellStyle name="7_전자98결산진실_03법인비용_회수양식_AC" xfId="7560"/>
    <cellStyle name="7_전자98결산진실_03법인비용_회수양식_AC 2" xfId="7561"/>
    <cellStyle name="7_전자98결산진실_03혁신_종합장표" xfId="7562"/>
    <cellStyle name="7_전자98결산진실_03혁신_종합장표 2" xfId="7563"/>
    <cellStyle name="7_전자98결산진실_2001년 01월차 이동계획_0102" xfId="7564"/>
    <cellStyle name="7_전자98결산진실_2001년 01월차 이동계획_0102 2" xfId="7565"/>
    <cellStyle name="7_전자98결산진실_2001년 01월차 이동계획_0102_2001년 05월 이동계획_" xfId="7566"/>
    <cellStyle name="7_전자98결산진실_2001년 01월차 이동계획_0102_2001년 05월 이동계획_ 2" xfId="7567"/>
    <cellStyle name="7_전자98결산진실_2001년 01월차 이동계획_0102_2001년 06월 이동계획_(Maximum)" xfId="7568"/>
    <cellStyle name="7_전자98결산진실_2001년 01월차 이동계획_0102_2001년 06월 이동계획_(Maximum) 2" xfId="7569"/>
    <cellStyle name="7_전자98결산진실_2001년 01월차 이동계획_0102_2001년 07월차 이동계획보고_" xfId="7570"/>
    <cellStyle name="7_전자98결산진실_2001년 01월차 이동계획_0102_2001년 07월차 이동계획보고_ 2" xfId="7571"/>
    <cellStyle name="7_전자98결산진실_2001년 01월차 이동계획_0102_2002년_02월차_이동계획보고_" xfId="7572"/>
    <cellStyle name="7_전자98결산진실_2001년 01월차 이동계획_0102_2002년_02월차_이동계획보고_ 2" xfId="7573"/>
    <cellStyle name="7_전자98결산진실_2001년 01월차 이동계획_0102_2002년_03월차_이동계획보고_" xfId="7574"/>
    <cellStyle name="7_전자98결산진실_2001년 01월차 이동계획_0102_2002년_03월차_이동계획보고_ 2" xfId="7575"/>
    <cellStyle name="7_전자98결산진실_2001년 01월차 이동계획_0102_2002년_03월차_이동계획보고_1차수정" xfId="7576"/>
    <cellStyle name="7_전자98결산진실_2001년 01월차 이동계획_0102_2002년_03월차_이동계획보고_1차수정 2" xfId="7577"/>
    <cellStyle name="7_전자98결산진실_2001년 01월차 이동계획_0102_2002년_05월차_이동계획보고_" xfId="7578"/>
    <cellStyle name="7_전자98결산진실_2001년 01월차 이동계획_0102_2002년_05월차_이동계획보고_ 2" xfId="7579"/>
    <cellStyle name="7_전자98결산진실_2001년 01월차 이동계획_0102_2002년_06월차_이동계획보고_기종별수정" xfId="7580"/>
    <cellStyle name="7_전자98결산진실_2001년 01월차 이동계획_0102_2002년_06월차_이동계획보고_기종별수정 2" xfId="7581"/>
    <cellStyle name="7_전자98결산진실_2001년 01월차 이동계획_0102_2002년_07월차_이동계획보고_수정중_철판 반영후_최종" xfId="7584"/>
    <cellStyle name="7_전자98결산진실_2001년 01월차 이동계획_0102_2002년_07월차_이동계획보고_수정중_철판 반영후_최종 2" xfId="7585"/>
    <cellStyle name="7_전자98결산진실_2001년 01월차 이동계획_0102_2002년_07월차_이동계획보고_수정중0628_2" xfId="7582"/>
    <cellStyle name="7_전자98결산진실_2001년 01월차 이동계획_0102_2002년_07월차_이동계획보고_수정중0628_2 2" xfId="7583"/>
    <cellStyle name="7_전자98결산진실_2001년 01월차 이동계획_0102_VVR0J9DV" xfId="7586"/>
    <cellStyle name="7_전자98결산진실_2001년 01월차 이동계획_0102_VVR0J9DV 2" xfId="7587"/>
    <cellStyle name="7_전자98결산진실_2001년 02월 실적예상_02월21일기준" xfId="7588"/>
    <cellStyle name="7_전자98결산진실_2001년 02월 실적예상_02월21일기준 2" xfId="7589"/>
    <cellStyle name="7_전자98결산진실_2001년 02월 실적예상_02월21일기준_2001년 05월 이동계획_" xfId="7590"/>
    <cellStyle name="7_전자98결산진실_2001년 02월 실적예상_02월21일기준_2001년 05월 이동계획_ 2" xfId="7591"/>
    <cellStyle name="7_전자98결산진실_2001년 02월 실적예상_02월21일기준_2001년 06월 이동계획_(Maximum)" xfId="7592"/>
    <cellStyle name="7_전자98결산진실_2001년 02월 실적예상_02월21일기준_2001년 06월 이동계획_(Maximum) 2" xfId="7593"/>
    <cellStyle name="7_전자98결산진실_2001년 02월 실적예상_02월21일기준_2001년 07월차 이동계획보고_" xfId="7594"/>
    <cellStyle name="7_전자98결산진실_2001년 02월 실적예상_02월21일기준_2001년 07월차 이동계획보고_ 2" xfId="7595"/>
    <cellStyle name="7_전자98결산진실_2001년 02월 실적예상_02월21일기준_2002년_02월차_이동계획보고_" xfId="7596"/>
    <cellStyle name="7_전자98결산진실_2001년 02월 실적예상_02월21일기준_2002년_02월차_이동계획보고_ 2" xfId="7597"/>
    <cellStyle name="7_전자98결산진실_2001년 02월 실적예상_02월21일기준_2002년_03월차_이동계획보고_" xfId="7598"/>
    <cellStyle name="7_전자98결산진실_2001년 02월 실적예상_02월21일기준_2002년_03월차_이동계획보고_ 2" xfId="7599"/>
    <cellStyle name="7_전자98결산진실_2001년 02월 실적예상_02월21일기준_2002년_03월차_이동계획보고_1차수정" xfId="7600"/>
    <cellStyle name="7_전자98결산진실_2001년 02월 실적예상_02월21일기준_2002년_03월차_이동계획보고_1차수정 2" xfId="7601"/>
    <cellStyle name="7_전자98결산진실_2001년 02월 실적예상_02월21일기준_2002년_05월차_이동계획보고_" xfId="7602"/>
    <cellStyle name="7_전자98결산진실_2001년 02월 실적예상_02월21일기준_2002년_05월차_이동계획보고_ 2" xfId="7603"/>
    <cellStyle name="7_전자98결산진실_2001년 02월 실적예상_02월21일기준_2002년_06월차_이동계획보고_기종별수정" xfId="7604"/>
    <cellStyle name="7_전자98결산진실_2001년 02월 실적예상_02월21일기준_2002년_06월차_이동계획보고_기종별수정 2" xfId="7605"/>
    <cellStyle name="7_전자98결산진실_2001년 02월 실적예상_02월21일기준_2002년_07월차_이동계획보고_수정중_철판 반영후_최종" xfId="7608"/>
    <cellStyle name="7_전자98결산진실_2001년 02월 실적예상_02월21일기준_2002년_07월차_이동계획보고_수정중_철판 반영후_최종 2" xfId="7609"/>
    <cellStyle name="7_전자98결산진실_2001년 02월 실적예상_02월21일기준_2002년_07월차_이동계획보고_수정중0628_2" xfId="7606"/>
    <cellStyle name="7_전자98결산진실_2001년 02월 실적예상_02월21일기준_2002년_07월차_이동계획보고_수정중0628_2 2" xfId="7607"/>
    <cellStyle name="7_전자98결산진실_2001년 02월 실적예상_02월21일기준_VVR0J9DV" xfId="7610"/>
    <cellStyle name="7_전자98결산진실_2001년 02월 실적예상_02월21일기준_VVR0J9DV 2" xfId="7611"/>
    <cellStyle name="7_전자98결산진실_2001년 02월차 이동계획_" xfId="7612"/>
    <cellStyle name="7_전자98결산진실_2001년 02월차 이동계획_ 2" xfId="7613"/>
    <cellStyle name="7_전자98결산진실_2001년 02월차 이동계획__2001년 05월 이동계획_" xfId="7614"/>
    <cellStyle name="7_전자98결산진실_2001년 02월차 이동계획__2001년 05월 이동계획_ 2" xfId="7615"/>
    <cellStyle name="7_전자98결산진실_2001년 02월차 이동계획__2001년 06월 이동계획_(Maximum)" xfId="7616"/>
    <cellStyle name="7_전자98결산진실_2001년 02월차 이동계획__2001년 06월 이동계획_(Maximum) 2" xfId="7617"/>
    <cellStyle name="7_전자98결산진실_2001년 02월차 이동계획__2001년 07월차 이동계획보고_" xfId="7618"/>
    <cellStyle name="7_전자98결산진실_2001년 02월차 이동계획__2001년 07월차 이동계획보고_ 2" xfId="7619"/>
    <cellStyle name="7_전자98결산진실_2001년 02월차 이동계획__2002년_02월차_이동계획보고_" xfId="7620"/>
    <cellStyle name="7_전자98결산진실_2001년 02월차 이동계획__2002년_02월차_이동계획보고_ 2" xfId="7621"/>
    <cellStyle name="7_전자98결산진실_2001년 02월차 이동계획__2002년_03월차_이동계획보고_" xfId="7622"/>
    <cellStyle name="7_전자98결산진실_2001년 02월차 이동계획__2002년_03월차_이동계획보고_ 2" xfId="7623"/>
    <cellStyle name="7_전자98결산진실_2001년 02월차 이동계획__2002년_03월차_이동계획보고_1차수정" xfId="7624"/>
    <cellStyle name="7_전자98결산진실_2001년 02월차 이동계획__2002년_03월차_이동계획보고_1차수정 2" xfId="7625"/>
    <cellStyle name="7_전자98결산진실_2001년 02월차 이동계획__2002년_05월차_이동계획보고_" xfId="7626"/>
    <cellStyle name="7_전자98결산진실_2001년 02월차 이동계획__2002년_05월차_이동계획보고_ 2" xfId="7627"/>
    <cellStyle name="7_전자98결산진실_2001년 02월차 이동계획__2002년_06월차_이동계획보고_기종별수정" xfId="7628"/>
    <cellStyle name="7_전자98결산진실_2001년 02월차 이동계획__2002년_06월차_이동계획보고_기종별수정 2" xfId="7629"/>
    <cellStyle name="7_전자98결산진실_2001년 02월차 이동계획__2002년_07월차_이동계획보고_수정중_철판 반영후_최종" xfId="7632"/>
    <cellStyle name="7_전자98결산진실_2001년 02월차 이동계획__2002년_07월차_이동계획보고_수정중_철판 반영후_최종 2" xfId="7633"/>
    <cellStyle name="7_전자98결산진실_2001년 02월차 이동계획__2002년_07월차_이동계획보고_수정중0628_2" xfId="7630"/>
    <cellStyle name="7_전자98결산진실_2001년 02월차 이동계획__2002년_07월차_이동계획보고_수정중0628_2 2" xfId="7631"/>
    <cellStyle name="7_전자98결산진실_2001년 02월차 이동계획__VVR0J9DV" xfId="7634"/>
    <cellStyle name="7_전자98결산진실_2001년 02월차 이동계획__VVR0J9DV 2" xfId="7635"/>
    <cellStyle name="7_전자98결산진실_2002년_월별사업계획전산_DM" xfId="7636"/>
    <cellStyle name="7_전자98결산진실_2002년_월별사업계획전산_DM 2" xfId="7637"/>
    <cellStyle name="7_전자98결산진실_2002년_월별사업계획전산_DM_02년사업계획양식V1.0_대호(bs수정)" xfId="7638"/>
    <cellStyle name="7_전자98결산진실_2002년_월별사업계획전산_DM_02년사업계획양식V1.0_대호(bs수정) 2" xfId="7639"/>
    <cellStyle name="7_전자98결산진실_2002년_월별사업계획전산_DM_02년사업계획양식V1.0_대호(bs수정)_02년사업계획양식V2.0" xfId="7640"/>
    <cellStyle name="7_전자98결산진실_2002년_월별사업계획전산_DM_02년사업계획양식V1.0_대호(bs수정)_02년사업계획양식V2.0 2" xfId="7641"/>
    <cellStyle name="7_전자98결산진실_2002년_월별사업계획전산_DM_02년사업계획양식V1.0_대호(bs수정)_02년사업계획양식V2.0_02년사업계획양식V2.0" xfId="7642"/>
    <cellStyle name="7_전자98결산진실_2002년_월별사업계획전산_DM_02년사업계획양식V1.0_대호(bs수정)_02년사업계획양식V2.0_02년사업계획양식V2.0 2" xfId="7643"/>
    <cellStyle name="7_전자98결산진실_2002년_월별사업계획전산_DM_02년사업계획양식V1.0_대호(bs수정)_02년사업계획양식V2.0_02년사업계획양식V2.0_02년사업계획양식V3.0" xfId="7644"/>
    <cellStyle name="7_전자98결산진실_2002년_월별사업계획전산_DM_02년사업계획양식V1.0_대호(bs수정)_02년사업계획양식V2.0_02년사업계획양식V2.0_02년사업계획양식V3.0 2" xfId="7645"/>
    <cellStyle name="7_전자98결산진실_2002년_월별사업계획전산_DM_02년사업계획양식V1.0_대호(bs수정)_02년사업계획양식V2.0_02년사업계획양식V2.0_02년사업계획양식V3.0_02년사업계획양식V3.0" xfId="7646"/>
    <cellStyle name="7_전자98결산진실_2002년_월별사업계획전산_DM_02년사업계획양식V1.0_대호(bs수정)_02년사업계획양식V2.0_02년사업계획양식V2.0_02년사업계획양식V3.0_02년사업계획양식V3.0 2" xfId="7647"/>
    <cellStyle name="7_전자98결산진실_2002년_월별사업계획전산_DM_02년사업계획양식V1.0_대호(bs수정)_02년사업계획양식V2.0_02년사업계획양식V2.0_02년사업계획양식V3.0_02년사업계획양식V3.0(원본)" xfId="7648"/>
    <cellStyle name="7_전자98결산진실_2002년_월별사업계획전산_DM_02년사업계획양식V1.0_대호(bs수정)_02년사업계획양식V2.0_02년사업계획양식V2.0_02년사업계획양식V3.0_02년사업계획양식V3.0(원본) 2" xfId="7649"/>
    <cellStyle name="7_전자98결산진실_2002년_월별사업계획전산_DM_02년사업계획양식V1.0_대호(bs수정)_02년사업계획양식V2.0_02년사업계획양식V2.0_02년사업계획양식V3.0_02년사업계획양식V3.0(원본)_1" xfId="7650"/>
    <cellStyle name="7_전자98결산진실_2002년_월별사업계획전산_DM_02년사업계획양식V1.0_대호(bs수정)_02년사업계획양식V2.0_02년사업계획양식V2.0_02년사업계획양식V3.0_02년사업계획양식V3.0(원본)_1 2" xfId="7651"/>
    <cellStyle name="7_전자98결산진실_2002년_월별사업계획전산_DM_02년사업계획양식V1.0_대호(bs수정)_02년사업계획양식V2.0_02년사업계획양식V3.0" xfId="7652"/>
    <cellStyle name="7_전자98결산진실_2002년_월별사업계획전산_DM_02년사업계획양식V1.0_대호(bs수정)_02년사업계획양식V2.0_02년사업계획양식V3.0 2" xfId="7653"/>
    <cellStyle name="7_전자98결산진실_2002년_월별사업계획전산_DM_02년사업계획양식V1.0_대호(bs수정)_02년사업계획양식V2.0_02년사업계획양식V3.0(원본)" xfId="7654"/>
    <cellStyle name="7_전자98결산진실_2002년_월별사업계획전산_DM_02년사업계획양식V1.0_대호(bs수정)_02년사업계획양식V2.0_02년사업계획양식V3.0(원본) 2" xfId="7655"/>
    <cellStyle name="7_전자98결산진실_2002년_월별사업계획전산_DM_02년사업계획양식V1.0_대호(bs수정)_02년사업계획양식V2.0_02년사업계획양식V3.0(원본)_1" xfId="7656"/>
    <cellStyle name="7_전자98결산진실_2002년_월별사업계획전산_DM_02년사업계획양식V1.0_대호(bs수정)_02년사업계획양식V2.0_02년사업계획양식V3.0(원본)_1 2" xfId="7657"/>
    <cellStyle name="7_전자98결산진실_2002년_월별사업계획전산_DM_02년사업계획양식V1.0_대호(bs수정)_02년사업계획양식V2.0_02년사업계획양식V3.0_02년사업계획양식V3.0" xfId="7658"/>
    <cellStyle name="7_전자98결산진실_2002년_월별사업계획전산_DM_02년사업계획양식V1.0_대호(bs수정)_02년사업계획양식V2.0_02년사업계획양식V3.0_02년사업계획양식V3.0 2" xfId="7659"/>
    <cellStyle name="7_전자98결산진실_2002년_월별사업계획전산_DM_02년사업계획양식V1.0_대호(bs수정)_02년사업계획양식V2.0_02년사업계획양식V3.0_02년사업계획양식V3.0_02년사업계획양식V3.0" xfId="7660"/>
    <cellStyle name="7_전자98결산진실_2002년_월별사업계획전산_DM_02년사업계획양식V1.0_대호(bs수정)_02년사업계획양식V2.0_02년사업계획양식V3.0_02년사업계획양식V3.0_02년사업계획양식V3.0 2" xfId="7661"/>
    <cellStyle name="7_전자98결산진실_2002년_월별사업계획전산_DM_02년사업계획양식V1.0_대호(bs수정)_02년사업계획양식V2.0_02년사업계획양식V3.0_02년사업계획양식V3.0_02년사업계획양식V3.0(원본)" xfId="7662"/>
    <cellStyle name="7_전자98결산진실_2002년_월별사업계획전산_DM_02년사업계획양식V1.0_대호(bs수정)_02년사업계획양식V2.0_02년사업계획양식V3.0_02년사업계획양식V3.0_02년사업계획양식V3.0(원본) 2" xfId="7663"/>
    <cellStyle name="7_전자98결산진실_2002년_월별사업계획전산_DM_02년사업계획양식V1.0_대호(bs수정)_02년사업계획양식V2.0_02년사업계획양식V3.0_02년사업계획양식V3.0_02년사업계획양식V3.0(원본)_1" xfId="7664"/>
    <cellStyle name="7_전자98결산진실_2002년_월별사업계획전산_DM_02년사업계획양식V1.0_대호(bs수정)_02년사업계획양식V2.0_02년사업계획양식V3.0_02년사업계획양식V3.0_02년사업계획양식V3.0(원본)_1 2" xfId="7665"/>
    <cellStyle name="7_전자98결산진실_2002년_월별사업계획전산_DM_02년사업계획양식V1.0_대호(bs수정)_02년사업계획양식V3.0" xfId="7666"/>
    <cellStyle name="7_전자98결산진실_2002년_월별사업계획전산_DM_02년사업계획양식V1.0_대호(bs수정)_02년사업계획양식V3.0 2" xfId="7667"/>
    <cellStyle name="7_전자98결산진실_2002년_월별사업계획전산_DM_02년사업계획양식V1.0_대호(bs수정)_02년사업계획양식V3.0_02년사업계획양식V3.0" xfId="7668"/>
    <cellStyle name="7_전자98결산진실_2002년_월별사업계획전산_DM_02년사업계획양식V1.0_대호(bs수정)_02년사업계획양식V3.0_02년사업계획양식V3.0 2" xfId="7669"/>
    <cellStyle name="7_전자98결산진실_2002년_월별사업계획전산_DM_02년사업계획양식V1.0_대호(bs수정)_02년사업계획양식V3.0_02년사업계획양식V3.0(원본)" xfId="7670"/>
    <cellStyle name="7_전자98결산진실_2002년_월별사업계획전산_DM_02년사업계획양식V1.0_대호(bs수정)_02년사업계획양식V3.0_02년사업계획양식V3.0(원본) 2" xfId="7671"/>
    <cellStyle name="7_전자98결산진실_2002년_월별사업계획전산_DM_02년사업계획양식V1.0_대호(bs수정)_02년사업계획양식V3.0_02년사업계획양식V3.0(원본)_1" xfId="7672"/>
    <cellStyle name="7_전자98결산진실_2002년_월별사업계획전산_DM_02년사업계획양식V1.0_대호(bs수정)_02년사업계획양식V3.0_02년사업계획양식V3.0(원본)_1 2" xfId="7673"/>
    <cellStyle name="7_전자98결산진실_2002년_월별사업계획전산_DM_02년사업계획양식V2.0" xfId="7674"/>
    <cellStyle name="7_전자98결산진실_2002년_월별사업계획전산_DM_02년사업계획양식V2.0 2" xfId="7675"/>
    <cellStyle name="7_전자98결산진실_2002년_월별사업계획전산_DM_02년사업계획양식V2.0_02년사업계획양식V3.0" xfId="7676"/>
    <cellStyle name="7_전자98결산진실_2002년_월별사업계획전산_DM_02년사업계획양식V2.0_02년사업계획양식V3.0 2" xfId="7677"/>
    <cellStyle name="7_전자98결산진실_2002년_월별사업계획전산_DM_02년사업계획양식V2.0_02년사업계획양식V3.0_02년사업계획양식V3.0" xfId="7678"/>
    <cellStyle name="7_전자98결산진실_2002년_월별사업계획전산_DM_02년사업계획양식V2.0_02년사업계획양식V3.0_02년사업계획양식V3.0 2" xfId="7679"/>
    <cellStyle name="7_전자98결산진실_2002년_월별사업계획전산_DM_02년사업계획양식V2.0_02년사업계획양식V3.0_02년사업계획양식V3.0(원본)" xfId="7680"/>
    <cellStyle name="7_전자98결산진실_2002년_월별사업계획전산_DM_02년사업계획양식V2.0_02년사업계획양식V3.0_02년사업계획양식V3.0(원본) 2" xfId="7681"/>
    <cellStyle name="7_전자98결산진실_2002년_월별사업계획전산_DM_02년사업계획양식V2.0_02년사업계획양식V3.0_02년사업계획양식V3.0(원본)_1" xfId="7682"/>
    <cellStyle name="7_전자98결산진실_2002년_월별사업계획전산_DM_02년사업계획양식V2.0_02년사업계획양식V3.0_02년사업계획양식V3.0(원본)_1 2" xfId="7683"/>
    <cellStyle name="7_전자98결산진실_2002년_월별사업계획전산_DM_02년사업계획양식V3.0" xfId="7684"/>
    <cellStyle name="7_전자98결산진실_2002년_월별사업계획전산_DM_02년사업계획양식V3.0 2" xfId="7685"/>
    <cellStyle name="7_전자98결산진실_2002년_월별사업계획전산_DM_02년사업계획양식V3.0(원본)" xfId="7686"/>
    <cellStyle name="7_전자98결산진실_2002년_월별사업계획전산_DM_02년사업계획양식V3.0(원본) 2" xfId="7687"/>
    <cellStyle name="7_전자98결산진실_2002년_월별사업계획전산_DM_02년사업계획양식V3.0(원본)_1" xfId="7688"/>
    <cellStyle name="7_전자98결산진실_2002년_월별사업계획전산_DM_02년사업계획양식V3.0(원본)_1 2" xfId="7689"/>
    <cellStyle name="7_전자98결산진실_2002년_월별사업계획전산_DM_02년사업계획양식V3.0_02년사업계획양식V3.0" xfId="7690"/>
    <cellStyle name="7_전자98결산진실_2002년_월별사업계획전산_DM_02년사업계획양식V3.0_02년사업계획양식V3.0 2" xfId="7691"/>
    <cellStyle name="7_전자98결산진실_2002년_월별사업계획전산_DM_02년사업계획양식V3.0_02년사업계획양식V3.0_02년사업계획양식V3.0" xfId="7692"/>
    <cellStyle name="7_전자98결산진실_2002년_월별사업계획전산_DM_02년사업계획양식V3.0_02년사업계획양식V3.0_02년사업계획양식V3.0 2" xfId="7693"/>
    <cellStyle name="7_전자98결산진실_2002년_월별사업계획전산_DM_02년사업계획양식V3.0_02년사업계획양식V3.0_02년사업계획양식V3.0(원본)" xfId="7694"/>
    <cellStyle name="7_전자98결산진실_2002년_월별사업계획전산_DM_02년사업계획양식V3.0_02년사업계획양식V3.0_02년사업계획양식V3.0(원본) 2" xfId="7695"/>
    <cellStyle name="7_전자98결산진실_2002년_월별사업계획전산_DM_02년사업계획양식V3.0_02년사업계획양식V3.0_02년사업계획양식V3.0(원본)_1" xfId="7696"/>
    <cellStyle name="7_전자98결산진실_2002년_월별사업계획전산_DM_02년사업계획양식V3.0_02년사업계획양식V3.0_02년사업계획양식V3.0(원본)_1 2" xfId="7697"/>
    <cellStyle name="7_전자98결산진실_eva&amp;cash_02~05년 CM" xfId="7698"/>
    <cellStyle name="7_전자98결산진실_eva&amp;cash_02~05년 CM 2" xfId="7699"/>
    <cellStyle name="7_전자98결산진실_그룹+업적보고회+보완사항" xfId="7700"/>
    <cellStyle name="7_전자98결산진실_그룹+업적보고회+보완사항 2" xfId="7701"/>
    <cellStyle name="7_전자98결산진실_본부본사배부_1022FINAL본사비축소_해외법인" xfId="7702"/>
    <cellStyle name="7_전자98결산진실_본부본사배부_1022FINAL본사비축소_해외법인 2" xfId="7703"/>
    <cellStyle name="7_전자98결산진실_사업계획 양식" xfId="7704"/>
    <cellStyle name="7_전자98결산진실_사업계획 양식 2" xfId="7705"/>
    <cellStyle name="7_전자98결산진실_사업계획 양식_02년사업계획양식V1.0_대호(bs수정)" xfId="7706"/>
    <cellStyle name="7_전자98결산진실_사업계획 양식_02년사업계획양식V1.0_대호(bs수정) 2" xfId="7707"/>
    <cellStyle name="7_전자98결산진실_사업계획 양식_02년사업계획양식V1.0_대호(bs수정)_02년사업계획양식V2.0" xfId="7708"/>
    <cellStyle name="7_전자98결산진실_사업계획 양식_02년사업계획양식V1.0_대호(bs수정)_02년사업계획양식V2.0 2" xfId="7709"/>
    <cellStyle name="7_전자98결산진실_사업계획 양식_02년사업계획양식V1.0_대호(bs수정)_02년사업계획양식V2.0_02년사업계획양식V2.0" xfId="7710"/>
    <cellStyle name="7_전자98결산진실_사업계획 양식_02년사업계획양식V1.0_대호(bs수정)_02년사업계획양식V2.0_02년사업계획양식V2.0 2" xfId="7711"/>
    <cellStyle name="7_전자98결산진실_사업계획 양식_02년사업계획양식V1.0_대호(bs수정)_02년사업계획양식V2.0_02년사업계획양식V2.0_02년사업계획양식V3.0" xfId="7712"/>
    <cellStyle name="7_전자98결산진실_사업계획 양식_02년사업계획양식V1.0_대호(bs수정)_02년사업계획양식V2.0_02년사업계획양식V2.0_02년사업계획양식V3.0 2" xfId="7713"/>
    <cellStyle name="7_전자98결산진실_사업계획 양식_02년사업계획양식V1.0_대호(bs수정)_02년사업계획양식V2.0_02년사업계획양식V2.0_02년사업계획양식V3.0_02년사업계획양식V3.0" xfId="7714"/>
    <cellStyle name="7_전자98결산진실_사업계획 양식_02년사업계획양식V1.0_대호(bs수정)_02년사업계획양식V2.0_02년사업계획양식V2.0_02년사업계획양식V3.0_02년사업계획양식V3.0 2" xfId="7715"/>
    <cellStyle name="7_전자98결산진실_사업계획 양식_02년사업계획양식V1.0_대호(bs수정)_02년사업계획양식V2.0_02년사업계획양식V2.0_02년사업계획양식V3.0_02년사업계획양식V3.0(원본)" xfId="7716"/>
    <cellStyle name="7_전자98결산진실_사업계획 양식_02년사업계획양식V1.0_대호(bs수정)_02년사업계획양식V2.0_02년사업계획양식V2.0_02년사업계획양식V3.0_02년사업계획양식V3.0(원본) 2" xfId="7717"/>
    <cellStyle name="7_전자98결산진실_사업계획 양식_02년사업계획양식V1.0_대호(bs수정)_02년사업계획양식V2.0_02년사업계획양식V2.0_02년사업계획양식V3.0_02년사업계획양식V3.0(원본)_1" xfId="7718"/>
    <cellStyle name="7_전자98결산진실_사업계획 양식_02년사업계획양식V1.0_대호(bs수정)_02년사업계획양식V2.0_02년사업계획양식V2.0_02년사업계획양식V3.0_02년사업계획양식V3.0(원본)_1 2" xfId="7719"/>
    <cellStyle name="7_전자98결산진실_사업계획 양식_02년사업계획양식V1.0_대호(bs수정)_02년사업계획양식V2.0_02년사업계획양식V3.0" xfId="7720"/>
    <cellStyle name="7_전자98결산진실_사업계획 양식_02년사업계획양식V1.0_대호(bs수정)_02년사업계획양식V2.0_02년사업계획양식V3.0 2" xfId="7721"/>
    <cellStyle name="7_전자98결산진실_사업계획 양식_02년사업계획양식V1.0_대호(bs수정)_02년사업계획양식V2.0_02년사업계획양식V3.0(원본)" xfId="7722"/>
    <cellStyle name="7_전자98결산진실_사업계획 양식_02년사업계획양식V1.0_대호(bs수정)_02년사업계획양식V2.0_02년사업계획양식V3.0(원본) 2" xfId="7723"/>
    <cellStyle name="7_전자98결산진실_사업계획 양식_02년사업계획양식V1.0_대호(bs수정)_02년사업계획양식V2.0_02년사업계획양식V3.0(원본)_1" xfId="7724"/>
    <cellStyle name="7_전자98결산진실_사업계획 양식_02년사업계획양식V1.0_대호(bs수정)_02년사업계획양식V2.0_02년사업계획양식V3.0(원본)_1 2" xfId="7725"/>
    <cellStyle name="7_전자98결산진실_사업계획 양식_02년사업계획양식V1.0_대호(bs수정)_02년사업계획양식V2.0_02년사업계획양식V3.0_02년사업계획양식V3.0" xfId="7726"/>
    <cellStyle name="7_전자98결산진실_사업계획 양식_02년사업계획양식V1.0_대호(bs수정)_02년사업계획양식V2.0_02년사업계획양식V3.0_02년사업계획양식V3.0 2" xfId="7727"/>
    <cellStyle name="7_전자98결산진실_사업계획 양식_02년사업계획양식V1.0_대호(bs수정)_02년사업계획양식V2.0_02년사업계획양식V3.0_02년사업계획양식V3.0_02년사업계획양식V3.0" xfId="7728"/>
    <cellStyle name="7_전자98결산진실_사업계획 양식_02년사업계획양식V1.0_대호(bs수정)_02년사업계획양식V2.0_02년사업계획양식V3.0_02년사업계획양식V3.0_02년사업계획양식V3.0 2" xfId="7729"/>
    <cellStyle name="7_전자98결산진실_사업계획 양식_02년사업계획양식V1.0_대호(bs수정)_02년사업계획양식V2.0_02년사업계획양식V3.0_02년사업계획양식V3.0_02년사업계획양식V3.0(원본)" xfId="7730"/>
    <cellStyle name="7_전자98결산진실_사업계획 양식_02년사업계획양식V1.0_대호(bs수정)_02년사업계획양식V2.0_02년사업계획양식V3.0_02년사업계획양식V3.0_02년사업계획양식V3.0(원본) 2" xfId="7731"/>
    <cellStyle name="7_전자98결산진실_사업계획 양식_02년사업계획양식V1.0_대호(bs수정)_02년사업계획양식V2.0_02년사업계획양식V3.0_02년사업계획양식V3.0_02년사업계획양식V3.0(원본)_1" xfId="7732"/>
    <cellStyle name="7_전자98결산진실_사업계획 양식_02년사업계획양식V1.0_대호(bs수정)_02년사업계획양식V2.0_02년사업계획양식V3.0_02년사업계획양식V3.0_02년사업계획양식V3.0(원본)_1 2" xfId="7733"/>
    <cellStyle name="7_전자98결산진실_사업계획 양식_02년사업계획양식V1.0_대호(bs수정)_02년사업계획양식V3.0" xfId="7734"/>
    <cellStyle name="7_전자98결산진실_사업계획 양식_02년사업계획양식V1.0_대호(bs수정)_02년사업계획양식V3.0 2" xfId="7735"/>
    <cellStyle name="7_전자98결산진실_사업계획 양식_02년사업계획양식V1.0_대호(bs수정)_02년사업계획양식V3.0_02년사업계획양식V3.0" xfId="7736"/>
    <cellStyle name="7_전자98결산진실_사업계획 양식_02년사업계획양식V1.0_대호(bs수정)_02년사업계획양식V3.0_02년사업계획양식V3.0 2" xfId="7737"/>
    <cellStyle name="7_전자98결산진실_사업계획 양식_02년사업계획양식V1.0_대호(bs수정)_02년사업계획양식V3.0_02년사업계획양식V3.0(원본)" xfId="7738"/>
    <cellStyle name="7_전자98결산진실_사업계획 양식_02년사업계획양식V1.0_대호(bs수정)_02년사업계획양식V3.0_02년사업계획양식V3.0(원본) 2" xfId="7739"/>
    <cellStyle name="7_전자98결산진실_사업계획 양식_02년사업계획양식V1.0_대호(bs수정)_02년사업계획양식V3.0_02년사업계획양식V3.0(원본)_1" xfId="7740"/>
    <cellStyle name="7_전자98결산진실_사업계획 양식_02년사업계획양식V1.0_대호(bs수정)_02년사업계획양식V3.0_02년사업계획양식V3.0(원본)_1 2" xfId="7741"/>
    <cellStyle name="7_전자98결산진실_사업계획 양식_02년사업계획양식V2.0" xfId="7742"/>
    <cellStyle name="7_전자98결산진실_사업계획 양식_02년사업계획양식V2.0 2" xfId="7743"/>
    <cellStyle name="7_전자98결산진실_사업계획 양식_02년사업계획양식V2.0_02년사업계획양식V3.0" xfId="7744"/>
    <cellStyle name="7_전자98결산진실_사업계획 양식_02년사업계획양식V2.0_02년사업계획양식V3.0 2" xfId="7745"/>
    <cellStyle name="7_전자98결산진실_사업계획 양식_02년사업계획양식V2.0_02년사업계획양식V3.0_02년사업계획양식V3.0" xfId="7746"/>
    <cellStyle name="7_전자98결산진실_사업계획 양식_02년사업계획양식V2.0_02년사업계획양식V3.0_02년사업계획양식V3.0 2" xfId="7747"/>
    <cellStyle name="7_전자98결산진실_사업계획 양식_02년사업계획양식V2.0_02년사업계획양식V3.0_02년사업계획양식V3.0(원본)" xfId="7748"/>
    <cellStyle name="7_전자98결산진실_사업계획 양식_02년사업계획양식V2.0_02년사업계획양식V3.0_02년사업계획양식V3.0(원본) 2" xfId="7749"/>
    <cellStyle name="7_전자98결산진실_사업계획 양식_02년사업계획양식V2.0_02년사업계획양식V3.0_02년사업계획양식V3.0(원본)_1" xfId="7750"/>
    <cellStyle name="7_전자98결산진실_사업계획 양식_02년사업계획양식V2.0_02년사업계획양식V3.0_02년사업계획양식V3.0(원본)_1 2" xfId="7751"/>
    <cellStyle name="7_전자98결산진실_사업계획 양식_02년사업계획양식V3.0" xfId="7752"/>
    <cellStyle name="7_전자98결산진실_사업계획 양식_02년사업계획양식V3.0 2" xfId="7753"/>
    <cellStyle name="7_전자98결산진실_사업계획 양식_02년사업계획양식V3.0(원본)" xfId="7754"/>
    <cellStyle name="7_전자98결산진실_사업계획 양식_02년사업계획양식V3.0(원본) 2" xfId="7755"/>
    <cellStyle name="7_전자98결산진실_사업계획 양식_02년사업계획양식V3.0(원본)_1" xfId="7756"/>
    <cellStyle name="7_전자98결산진실_사업계획 양식_02년사업계획양식V3.0(원본)_1 2" xfId="7757"/>
    <cellStyle name="7_전자98결산진실_사업계획 양식_02년사업계획양식V3.0_02년사업계획양식V3.0" xfId="7758"/>
    <cellStyle name="7_전자98결산진실_사업계획 양식_02년사업계획양식V3.0_02년사업계획양식V3.0 2" xfId="7759"/>
    <cellStyle name="7_전자98결산진실_사업계획 양식_02년사업계획양식V3.0_02년사업계획양식V3.0_02년사업계획양식V3.0" xfId="7760"/>
    <cellStyle name="7_전자98결산진실_사업계획 양식_02년사업계획양식V3.0_02년사업계획양식V3.0_02년사업계획양식V3.0 2" xfId="7761"/>
    <cellStyle name="7_전자98결산진실_사업계획 양식_02년사업계획양식V3.0_02년사업계획양식V3.0_02년사업계획양식V3.0(원본)" xfId="7762"/>
    <cellStyle name="7_전자98결산진실_사업계획 양식_02년사업계획양식V3.0_02년사업계획양식V3.0_02년사업계획양식V3.0(원본) 2" xfId="7763"/>
    <cellStyle name="7_전자98결산진실_사업계획 양식_02년사업계획양식V3.0_02년사업계획양식V3.0_02년사업계획양식V3.0(원본)_1" xfId="7764"/>
    <cellStyle name="7_전자98결산진실_사업계획 양식_02년사업계획양식V3.0_02년사업계획양식V3.0_02년사업계획양식V3.0(원본)_1 2" xfId="7765"/>
    <cellStyle name="7_전자99상결산진실" xfId="7766"/>
    <cellStyle name="7_전자99상결산진실 2" xfId="7767"/>
    <cellStyle name="7_전자99상결산진실_02년사업계획양식V1.0" xfId="7768"/>
    <cellStyle name="7_전자99상결산진실_02년사업계획양식V1.0 2" xfId="7769"/>
    <cellStyle name="7_전자99상결산진실_02년사업계획양식V1.0_02년사업계획양식V1.0_고동욱_011205" xfId="7770"/>
    <cellStyle name="7_전자99상결산진실_02년사업계획양식V1.0_02년사업계획양식V1.0_고동욱_011205 2" xfId="7771"/>
    <cellStyle name="7_전자99상결산진실_02년사업계획양식V1.0_02년사업계획양식V1.0_고동욱_011205_02년사업계획양식V2.0" xfId="7772"/>
    <cellStyle name="7_전자99상결산진실_02년사업계획양식V1.0_02년사업계획양식V1.0_고동욱_011205_02년사업계획양식V2.0 2" xfId="7773"/>
    <cellStyle name="7_전자99상결산진실_02년사업계획양식V1.0_02년사업계획양식V1.0_고동욱_011205_02년사업계획양식V2.0_02년사업계획양식V2.0" xfId="7774"/>
    <cellStyle name="7_전자99상결산진실_02년사업계획양식V1.0_02년사업계획양식V1.0_고동욱_011205_02년사업계획양식V2.0_02년사업계획양식V2.0 2" xfId="7775"/>
    <cellStyle name="7_전자99상결산진실_02년사업계획양식V1.0_02년사업계획양식V1.0_고동욱_011205_02년사업계획양식V2.0_02년사업계획양식V2.0_02년사업계획양식V3.0" xfId="7776"/>
    <cellStyle name="7_전자99상결산진실_02년사업계획양식V1.0_02년사업계획양식V1.0_고동욱_011205_02년사업계획양식V2.0_02년사업계획양식V2.0_02년사업계획양식V3.0 2" xfId="7777"/>
    <cellStyle name="7_전자99상결산진실_02년사업계획양식V1.0_02년사업계획양식V1.0_고동욱_011205_02년사업계획양식V2.0_02년사업계획양식V2.0_02년사업계획양식V3.0_02년사업계획양식V3.0" xfId="7778"/>
    <cellStyle name="7_전자99상결산진실_02년사업계획양식V1.0_02년사업계획양식V1.0_고동욱_011205_02년사업계획양식V2.0_02년사업계획양식V2.0_02년사업계획양식V3.0_02년사업계획양식V3.0 2" xfId="7779"/>
    <cellStyle name="7_전자99상결산진실_02년사업계획양식V1.0_02년사업계획양식V1.0_고동욱_011205_02년사업계획양식V2.0_02년사업계획양식V2.0_02년사업계획양식V3.0_02년사업계획양식V3.0(원본)" xfId="7780"/>
    <cellStyle name="7_전자99상결산진실_02년사업계획양식V1.0_02년사업계획양식V1.0_고동욱_011205_02년사업계획양식V2.0_02년사업계획양식V2.0_02년사업계획양식V3.0_02년사업계획양식V3.0(원본) 2" xfId="7781"/>
    <cellStyle name="7_전자99상결산진실_02년사업계획양식V1.0_02년사업계획양식V1.0_고동욱_011205_02년사업계획양식V2.0_02년사업계획양식V2.0_02년사업계획양식V3.0_02년사업계획양식V3.0(원본)_1" xfId="7782"/>
    <cellStyle name="7_전자99상결산진실_02년사업계획양식V1.0_02년사업계획양식V1.0_고동욱_011205_02년사업계획양식V2.0_02년사업계획양식V2.0_02년사업계획양식V3.0_02년사업계획양식V3.0(원본)_1 2" xfId="7783"/>
    <cellStyle name="7_전자99상결산진실_02년사업계획양식V1.0_02년사업계획양식V1.0_고동욱_011205_02년사업계획양식V2.0_02년사업계획양식V3.0" xfId="7784"/>
    <cellStyle name="7_전자99상결산진실_02년사업계획양식V1.0_02년사업계획양식V1.0_고동욱_011205_02년사업계획양식V2.0_02년사업계획양식V3.0 2" xfId="7785"/>
    <cellStyle name="7_전자99상결산진실_02년사업계획양식V1.0_02년사업계획양식V1.0_고동욱_011205_02년사업계획양식V2.0_02년사업계획양식V3.0(원본)" xfId="7786"/>
    <cellStyle name="7_전자99상결산진실_02년사업계획양식V1.0_02년사업계획양식V1.0_고동욱_011205_02년사업계획양식V2.0_02년사업계획양식V3.0(원본) 2" xfId="7787"/>
    <cellStyle name="7_전자99상결산진실_02년사업계획양식V1.0_02년사업계획양식V1.0_고동욱_011205_02년사업계획양식V2.0_02년사업계획양식V3.0(원본)_1" xfId="7788"/>
    <cellStyle name="7_전자99상결산진실_02년사업계획양식V1.0_02년사업계획양식V1.0_고동욱_011205_02년사업계획양식V2.0_02년사업계획양식V3.0(원본)_1 2" xfId="7789"/>
    <cellStyle name="7_전자99상결산진실_02년사업계획양식V1.0_02년사업계획양식V1.0_고동욱_011205_02년사업계획양식V2.0_02년사업계획양식V3.0_02년사업계획양식V3.0" xfId="7790"/>
    <cellStyle name="7_전자99상결산진실_02년사업계획양식V1.0_02년사업계획양식V1.0_고동욱_011205_02년사업계획양식V2.0_02년사업계획양식V3.0_02년사업계획양식V3.0 2" xfId="7791"/>
    <cellStyle name="7_전자99상결산진실_02년사업계획양식V1.0_02년사업계획양식V1.0_고동욱_011205_02년사업계획양식V2.0_02년사업계획양식V3.0_02년사업계획양식V3.0_02년사업계획양식V3.0" xfId="7792"/>
    <cellStyle name="7_전자99상결산진실_02년사업계획양식V1.0_02년사업계획양식V1.0_고동욱_011205_02년사업계획양식V2.0_02년사업계획양식V3.0_02년사업계획양식V3.0_02년사업계획양식V3.0 2" xfId="7793"/>
    <cellStyle name="7_전자99상결산진실_02년사업계획양식V1.0_02년사업계획양식V1.0_고동욱_011205_02년사업계획양식V2.0_02년사업계획양식V3.0_02년사업계획양식V3.0_02년사업계획양식V3.0(원본)" xfId="7794"/>
    <cellStyle name="7_전자99상결산진실_02년사업계획양식V1.0_02년사업계획양식V1.0_고동욱_011205_02년사업계획양식V2.0_02년사업계획양식V3.0_02년사업계획양식V3.0_02년사업계획양식V3.0(원본) 2" xfId="7795"/>
    <cellStyle name="7_전자99상결산진실_02년사업계획양식V1.0_02년사업계획양식V1.0_고동욱_011205_02년사업계획양식V2.0_02년사업계획양식V3.0_02년사업계획양식V3.0_02년사업계획양식V3.0(원본)_1" xfId="7796"/>
    <cellStyle name="7_전자99상결산진실_02년사업계획양식V1.0_02년사업계획양식V1.0_고동욱_011205_02년사업계획양식V2.0_02년사업계획양식V3.0_02년사업계획양식V3.0_02년사업계획양식V3.0(원본)_1 2" xfId="7797"/>
    <cellStyle name="7_전자99상결산진실_02년사업계획양식V1.0_02년사업계획양식V1.0_고동욱_011205_02년사업계획양식V3.0" xfId="7798"/>
    <cellStyle name="7_전자99상결산진실_02년사업계획양식V1.0_02년사업계획양식V1.0_고동욱_011205_02년사업계획양식V3.0 2" xfId="7799"/>
    <cellStyle name="7_전자99상결산진실_02년사업계획양식V1.0_02년사업계획양식V1.0_고동욱_011205_02년사업계획양식V3.0_02년사업계획양식V3.0" xfId="7800"/>
    <cellStyle name="7_전자99상결산진실_02년사업계획양식V1.0_02년사업계획양식V1.0_고동욱_011205_02년사업계획양식V3.0_02년사업계획양식V3.0 2" xfId="7801"/>
    <cellStyle name="7_전자99상결산진실_02년사업계획양식V1.0_02년사업계획양식V1.0_고동욱_011205_02년사업계획양식V3.0_02년사업계획양식V3.0(원본)" xfId="7802"/>
    <cellStyle name="7_전자99상결산진실_02년사업계획양식V1.0_02년사업계획양식V1.0_고동욱_011205_02년사업계획양식V3.0_02년사업계획양식V3.0(원본) 2" xfId="7803"/>
    <cellStyle name="7_전자99상결산진실_02년사업계획양식V1.0_02년사업계획양식V1.0_고동욱_011205_02년사업계획양식V3.0_02년사업계획양식V3.0(원본)_1" xfId="7804"/>
    <cellStyle name="7_전자99상결산진실_02년사업계획양식V1.0_02년사업계획양식V1.0_고동욱_011205_02년사업계획양식V3.0_02년사업계획양식V3.0(원본)_1 2" xfId="7805"/>
    <cellStyle name="7_전자99상결산진실_02년사업계획양식V1.0_02년사업계획양식V1.0_대호(bs수정)" xfId="7806"/>
    <cellStyle name="7_전자99상결산진실_02년사업계획양식V1.0_02년사업계획양식V1.0_대호(bs수정) 2" xfId="7807"/>
    <cellStyle name="7_전자99상결산진실_02년사업계획양식V1.0_02년사업계획양식V1.0_대호(bs수정)_02년사업계획양식V2.0" xfId="7808"/>
    <cellStyle name="7_전자99상결산진실_02년사업계획양식V1.0_02년사업계획양식V1.0_대호(bs수정)_02년사업계획양식V2.0 2" xfId="7809"/>
    <cellStyle name="7_전자99상결산진실_02년사업계획양식V1.0_02년사업계획양식V1.0_대호(bs수정)_02년사업계획양식V2.0_02년사업계획양식V2.0" xfId="7810"/>
    <cellStyle name="7_전자99상결산진실_02년사업계획양식V1.0_02년사업계획양식V1.0_대호(bs수정)_02년사업계획양식V2.0_02년사업계획양식V2.0 2" xfId="7811"/>
    <cellStyle name="7_전자99상결산진실_02년사업계획양식V1.0_02년사업계획양식V1.0_대호(bs수정)_02년사업계획양식V2.0_02년사업계획양식V2.0_02년사업계획양식V3.0" xfId="7812"/>
    <cellStyle name="7_전자99상결산진실_02년사업계획양식V1.0_02년사업계획양식V1.0_대호(bs수정)_02년사업계획양식V2.0_02년사업계획양식V2.0_02년사업계획양식V3.0 2" xfId="7813"/>
    <cellStyle name="7_전자99상결산진실_02년사업계획양식V1.0_02년사업계획양식V1.0_대호(bs수정)_02년사업계획양식V2.0_02년사업계획양식V2.0_02년사업계획양식V3.0_02년사업계획양식V3.0" xfId="7814"/>
    <cellStyle name="7_전자99상결산진실_02년사업계획양식V1.0_02년사업계획양식V1.0_대호(bs수정)_02년사업계획양식V2.0_02년사업계획양식V2.0_02년사업계획양식V3.0_02년사업계획양식V3.0 2" xfId="7815"/>
    <cellStyle name="7_전자99상결산진실_02년사업계획양식V1.0_02년사업계획양식V1.0_대호(bs수정)_02년사업계획양식V2.0_02년사업계획양식V2.0_02년사업계획양식V3.0_02년사업계획양식V3.0(원본)" xfId="7816"/>
    <cellStyle name="7_전자99상결산진실_02년사업계획양식V1.0_02년사업계획양식V1.0_대호(bs수정)_02년사업계획양식V2.0_02년사업계획양식V2.0_02년사업계획양식V3.0_02년사업계획양식V3.0(원본) 2" xfId="7817"/>
    <cellStyle name="7_전자99상결산진실_02년사업계획양식V1.0_02년사업계획양식V1.0_대호(bs수정)_02년사업계획양식V2.0_02년사업계획양식V2.0_02년사업계획양식V3.0_02년사업계획양식V3.0(원본)_1" xfId="7818"/>
    <cellStyle name="7_전자99상결산진실_02년사업계획양식V1.0_02년사업계획양식V1.0_대호(bs수정)_02년사업계획양식V2.0_02년사업계획양식V2.0_02년사업계획양식V3.0_02년사업계획양식V3.0(원본)_1 2" xfId="7819"/>
    <cellStyle name="7_전자99상결산진실_02년사업계획양식V1.0_02년사업계획양식V1.0_대호(bs수정)_02년사업계획양식V2.0_02년사업계획양식V3.0" xfId="7820"/>
    <cellStyle name="7_전자99상결산진실_02년사업계획양식V1.0_02년사업계획양식V1.0_대호(bs수정)_02년사업계획양식V2.0_02년사업계획양식V3.0 2" xfId="7821"/>
    <cellStyle name="7_전자99상결산진실_02년사업계획양식V1.0_02년사업계획양식V1.0_대호(bs수정)_02년사업계획양식V2.0_02년사업계획양식V3.0(원본)" xfId="7822"/>
    <cellStyle name="7_전자99상결산진실_02년사업계획양식V1.0_02년사업계획양식V1.0_대호(bs수정)_02년사업계획양식V2.0_02년사업계획양식V3.0(원본) 2" xfId="7823"/>
    <cellStyle name="7_전자99상결산진실_02년사업계획양식V1.0_02년사업계획양식V1.0_대호(bs수정)_02년사업계획양식V2.0_02년사업계획양식V3.0(원본)_1" xfId="7824"/>
    <cellStyle name="7_전자99상결산진실_02년사업계획양식V1.0_02년사업계획양식V1.0_대호(bs수정)_02년사업계획양식V2.0_02년사업계획양식V3.0(원본)_1 2" xfId="7825"/>
    <cellStyle name="7_전자99상결산진실_02년사업계획양식V1.0_02년사업계획양식V1.0_대호(bs수정)_02년사업계획양식V2.0_02년사업계획양식V3.0_02년사업계획양식V3.0" xfId="7826"/>
    <cellStyle name="7_전자99상결산진실_02년사업계획양식V1.0_02년사업계획양식V1.0_대호(bs수정)_02년사업계획양식V2.0_02년사업계획양식V3.0_02년사업계획양식V3.0 2" xfId="7827"/>
    <cellStyle name="7_전자99상결산진실_02년사업계획양식V1.0_02년사업계획양식V1.0_대호(bs수정)_02년사업계획양식V2.0_02년사업계획양식V3.0_02년사업계획양식V3.0_02년사업계획양식V3.0" xfId="7828"/>
    <cellStyle name="7_전자99상결산진실_02년사업계획양식V1.0_02년사업계획양식V1.0_대호(bs수정)_02년사업계획양식V2.0_02년사업계획양식V3.0_02년사업계획양식V3.0_02년사업계획양식V3.0 2" xfId="7829"/>
    <cellStyle name="7_전자99상결산진실_02년사업계획양식V1.0_02년사업계획양식V1.0_대호(bs수정)_02년사업계획양식V2.0_02년사업계획양식V3.0_02년사업계획양식V3.0_02년사업계획양식V3.0(원본)" xfId="7830"/>
    <cellStyle name="7_전자99상결산진실_02년사업계획양식V1.0_02년사업계획양식V1.0_대호(bs수정)_02년사업계획양식V2.0_02년사업계획양식V3.0_02년사업계획양식V3.0_02년사업계획양식V3.0(원본) 2" xfId="7831"/>
    <cellStyle name="7_전자99상결산진실_02년사업계획양식V1.0_02년사업계획양식V1.0_대호(bs수정)_02년사업계획양식V2.0_02년사업계획양식V3.0_02년사업계획양식V3.0_02년사업계획양식V3.0(원본)_1" xfId="7832"/>
    <cellStyle name="7_전자99상결산진실_02년사업계획양식V1.0_02년사업계획양식V1.0_대호(bs수정)_02년사업계획양식V2.0_02년사업계획양식V3.0_02년사업계획양식V3.0_02년사업계획양식V3.0(원본)_1 2" xfId="7833"/>
    <cellStyle name="7_전자99상결산진실_02년사업계획양식V1.0_02년사업계획양식V1.0_대호(bs수정)_02년사업계획양식V3.0" xfId="7834"/>
    <cellStyle name="7_전자99상결산진실_02년사업계획양식V1.0_02년사업계획양식V1.0_대호(bs수정)_02년사업계획양식V3.0 2" xfId="7835"/>
    <cellStyle name="7_전자99상결산진실_02년사업계획양식V1.0_02년사업계획양식V1.0_대호(bs수정)_02년사업계획양식V3.0_02년사업계획양식V3.0" xfId="7836"/>
    <cellStyle name="7_전자99상결산진실_02년사업계획양식V1.0_02년사업계획양식V1.0_대호(bs수정)_02년사업계획양식V3.0_02년사업계획양식V3.0 2" xfId="7837"/>
    <cellStyle name="7_전자99상결산진실_02년사업계획양식V1.0_02년사업계획양식V1.0_대호(bs수정)_02년사업계획양식V3.0_02년사업계획양식V3.0(원본)" xfId="7838"/>
    <cellStyle name="7_전자99상결산진실_02년사업계획양식V1.0_02년사업계획양식V1.0_대호(bs수정)_02년사업계획양식V3.0_02년사업계획양식V3.0(원본) 2" xfId="7839"/>
    <cellStyle name="7_전자99상결산진실_02년사업계획양식V1.0_02년사업계획양식V1.0_대호(bs수정)_02년사업계획양식V3.0_02년사업계획양식V3.0(원본)_1" xfId="7840"/>
    <cellStyle name="7_전자99상결산진실_02년사업계획양식V1.0_02년사업계획양식V1.0_대호(bs수정)_02년사업계획양식V3.0_02년사업계획양식V3.0(원본)_1 2" xfId="7841"/>
    <cellStyle name="7_전자99상결산진실_02년사업계획양식V1.0_02년사업계획양식V2.0" xfId="7842"/>
    <cellStyle name="7_전자99상결산진실_02년사업계획양식V1.0_02년사업계획양식V2.0 2" xfId="7843"/>
    <cellStyle name="7_전자99상결산진실_02년사업계획양식V1.0_02년사업계획양식V2.0_02년사업계획양식V3.0" xfId="7844"/>
    <cellStyle name="7_전자99상결산진실_02년사업계획양식V1.0_02년사업계획양식V2.0_02년사업계획양식V3.0 2" xfId="7845"/>
    <cellStyle name="7_전자99상결산진실_02년사업계획양식V1.0_02년사업계획양식V2.0_02년사업계획양식V3.0_02년사업계획양식V3.0" xfId="7846"/>
    <cellStyle name="7_전자99상결산진실_02년사업계획양식V1.0_02년사업계획양식V2.0_02년사업계획양식V3.0_02년사업계획양식V3.0 2" xfId="7847"/>
    <cellStyle name="7_전자99상결산진실_02년사업계획양식V1.0_02년사업계획양식V2.0_02년사업계획양식V3.0_02년사업계획양식V3.0(원본)" xfId="7848"/>
    <cellStyle name="7_전자99상결산진실_02년사업계획양식V1.0_02년사업계획양식V2.0_02년사업계획양식V3.0_02년사업계획양식V3.0(원본) 2" xfId="7849"/>
    <cellStyle name="7_전자99상결산진실_02년사업계획양식V1.0_02년사업계획양식V2.0_02년사업계획양식V3.0_02년사업계획양식V3.0(원본)_1" xfId="7850"/>
    <cellStyle name="7_전자99상결산진실_02년사업계획양식V1.0_02년사업계획양식V2.0_02년사업계획양식V3.0_02년사업계획양식V3.0(원본)_1 2" xfId="7851"/>
    <cellStyle name="7_전자99상결산진실_02년사업계획양식V1.0_02년사업계획양식V3.0" xfId="7852"/>
    <cellStyle name="7_전자99상결산진실_02년사업계획양식V1.0_02년사업계획양식V3.0 2" xfId="7853"/>
    <cellStyle name="7_전자99상결산진실_02년사업계획양식V1.0_02년사업계획양식V3.0(원본)" xfId="7854"/>
    <cellStyle name="7_전자99상결산진실_02년사업계획양식V1.0_02년사업계획양식V3.0(원본) 2" xfId="7855"/>
    <cellStyle name="7_전자99상결산진실_02년사업계획양식V1.0_02년사업계획양식V3.0(원본)_1" xfId="7856"/>
    <cellStyle name="7_전자99상결산진실_02년사업계획양식V1.0_02년사업계획양식V3.0(원본)_1 2" xfId="7857"/>
    <cellStyle name="7_전자99상결산진실_02년사업계획양식V1.0_02년사업계획양식V3.0_02년사업계획양식V3.0" xfId="7858"/>
    <cellStyle name="7_전자99상결산진실_02년사업계획양식V1.0_02년사업계획양식V3.0_02년사업계획양식V3.0 2" xfId="7859"/>
    <cellStyle name="7_전자99상결산진실_02년사업계획양식V1.0_02년사업계획양식V3.0_02년사업계획양식V3.0_02년사업계획양식V3.0" xfId="7860"/>
    <cellStyle name="7_전자99상결산진실_02년사업계획양식V1.0_02년사업계획양식V3.0_02년사업계획양식V3.0_02년사업계획양식V3.0 2" xfId="7861"/>
    <cellStyle name="7_전자99상결산진실_02년사업계획양식V1.0_02년사업계획양식V3.0_02년사업계획양식V3.0_02년사업계획양식V3.0(원본)" xfId="7862"/>
    <cellStyle name="7_전자99상결산진실_02년사업계획양식V1.0_02년사업계획양식V3.0_02년사업계획양식V3.0_02년사업계획양식V3.0(원본) 2" xfId="7863"/>
    <cellStyle name="7_전자99상결산진실_02년사업계획양식V1.0_02년사업계획양식V3.0_02년사업계획양식V3.0_02년사업계획양식V3.0(원본)_1" xfId="7864"/>
    <cellStyle name="7_전자99상결산진실_02년사업계획양식V1.0_02년사업계획양식V3.0_02년사업계획양식V3.0_02년사업계획양식V3.0(원본)_1 2" xfId="7865"/>
    <cellStyle name="7_전자99상결산진실_02년사업계획양식V1.0_고동욱_011130" xfId="7866"/>
    <cellStyle name="7_전자99상결산진실_02년사업계획양식V1.0_고동욱_011130 2" xfId="7867"/>
    <cellStyle name="7_전자99상결산진실_02년사업계획양식V1.0_고동욱_011130_02년사업계획양식V2.0" xfId="7868"/>
    <cellStyle name="7_전자99상결산진실_02년사업계획양식V1.0_고동욱_011130_02년사업계획양식V2.0 2" xfId="7869"/>
    <cellStyle name="7_전자99상결산진실_02년사업계획양식V1.0_고동욱_011130_02년사업계획양식V2.0_02년사업계획양식V2.0" xfId="7870"/>
    <cellStyle name="7_전자99상결산진실_02년사업계획양식V1.0_고동욱_011130_02년사업계획양식V2.0_02년사업계획양식V2.0 2" xfId="7871"/>
    <cellStyle name="7_전자99상결산진실_02년사업계획양식V1.0_고동욱_011130_02년사업계획양식V2.0_02년사업계획양식V2.0_02년사업계획양식V3.0" xfId="7872"/>
    <cellStyle name="7_전자99상결산진실_02년사업계획양식V1.0_고동욱_011130_02년사업계획양식V2.0_02년사업계획양식V2.0_02년사업계획양식V3.0 2" xfId="7873"/>
    <cellStyle name="7_전자99상결산진실_02년사업계획양식V1.0_고동욱_011130_02년사업계획양식V2.0_02년사업계획양식V2.0_02년사업계획양식V3.0_02년사업계획양식V3.0" xfId="7874"/>
    <cellStyle name="7_전자99상결산진실_02년사업계획양식V1.0_고동욱_011130_02년사업계획양식V2.0_02년사업계획양식V2.0_02년사업계획양식V3.0_02년사업계획양식V3.0 2" xfId="7875"/>
    <cellStyle name="7_전자99상결산진실_02년사업계획양식V1.0_고동욱_011130_02년사업계획양식V2.0_02년사업계획양식V2.0_02년사업계획양식V3.0_02년사업계획양식V3.0(원본)" xfId="7876"/>
    <cellStyle name="7_전자99상결산진실_02년사업계획양식V1.0_고동욱_011130_02년사업계획양식V2.0_02년사업계획양식V2.0_02년사업계획양식V3.0_02년사업계획양식V3.0(원본) 2" xfId="7877"/>
    <cellStyle name="7_전자99상결산진실_02년사업계획양식V1.0_고동욱_011130_02년사업계획양식V2.0_02년사업계획양식V2.0_02년사업계획양식V3.0_02년사업계획양식V3.0(원본)_1" xfId="7878"/>
    <cellStyle name="7_전자99상결산진실_02년사업계획양식V1.0_고동욱_011130_02년사업계획양식V2.0_02년사업계획양식V2.0_02년사업계획양식V3.0_02년사업계획양식V3.0(원본)_1 2" xfId="7879"/>
    <cellStyle name="7_전자99상결산진실_02년사업계획양식V1.0_고동욱_011130_02년사업계획양식V2.0_02년사업계획양식V3.0" xfId="7880"/>
    <cellStyle name="7_전자99상결산진실_02년사업계획양식V1.0_고동욱_011130_02년사업계획양식V2.0_02년사업계획양식V3.0 2" xfId="7881"/>
    <cellStyle name="7_전자99상결산진실_02년사업계획양식V1.0_고동욱_011130_02년사업계획양식V2.0_02년사업계획양식V3.0(원본)" xfId="7882"/>
    <cellStyle name="7_전자99상결산진실_02년사업계획양식V1.0_고동욱_011130_02년사업계획양식V2.0_02년사업계획양식V3.0(원본) 2" xfId="7883"/>
    <cellStyle name="7_전자99상결산진실_02년사업계획양식V1.0_고동욱_011130_02년사업계획양식V2.0_02년사업계획양식V3.0(원본)_1" xfId="7884"/>
    <cellStyle name="7_전자99상결산진실_02년사업계획양식V1.0_고동욱_011130_02년사업계획양식V2.0_02년사업계획양식V3.0(원본)_1 2" xfId="7885"/>
    <cellStyle name="7_전자99상결산진실_02년사업계획양식V1.0_고동욱_011130_02년사업계획양식V2.0_02년사업계획양식V3.0_02년사업계획양식V3.0" xfId="7886"/>
    <cellStyle name="7_전자99상결산진실_02년사업계획양식V1.0_고동욱_011130_02년사업계획양식V2.0_02년사업계획양식V3.0_02년사업계획양식V3.0 2" xfId="7887"/>
    <cellStyle name="7_전자99상결산진실_02년사업계획양식V1.0_고동욱_011130_02년사업계획양식V2.0_02년사업계획양식V3.0_02년사업계획양식V3.0_02년사업계획양식V3.0" xfId="7888"/>
    <cellStyle name="7_전자99상결산진실_02년사업계획양식V1.0_고동욱_011130_02년사업계획양식V2.0_02년사업계획양식V3.0_02년사업계획양식V3.0_02년사업계획양식V3.0 2" xfId="7889"/>
    <cellStyle name="7_전자99상결산진실_02년사업계획양식V1.0_고동욱_011130_02년사업계획양식V2.0_02년사업계획양식V3.0_02년사업계획양식V3.0_02년사업계획양식V3.0(원본)" xfId="7890"/>
    <cellStyle name="7_전자99상결산진실_02년사업계획양식V1.0_고동욱_011130_02년사업계획양식V2.0_02년사업계획양식V3.0_02년사업계획양식V3.0_02년사업계획양식V3.0(원본) 2" xfId="7891"/>
    <cellStyle name="7_전자99상결산진실_02년사업계획양식V1.0_고동욱_011130_02년사업계획양식V2.0_02년사업계획양식V3.0_02년사업계획양식V3.0_02년사업계획양식V3.0(원본)_1" xfId="7892"/>
    <cellStyle name="7_전자99상결산진실_02년사업계획양식V1.0_고동욱_011130_02년사업계획양식V2.0_02년사업계획양식V3.0_02년사업계획양식V3.0_02년사업계획양식V3.0(원본)_1 2" xfId="7893"/>
    <cellStyle name="7_전자99상결산진실_02년사업계획양식V1.0_고동욱_011130_02년사업계획양식V3.0" xfId="7894"/>
    <cellStyle name="7_전자99상결산진실_02년사업계획양식V1.0_고동욱_011130_02년사업계획양식V3.0 2" xfId="7895"/>
    <cellStyle name="7_전자99상결산진실_02년사업계획양식V1.0_고동욱_011130_02년사업계획양식V3.0_02년사업계획양식V3.0" xfId="7896"/>
    <cellStyle name="7_전자99상결산진실_02년사업계획양식V1.0_고동욱_011130_02년사업계획양식V3.0_02년사업계획양식V3.0 2" xfId="7897"/>
    <cellStyle name="7_전자99상결산진실_02년사업계획양식V1.0_고동욱_011130_02년사업계획양식V3.0_02년사업계획양식V3.0(원본)" xfId="7898"/>
    <cellStyle name="7_전자99상결산진실_02년사업계획양식V1.0_고동욱_011130_02년사업계획양식V3.0_02년사업계획양식V3.0(원본) 2" xfId="7899"/>
    <cellStyle name="7_전자99상결산진실_02년사업계획양식V1.0_고동욱_011130_02년사업계획양식V3.0_02년사업계획양식V3.0(원본)_1" xfId="7900"/>
    <cellStyle name="7_전자99상결산진실_02년사업계획양식V1.0_고동욱_011130_02년사업계획양식V3.0_02년사업계획양식V3.0(원본)_1 2" xfId="7901"/>
    <cellStyle name="7_전자99상결산진실_02년사업계획양식V1.0_고동욱_011205" xfId="7902"/>
    <cellStyle name="7_전자99상결산진실_02년사업계획양식V1.0_고동욱_011205 2" xfId="7903"/>
    <cellStyle name="7_전자99상결산진실_02년사업계획양식V1.0_고동욱_011205_02년사업계획양식V2.0" xfId="7904"/>
    <cellStyle name="7_전자99상결산진실_02년사업계획양식V1.0_고동욱_011205_02년사업계획양식V2.0 2" xfId="7905"/>
    <cellStyle name="7_전자99상결산진실_02년사업계획양식V1.0_고동욱_011205_02년사업계획양식V2.0_02년사업계획양식V2.0" xfId="7906"/>
    <cellStyle name="7_전자99상결산진실_02년사업계획양식V1.0_고동욱_011205_02년사업계획양식V2.0_02년사업계획양식V2.0 2" xfId="7907"/>
    <cellStyle name="7_전자99상결산진실_02년사업계획양식V1.0_고동욱_011205_02년사업계획양식V2.0_02년사업계획양식V2.0_02년사업계획양식V3.0" xfId="7908"/>
    <cellStyle name="7_전자99상결산진실_02년사업계획양식V1.0_고동욱_011205_02년사업계획양식V2.0_02년사업계획양식V2.0_02년사업계획양식V3.0 2" xfId="7909"/>
    <cellStyle name="7_전자99상결산진실_02년사업계획양식V1.0_고동욱_011205_02년사업계획양식V2.0_02년사업계획양식V2.0_02년사업계획양식V3.0_02년사업계획양식V3.0" xfId="7910"/>
    <cellStyle name="7_전자99상결산진실_02년사업계획양식V1.0_고동욱_011205_02년사업계획양식V2.0_02년사업계획양식V2.0_02년사업계획양식V3.0_02년사업계획양식V3.0 2" xfId="7911"/>
    <cellStyle name="7_전자99상결산진실_02년사업계획양식V1.0_고동욱_011205_02년사업계획양식V2.0_02년사업계획양식V2.0_02년사업계획양식V3.0_02년사업계획양식V3.0(원본)" xfId="7912"/>
    <cellStyle name="7_전자99상결산진실_02년사업계획양식V1.0_고동욱_011205_02년사업계획양식V2.0_02년사업계획양식V2.0_02년사업계획양식V3.0_02년사업계획양식V3.0(원본) 2" xfId="7913"/>
    <cellStyle name="7_전자99상결산진실_02년사업계획양식V1.0_고동욱_011205_02년사업계획양식V2.0_02년사업계획양식V2.0_02년사업계획양식V3.0_02년사업계획양식V3.0(원본)_1" xfId="7914"/>
    <cellStyle name="7_전자99상결산진실_02년사업계획양식V1.0_고동욱_011205_02년사업계획양식V2.0_02년사업계획양식V2.0_02년사업계획양식V3.0_02년사업계획양식V3.0(원본)_1 2" xfId="7915"/>
    <cellStyle name="7_전자99상결산진실_02년사업계획양식V1.0_고동욱_011205_02년사업계획양식V2.0_02년사업계획양식V3.0" xfId="7916"/>
    <cellStyle name="7_전자99상결산진실_02년사업계획양식V1.0_고동욱_011205_02년사업계획양식V2.0_02년사업계획양식V3.0 2" xfId="7917"/>
    <cellStyle name="7_전자99상결산진실_02년사업계획양식V1.0_고동욱_011205_02년사업계획양식V2.0_02년사업계획양식V3.0(원본)" xfId="7918"/>
    <cellStyle name="7_전자99상결산진실_02년사업계획양식V1.0_고동욱_011205_02년사업계획양식V2.0_02년사업계획양식V3.0(원본) 2" xfId="7919"/>
    <cellStyle name="7_전자99상결산진실_02년사업계획양식V1.0_고동욱_011205_02년사업계획양식V2.0_02년사업계획양식V3.0(원본)_1" xfId="7920"/>
    <cellStyle name="7_전자99상결산진실_02년사업계획양식V1.0_고동욱_011205_02년사업계획양식V2.0_02년사업계획양식V3.0(원본)_1 2" xfId="7921"/>
    <cellStyle name="7_전자99상결산진실_02년사업계획양식V1.0_고동욱_011205_02년사업계획양식V2.0_02년사업계획양식V3.0_02년사업계획양식V3.0" xfId="7922"/>
    <cellStyle name="7_전자99상결산진실_02년사업계획양식V1.0_고동욱_011205_02년사업계획양식V2.0_02년사업계획양식V3.0_02년사업계획양식V3.0 2" xfId="7923"/>
    <cellStyle name="7_전자99상결산진실_02년사업계획양식V1.0_고동욱_011205_02년사업계획양식V2.0_02년사업계획양식V3.0_02년사업계획양식V3.0_02년사업계획양식V3.0" xfId="7924"/>
    <cellStyle name="7_전자99상결산진실_02년사업계획양식V1.0_고동욱_011205_02년사업계획양식V2.0_02년사업계획양식V3.0_02년사업계획양식V3.0_02년사업계획양식V3.0 2" xfId="7925"/>
    <cellStyle name="7_전자99상결산진실_02년사업계획양식V1.0_고동욱_011205_02년사업계획양식V2.0_02년사업계획양식V3.0_02년사업계획양식V3.0_02년사업계획양식V3.0(원본)" xfId="7926"/>
    <cellStyle name="7_전자99상결산진실_02년사업계획양식V1.0_고동욱_011205_02년사업계획양식V2.0_02년사업계획양식V3.0_02년사업계획양식V3.0_02년사업계획양식V3.0(원본) 2" xfId="7927"/>
    <cellStyle name="7_전자99상결산진실_02년사업계획양식V1.0_고동욱_011205_02년사업계획양식V2.0_02년사업계획양식V3.0_02년사업계획양식V3.0_02년사업계획양식V3.0(원본)_1" xfId="7928"/>
    <cellStyle name="7_전자99상결산진실_02년사업계획양식V1.0_고동욱_011205_02년사업계획양식V2.0_02년사업계획양식V3.0_02년사업계획양식V3.0_02년사업계획양식V3.0(원본)_1 2" xfId="7929"/>
    <cellStyle name="7_전자99상결산진실_02년사업계획양식V1.0_고동욱_011205_02년사업계획양식V3.0" xfId="7930"/>
    <cellStyle name="7_전자99상결산진실_02년사업계획양식V1.0_고동욱_011205_02년사업계획양식V3.0 2" xfId="7931"/>
    <cellStyle name="7_전자99상결산진실_02년사업계획양식V1.0_고동욱_011205_02년사업계획양식V3.0_02년사업계획양식V3.0" xfId="7932"/>
    <cellStyle name="7_전자99상결산진실_02년사업계획양식V1.0_고동욱_011205_02년사업계획양식V3.0_02년사업계획양식V3.0 2" xfId="7933"/>
    <cellStyle name="7_전자99상결산진실_02년사업계획양식V1.0_고동욱_011205_02년사업계획양식V3.0_02년사업계획양식V3.0(원본)" xfId="7934"/>
    <cellStyle name="7_전자99상결산진실_02년사업계획양식V1.0_고동욱_011205_02년사업계획양식V3.0_02년사업계획양식V3.0(원본) 2" xfId="7935"/>
    <cellStyle name="7_전자99상결산진실_02년사업계획양식V1.0_고동욱_011205_02년사업계획양식V3.0_02년사업계획양식V3.0(원본)_1" xfId="7936"/>
    <cellStyle name="7_전자99상결산진실_02년사업계획양식V1.0_고동욱_011205_02년사업계획양식V3.0_02년사업계획양식V3.0(원본)_1 2" xfId="7937"/>
    <cellStyle name="7_전자99상결산진실_02년사업계획양식V1.0_대호(bs수정)" xfId="7938"/>
    <cellStyle name="7_전자99상결산진실_02년사업계획양식V1.0_대호(bs수정) 2" xfId="7939"/>
    <cellStyle name="7_전자99상결산진실_02년사업계획양식V1.0_대호(bs수정)_02년사업계획양식V2.0" xfId="7940"/>
    <cellStyle name="7_전자99상결산진실_02년사업계획양식V1.0_대호(bs수정)_02년사업계획양식V2.0 2" xfId="7941"/>
    <cellStyle name="7_전자99상결산진실_02년사업계획양식V1.0_대호(bs수정)_02년사업계획양식V2.0_02년사업계획양식V2.0" xfId="7942"/>
    <cellStyle name="7_전자99상결산진실_02년사업계획양식V1.0_대호(bs수정)_02년사업계획양식V2.0_02년사업계획양식V2.0 2" xfId="7943"/>
    <cellStyle name="7_전자99상결산진실_02년사업계획양식V1.0_대호(bs수정)_02년사업계획양식V2.0_02년사업계획양식V2.0_02년사업계획양식V3.0" xfId="7944"/>
    <cellStyle name="7_전자99상결산진실_02년사업계획양식V1.0_대호(bs수정)_02년사업계획양식V2.0_02년사업계획양식V2.0_02년사업계획양식V3.0 2" xfId="7945"/>
    <cellStyle name="7_전자99상결산진실_02년사업계획양식V1.0_대호(bs수정)_02년사업계획양식V2.0_02년사업계획양식V2.0_02년사업계획양식V3.0_02년사업계획양식V3.0" xfId="7946"/>
    <cellStyle name="7_전자99상결산진실_02년사업계획양식V1.0_대호(bs수정)_02년사업계획양식V2.0_02년사업계획양식V2.0_02년사업계획양식V3.0_02년사업계획양식V3.0 2" xfId="7947"/>
    <cellStyle name="7_전자99상결산진실_02년사업계획양식V1.0_대호(bs수정)_02년사업계획양식V2.0_02년사업계획양식V2.0_02년사업계획양식V3.0_02년사업계획양식V3.0(원본)" xfId="7948"/>
    <cellStyle name="7_전자99상결산진실_02년사업계획양식V1.0_대호(bs수정)_02년사업계획양식V2.0_02년사업계획양식V2.0_02년사업계획양식V3.0_02년사업계획양식V3.0(원본) 2" xfId="7949"/>
    <cellStyle name="7_전자99상결산진실_02년사업계획양식V1.0_대호(bs수정)_02년사업계획양식V2.0_02년사업계획양식V2.0_02년사업계획양식V3.0_02년사업계획양식V3.0(원본)_1" xfId="7950"/>
    <cellStyle name="7_전자99상결산진실_02년사업계획양식V1.0_대호(bs수정)_02년사업계획양식V2.0_02년사업계획양식V2.0_02년사업계획양식V3.0_02년사업계획양식V3.0(원본)_1 2" xfId="7951"/>
    <cellStyle name="7_전자99상결산진실_02년사업계획양식V1.0_대호(bs수정)_02년사업계획양식V2.0_02년사업계획양식V3.0" xfId="7952"/>
    <cellStyle name="7_전자99상결산진실_02년사업계획양식V1.0_대호(bs수정)_02년사업계획양식V2.0_02년사업계획양식V3.0 2" xfId="7953"/>
    <cellStyle name="7_전자99상결산진실_02년사업계획양식V1.0_대호(bs수정)_02년사업계획양식V2.0_02년사업계획양식V3.0(원본)" xfId="7954"/>
    <cellStyle name="7_전자99상결산진실_02년사업계획양식V1.0_대호(bs수정)_02년사업계획양식V2.0_02년사업계획양식V3.0(원본) 2" xfId="7955"/>
    <cellStyle name="7_전자99상결산진실_02년사업계획양식V1.0_대호(bs수정)_02년사업계획양식V2.0_02년사업계획양식V3.0(원본)_1" xfId="7956"/>
    <cellStyle name="7_전자99상결산진실_02년사업계획양식V1.0_대호(bs수정)_02년사업계획양식V2.0_02년사업계획양식V3.0(원본)_1 2" xfId="7957"/>
    <cellStyle name="7_전자99상결산진실_02년사업계획양식V1.0_대호(bs수정)_02년사업계획양식V2.0_02년사업계획양식V3.0_02년사업계획양식V3.0" xfId="7958"/>
    <cellStyle name="7_전자99상결산진실_02년사업계획양식V1.0_대호(bs수정)_02년사업계획양식V2.0_02년사업계획양식V3.0_02년사업계획양식V3.0 2" xfId="7959"/>
    <cellStyle name="7_전자99상결산진실_02년사업계획양식V1.0_대호(bs수정)_02년사업계획양식V2.0_02년사업계획양식V3.0_02년사업계획양식V3.0_02년사업계획양식V3.0" xfId="7960"/>
    <cellStyle name="7_전자99상결산진실_02년사업계획양식V1.0_대호(bs수정)_02년사업계획양식V2.0_02년사업계획양식V3.0_02년사업계획양식V3.0_02년사업계획양식V3.0 2" xfId="7961"/>
    <cellStyle name="7_전자99상결산진실_02년사업계획양식V1.0_대호(bs수정)_02년사업계획양식V2.0_02년사업계획양식V3.0_02년사업계획양식V3.0_02년사업계획양식V3.0(원본)" xfId="7962"/>
    <cellStyle name="7_전자99상결산진실_02년사업계획양식V1.0_대호(bs수정)_02년사업계획양식V2.0_02년사업계획양식V3.0_02년사업계획양식V3.0_02년사업계획양식V3.0(원본) 2" xfId="7963"/>
    <cellStyle name="7_전자99상결산진실_02년사업계획양식V1.0_대호(bs수정)_02년사업계획양식V2.0_02년사업계획양식V3.0_02년사업계획양식V3.0_02년사업계획양식V3.0(원본)_1" xfId="7964"/>
    <cellStyle name="7_전자99상결산진실_02년사업계획양식V1.0_대호(bs수정)_02년사업계획양식V2.0_02년사업계획양식V3.0_02년사업계획양식V3.0_02년사업계획양식V3.0(원본)_1 2" xfId="7965"/>
    <cellStyle name="7_전자99상결산진실_02년사업계획양식V1.0_대호(bs수정)_02년사업계획양식V3.0" xfId="7966"/>
    <cellStyle name="7_전자99상결산진실_02년사업계획양식V1.0_대호(bs수정)_02년사업계획양식V3.0 2" xfId="7967"/>
    <cellStyle name="7_전자99상결산진실_02년사업계획양식V1.0_대호(bs수정)_02년사업계획양식V3.0_02년사업계획양식V3.0" xfId="7968"/>
    <cellStyle name="7_전자99상결산진실_02년사업계획양식V1.0_대호(bs수정)_02년사업계획양식V3.0_02년사업계획양식V3.0 2" xfId="7969"/>
    <cellStyle name="7_전자99상결산진실_02년사업계획양식V1.0_대호(bs수정)_02년사업계획양식V3.0_02년사업계획양식V3.0(원본)" xfId="7970"/>
    <cellStyle name="7_전자99상결산진실_02년사업계획양식V1.0_대호(bs수정)_02년사업계획양식V3.0_02년사업계획양식V3.0(원본) 2" xfId="7971"/>
    <cellStyle name="7_전자99상결산진실_02년사업계획양식V1.0_대호(bs수정)_02년사업계획양식V3.0_02년사업계획양식V3.0(원본)_1" xfId="7972"/>
    <cellStyle name="7_전자99상결산진실_02년사업계획양식V1.0_대호(bs수정)_02년사업계획양식V3.0_02년사업계획양식V3.0(원본)_1 2" xfId="7973"/>
    <cellStyle name="7_전자99상결산진실_02년사업계획양식V2.0" xfId="7974"/>
    <cellStyle name="7_전자99상결산진실_02년사업계획양식V2.0 2" xfId="7975"/>
    <cellStyle name="7_전자99상결산진실_02년사업계획양식V2.0_02년사업계획양식V3.0" xfId="7976"/>
    <cellStyle name="7_전자99상결산진실_02년사업계획양식V2.0_02년사업계획양식V3.0 2" xfId="7977"/>
    <cellStyle name="7_전자99상결산진실_02년사업계획양식V2.0_02년사업계획양식V3.0_02년사업계획양식V3.0" xfId="7978"/>
    <cellStyle name="7_전자99상결산진실_02년사업계획양식V2.0_02년사업계획양식V3.0_02년사업계획양식V3.0 2" xfId="7979"/>
    <cellStyle name="7_전자99상결산진실_02년사업계획양식V2.0_02년사업계획양식V3.0_02년사업계획양식V3.0(원본)" xfId="7980"/>
    <cellStyle name="7_전자99상결산진실_02년사업계획양식V2.0_02년사업계획양식V3.0_02년사업계획양식V3.0(원본) 2" xfId="7981"/>
    <cellStyle name="7_전자99상결산진실_02년사업계획양식V2.0_02년사업계획양식V3.0_02년사업계획양식V3.0(원본)_1" xfId="7982"/>
    <cellStyle name="7_전자99상결산진실_02년사업계획양식V2.0_02년사업계획양식V3.0_02년사업계획양식V3.0(원본)_1 2" xfId="7983"/>
    <cellStyle name="7_전자99상결산진실_02년사업계획양식V3.0" xfId="7984"/>
    <cellStyle name="7_전자99상결산진실_02년사업계획양식V3.0 2" xfId="7985"/>
    <cellStyle name="7_전자99상결산진실_02년사업계획양식V3.0(원본)" xfId="7986"/>
    <cellStyle name="7_전자99상결산진실_02년사업계획양식V3.0(원본) 2" xfId="7987"/>
    <cellStyle name="7_전자99상결산진실_02년사업계획양식V3.0(원본)_1" xfId="7988"/>
    <cellStyle name="7_전자99상결산진실_02년사업계획양식V3.0(원본)_1 2" xfId="7989"/>
    <cellStyle name="7_전자99상결산진실_02년사업계획양식V3.0_02년사업계획양식V3.0" xfId="7990"/>
    <cellStyle name="7_전자99상결산진실_02년사업계획양식V3.0_02년사업계획양식V3.0 2" xfId="7991"/>
    <cellStyle name="7_전자99상결산진실_02년사업계획양식V3.0_02년사업계획양식V3.0_02년사업계획양식V3.0" xfId="7992"/>
    <cellStyle name="7_전자99상결산진실_02년사업계획양식V3.0_02년사업계획양식V3.0_02년사업계획양식V3.0 2" xfId="7993"/>
    <cellStyle name="7_전자99상결산진실_02년사업계획양식V3.0_02년사업계획양식V3.0_02년사업계획양식V3.0(원본)" xfId="7994"/>
    <cellStyle name="7_전자99상결산진실_02년사업계획양식V3.0_02년사업계획양식V3.0_02년사업계획양식V3.0(원본) 2" xfId="7995"/>
    <cellStyle name="7_전자99상결산진실_02년사업계획양식V3.0_02년사업계획양식V3.0_02년사업계획양식V3.0(원본)_1" xfId="7996"/>
    <cellStyle name="7_전자99상결산진실_02년사업계획양식V3.0_02년사업계획양식V3.0_02년사업계획양식V3.0(원본)_1 2" xfId="7997"/>
    <cellStyle name="7_전자99상결산진실_03_사업계획양식(MASS_Link)_1104" xfId="7998"/>
    <cellStyle name="7_전자99상결산진실_03_사업계획양식(MASS_Link)_1104 2" xfId="7999"/>
    <cellStyle name="7_전자99상결산진실_03기본_종합장표" xfId="8000"/>
    <cellStyle name="7_전자99상결산진실_03기본_종합장표 2" xfId="8001"/>
    <cellStyle name="7_전자99상결산진실_03법인비용_회수양식_AC" xfId="8002"/>
    <cellStyle name="7_전자99상결산진실_03법인비용_회수양식_AC 2" xfId="8003"/>
    <cellStyle name="7_전자99상결산진실_03혁신_종합장표" xfId="8004"/>
    <cellStyle name="7_전자99상결산진실_03혁신_종합장표 2" xfId="8005"/>
    <cellStyle name="7_전자99상결산진실_2001년 01월차 이동계획_0102" xfId="8006"/>
    <cellStyle name="7_전자99상결산진실_2001년 01월차 이동계획_0102 2" xfId="8007"/>
    <cellStyle name="7_전자99상결산진실_2001년 01월차 이동계획_0102_2001년 05월 이동계획_" xfId="8008"/>
    <cellStyle name="7_전자99상결산진실_2001년 01월차 이동계획_0102_2001년 05월 이동계획_ 2" xfId="8009"/>
    <cellStyle name="7_전자99상결산진실_2001년 01월차 이동계획_0102_2001년 06월 이동계획_(Maximum)" xfId="8010"/>
    <cellStyle name="7_전자99상결산진실_2001년 01월차 이동계획_0102_2001년 06월 이동계획_(Maximum) 2" xfId="8011"/>
    <cellStyle name="7_전자99상결산진실_2001년 01월차 이동계획_0102_2001년 07월차 이동계획보고_" xfId="8012"/>
    <cellStyle name="7_전자99상결산진실_2001년 01월차 이동계획_0102_2001년 07월차 이동계획보고_ 2" xfId="8013"/>
    <cellStyle name="7_전자99상결산진실_2001년 01월차 이동계획_0102_2002년_02월차_이동계획보고_" xfId="8014"/>
    <cellStyle name="7_전자99상결산진실_2001년 01월차 이동계획_0102_2002년_02월차_이동계획보고_ 2" xfId="8015"/>
    <cellStyle name="7_전자99상결산진실_2001년 01월차 이동계획_0102_2002년_03월차_이동계획보고_" xfId="8016"/>
    <cellStyle name="7_전자99상결산진실_2001년 01월차 이동계획_0102_2002년_03월차_이동계획보고_ 2" xfId="8017"/>
    <cellStyle name="7_전자99상결산진실_2001년 01월차 이동계획_0102_2002년_03월차_이동계획보고_1차수정" xfId="8018"/>
    <cellStyle name="7_전자99상결산진실_2001년 01월차 이동계획_0102_2002년_03월차_이동계획보고_1차수정 2" xfId="8019"/>
    <cellStyle name="7_전자99상결산진실_2001년 01월차 이동계획_0102_2002년_05월차_이동계획보고_" xfId="8020"/>
    <cellStyle name="7_전자99상결산진실_2001년 01월차 이동계획_0102_2002년_05월차_이동계획보고_ 2" xfId="8021"/>
    <cellStyle name="7_전자99상결산진실_2001년 01월차 이동계획_0102_2002년_06월차_이동계획보고_기종별수정" xfId="8022"/>
    <cellStyle name="7_전자99상결산진실_2001년 01월차 이동계획_0102_2002년_06월차_이동계획보고_기종별수정 2" xfId="8023"/>
    <cellStyle name="7_전자99상결산진실_2001년 01월차 이동계획_0102_2002년_07월차_이동계획보고_수정중_철판 반영후_최종" xfId="8026"/>
    <cellStyle name="7_전자99상결산진실_2001년 01월차 이동계획_0102_2002년_07월차_이동계획보고_수정중_철판 반영후_최종 2" xfId="8027"/>
    <cellStyle name="7_전자99상결산진실_2001년 01월차 이동계획_0102_2002년_07월차_이동계획보고_수정중0628_2" xfId="8024"/>
    <cellStyle name="7_전자99상결산진실_2001년 01월차 이동계획_0102_2002년_07월차_이동계획보고_수정중0628_2 2" xfId="8025"/>
    <cellStyle name="7_전자99상결산진실_2001년 01월차 이동계획_0102_VVR0J9DV" xfId="8028"/>
    <cellStyle name="7_전자99상결산진실_2001년 01월차 이동계획_0102_VVR0J9DV 2" xfId="8029"/>
    <cellStyle name="7_전자99상결산진실_2001년 02월 실적예상_02월21일기준" xfId="8030"/>
    <cellStyle name="7_전자99상결산진실_2001년 02월 실적예상_02월21일기준 2" xfId="8031"/>
    <cellStyle name="7_전자99상결산진실_2001년 02월 실적예상_02월21일기준_2001년 05월 이동계획_" xfId="8032"/>
    <cellStyle name="7_전자99상결산진실_2001년 02월 실적예상_02월21일기준_2001년 05월 이동계획_ 2" xfId="8033"/>
    <cellStyle name="7_전자99상결산진실_2001년 02월 실적예상_02월21일기준_2001년 06월 이동계획_(Maximum)" xfId="8034"/>
    <cellStyle name="7_전자99상결산진실_2001년 02월 실적예상_02월21일기준_2001년 06월 이동계획_(Maximum) 2" xfId="8035"/>
    <cellStyle name="7_전자99상결산진실_2001년 02월 실적예상_02월21일기준_2001년 07월차 이동계획보고_" xfId="8036"/>
    <cellStyle name="7_전자99상결산진실_2001년 02월 실적예상_02월21일기준_2001년 07월차 이동계획보고_ 2" xfId="8037"/>
    <cellStyle name="7_전자99상결산진실_2001년 02월 실적예상_02월21일기준_2002년_02월차_이동계획보고_" xfId="8038"/>
    <cellStyle name="7_전자99상결산진실_2001년 02월 실적예상_02월21일기준_2002년_02월차_이동계획보고_ 2" xfId="8039"/>
    <cellStyle name="7_전자99상결산진실_2001년 02월 실적예상_02월21일기준_2002년_03월차_이동계획보고_" xfId="8040"/>
    <cellStyle name="7_전자99상결산진실_2001년 02월 실적예상_02월21일기준_2002년_03월차_이동계획보고_ 2" xfId="8041"/>
    <cellStyle name="7_전자99상결산진실_2001년 02월 실적예상_02월21일기준_2002년_03월차_이동계획보고_1차수정" xfId="8042"/>
    <cellStyle name="7_전자99상결산진실_2001년 02월 실적예상_02월21일기준_2002년_03월차_이동계획보고_1차수정 2" xfId="8043"/>
    <cellStyle name="7_전자99상결산진실_2001년 02월 실적예상_02월21일기준_2002년_05월차_이동계획보고_" xfId="8044"/>
    <cellStyle name="7_전자99상결산진실_2001년 02월 실적예상_02월21일기준_2002년_05월차_이동계획보고_ 2" xfId="8045"/>
    <cellStyle name="7_전자99상결산진실_2001년 02월 실적예상_02월21일기준_2002년_06월차_이동계획보고_기종별수정" xfId="8046"/>
    <cellStyle name="7_전자99상결산진실_2001년 02월 실적예상_02월21일기준_2002년_06월차_이동계획보고_기종별수정 2" xfId="8047"/>
    <cellStyle name="7_전자99상결산진실_2001년 02월 실적예상_02월21일기준_2002년_07월차_이동계획보고_수정중_철판 반영후_최종" xfId="8050"/>
    <cellStyle name="7_전자99상결산진실_2001년 02월 실적예상_02월21일기준_2002년_07월차_이동계획보고_수정중_철판 반영후_최종 2" xfId="8051"/>
    <cellStyle name="7_전자99상결산진실_2001년 02월 실적예상_02월21일기준_2002년_07월차_이동계획보고_수정중0628_2" xfId="8048"/>
    <cellStyle name="7_전자99상결산진실_2001년 02월 실적예상_02월21일기준_2002년_07월차_이동계획보고_수정중0628_2 2" xfId="8049"/>
    <cellStyle name="7_전자99상결산진실_2001년 02월 실적예상_02월21일기준_VVR0J9DV" xfId="8052"/>
    <cellStyle name="7_전자99상결산진실_2001년 02월 실적예상_02월21일기준_VVR0J9DV 2" xfId="8053"/>
    <cellStyle name="7_전자99상결산진실_2001년 02월차 이동계획_" xfId="8054"/>
    <cellStyle name="7_전자99상결산진실_2001년 02월차 이동계획_ 2" xfId="8055"/>
    <cellStyle name="7_전자99상결산진실_2001년 02월차 이동계획__2001년 05월 이동계획_" xfId="8056"/>
    <cellStyle name="7_전자99상결산진실_2001년 02월차 이동계획__2001년 05월 이동계획_ 2" xfId="8057"/>
    <cellStyle name="7_전자99상결산진실_2001년 02월차 이동계획__2001년 06월 이동계획_(Maximum)" xfId="8058"/>
    <cellStyle name="7_전자99상결산진실_2001년 02월차 이동계획__2001년 06월 이동계획_(Maximum) 2" xfId="8059"/>
    <cellStyle name="7_전자99상결산진실_2001년 02월차 이동계획__2001년 07월차 이동계획보고_" xfId="8060"/>
    <cellStyle name="7_전자99상결산진실_2001년 02월차 이동계획__2001년 07월차 이동계획보고_ 2" xfId="8061"/>
    <cellStyle name="7_전자99상결산진실_2001년 02월차 이동계획__2002년_02월차_이동계획보고_" xfId="8062"/>
    <cellStyle name="7_전자99상결산진실_2001년 02월차 이동계획__2002년_02월차_이동계획보고_ 2" xfId="8063"/>
    <cellStyle name="7_전자99상결산진실_2001년 02월차 이동계획__2002년_03월차_이동계획보고_" xfId="8064"/>
    <cellStyle name="7_전자99상결산진실_2001년 02월차 이동계획__2002년_03월차_이동계획보고_ 2" xfId="8065"/>
    <cellStyle name="7_전자99상결산진실_2001년 02월차 이동계획__2002년_03월차_이동계획보고_1차수정" xfId="8066"/>
    <cellStyle name="7_전자99상결산진실_2001년 02월차 이동계획__2002년_03월차_이동계획보고_1차수정 2" xfId="8067"/>
    <cellStyle name="7_전자99상결산진실_2001년 02월차 이동계획__2002년_05월차_이동계획보고_" xfId="8068"/>
    <cellStyle name="7_전자99상결산진실_2001년 02월차 이동계획__2002년_05월차_이동계획보고_ 2" xfId="8069"/>
    <cellStyle name="7_전자99상결산진실_2001년 02월차 이동계획__2002년_06월차_이동계획보고_기종별수정" xfId="8070"/>
    <cellStyle name="7_전자99상결산진실_2001년 02월차 이동계획__2002년_06월차_이동계획보고_기종별수정 2" xfId="8071"/>
    <cellStyle name="7_전자99상결산진실_2001년 02월차 이동계획__2002년_07월차_이동계획보고_수정중_철판 반영후_최종" xfId="8074"/>
    <cellStyle name="7_전자99상결산진실_2001년 02월차 이동계획__2002년_07월차_이동계획보고_수정중_철판 반영후_최종 2" xfId="8075"/>
    <cellStyle name="7_전자99상결산진실_2001년 02월차 이동계획__2002년_07월차_이동계획보고_수정중0628_2" xfId="8072"/>
    <cellStyle name="7_전자99상결산진실_2001년 02월차 이동계획__2002년_07월차_이동계획보고_수정중0628_2 2" xfId="8073"/>
    <cellStyle name="7_전자99상결산진실_2001년 02월차 이동계획__VVR0J9DV" xfId="8076"/>
    <cellStyle name="7_전자99상결산진실_2001년 02월차 이동계획__VVR0J9DV 2" xfId="8077"/>
    <cellStyle name="7_전자99상결산진실_2002년_월별사업계획전산_DM" xfId="8078"/>
    <cellStyle name="7_전자99상결산진실_2002년_월별사업계획전산_DM 2" xfId="8079"/>
    <cellStyle name="7_전자99상결산진실_2002년_월별사업계획전산_DM_02년사업계획양식V1.0_대호(bs수정)" xfId="8080"/>
    <cellStyle name="7_전자99상결산진실_2002년_월별사업계획전산_DM_02년사업계획양식V1.0_대호(bs수정) 2" xfId="8081"/>
    <cellStyle name="7_전자99상결산진실_2002년_월별사업계획전산_DM_02년사업계획양식V1.0_대호(bs수정)_02년사업계획양식V2.0" xfId="8082"/>
    <cellStyle name="7_전자99상결산진실_2002년_월별사업계획전산_DM_02년사업계획양식V1.0_대호(bs수정)_02년사업계획양식V2.0 2" xfId="8083"/>
    <cellStyle name="7_전자99상결산진실_2002년_월별사업계획전산_DM_02년사업계획양식V1.0_대호(bs수정)_02년사업계획양식V2.0_02년사업계획양식V2.0" xfId="8084"/>
    <cellStyle name="7_전자99상결산진실_2002년_월별사업계획전산_DM_02년사업계획양식V1.0_대호(bs수정)_02년사업계획양식V2.0_02년사업계획양식V2.0 2" xfId="8085"/>
    <cellStyle name="7_전자99상결산진실_2002년_월별사업계획전산_DM_02년사업계획양식V1.0_대호(bs수정)_02년사업계획양식V2.0_02년사업계획양식V2.0_02년사업계획양식V3.0" xfId="8086"/>
    <cellStyle name="7_전자99상결산진실_2002년_월별사업계획전산_DM_02년사업계획양식V1.0_대호(bs수정)_02년사업계획양식V2.0_02년사업계획양식V2.0_02년사업계획양식V3.0 2" xfId="8087"/>
    <cellStyle name="7_전자99상결산진실_2002년_월별사업계획전산_DM_02년사업계획양식V1.0_대호(bs수정)_02년사업계획양식V2.0_02년사업계획양식V2.0_02년사업계획양식V3.0_02년사업계획양식V3.0" xfId="8088"/>
    <cellStyle name="7_전자99상결산진실_2002년_월별사업계획전산_DM_02년사업계획양식V1.0_대호(bs수정)_02년사업계획양식V2.0_02년사업계획양식V2.0_02년사업계획양식V3.0_02년사업계획양식V3.0 2" xfId="8089"/>
    <cellStyle name="7_전자99상결산진실_2002년_월별사업계획전산_DM_02년사업계획양식V1.0_대호(bs수정)_02년사업계획양식V2.0_02년사업계획양식V2.0_02년사업계획양식V3.0_02년사업계획양식V3.0(원본)" xfId="8090"/>
    <cellStyle name="7_전자99상결산진실_2002년_월별사업계획전산_DM_02년사업계획양식V1.0_대호(bs수정)_02년사업계획양식V2.0_02년사업계획양식V2.0_02년사업계획양식V3.0_02년사업계획양식V3.0(원본) 2" xfId="8091"/>
    <cellStyle name="7_전자99상결산진실_2002년_월별사업계획전산_DM_02년사업계획양식V1.0_대호(bs수정)_02년사업계획양식V2.0_02년사업계획양식V2.0_02년사업계획양식V3.0_02년사업계획양식V3.0(원본)_1" xfId="8092"/>
    <cellStyle name="7_전자99상결산진실_2002년_월별사업계획전산_DM_02년사업계획양식V1.0_대호(bs수정)_02년사업계획양식V2.0_02년사업계획양식V2.0_02년사업계획양식V3.0_02년사업계획양식V3.0(원본)_1 2" xfId="8093"/>
    <cellStyle name="7_전자99상결산진실_2002년_월별사업계획전산_DM_02년사업계획양식V1.0_대호(bs수정)_02년사업계획양식V2.0_02년사업계획양식V3.0" xfId="8094"/>
    <cellStyle name="7_전자99상결산진실_2002년_월별사업계획전산_DM_02년사업계획양식V1.0_대호(bs수정)_02년사업계획양식V2.0_02년사업계획양식V3.0 2" xfId="8095"/>
    <cellStyle name="7_전자99상결산진실_2002년_월별사업계획전산_DM_02년사업계획양식V1.0_대호(bs수정)_02년사업계획양식V2.0_02년사업계획양식V3.0(원본)" xfId="8096"/>
    <cellStyle name="7_전자99상결산진실_2002년_월별사업계획전산_DM_02년사업계획양식V1.0_대호(bs수정)_02년사업계획양식V2.0_02년사업계획양식V3.0(원본) 2" xfId="8097"/>
    <cellStyle name="7_전자99상결산진실_2002년_월별사업계획전산_DM_02년사업계획양식V1.0_대호(bs수정)_02년사업계획양식V2.0_02년사업계획양식V3.0(원본)_1" xfId="8098"/>
    <cellStyle name="7_전자99상결산진실_2002년_월별사업계획전산_DM_02년사업계획양식V1.0_대호(bs수정)_02년사업계획양식V2.0_02년사업계획양식V3.0(원본)_1 2" xfId="8099"/>
    <cellStyle name="7_전자99상결산진실_2002년_월별사업계획전산_DM_02년사업계획양식V1.0_대호(bs수정)_02년사업계획양식V2.0_02년사업계획양식V3.0_02년사업계획양식V3.0" xfId="8100"/>
    <cellStyle name="7_전자99상결산진실_2002년_월별사업계획전산_DM_02년사업계획양식V1.0_대호(bs수정)_02년사업계획양식V2.0_02년사업계획양식V3.0_02년사업계획양식V3.0 2" xfId="8101"/>
    <cellStyle name="7_전자99상결산진실_2002년_월별사업계획전산_DM_02년사업계획양식V1.0_대호(bs수정)_02년사업계획양식V2.0_02년사업계획양식V3.0_02년사업계획양식V3.0_02년사업계획양식V3.0" xfId="8102"/>
    <cellStyle name="7_전자99상결산진실_2002년_월별사업계획전산_DM_02년사업계획양식V1.0_대호(bs수정)_02년사업계획양식V2.0_02년사업계획양식V3.0_02년사업계획양식V3.0_02년사업계획양식V3.0 2" xfId="8103"/>
    <cellStyle name="7_전자99상결산진실_2002년_월별사업계획전산_DM_02년사업계획양식V1.0_대호(bs수정)_02년사업계획양식V2.0_02년사업계획양식V3.0_02년사업계획양식V3.0_02년사업계획양식V3.0(원본)" xfId="8104"/>
    <cellStyle name="7_전자99상결산진실_2002년_월별사업계획전산_DM_02년사업계획양식V1.0_대호(bs수정)_02년사업계획양식V2.0_02년사업계획양식V3.0_02년사업계획양식V3.0_02년사업계획양식V3.0(원본) 2" xfId="8105"/>
    <cellStyle name="7_전자99상결산진실_2002년_월별사업계획전산_DM_02년사업계획양식V1.0_대호(bs수정)_02년사업계획양식V2.0_02년사업계획양식V3.0_02년사업계획양식V3.0_02년사업계획양식V3.0(원본)_1" xfId="8106"/>
    <cellStyle name="7_전자99상결산진실_2002년_월별사업계획전산_DM_02년사업계획양식V1.0_대호(bs수정)_02년사업계획양식V2.0_02년사업계획양식V3.0_02년사업계획양식V3.0_02년사업계획양식V3.0(원본)_1 2" xfId="8107"/>
    <cellStyle name="7_전자99상결산진실_2002년_월별사업계획전산_DM_02년사업계획양식V1.0_대호(bs수정)_02년사업계획양식V3.0" xfId="8108"/>
    <cellStyle name="7_전자99상결산진실_2002년_월별사업계획전산_DM_02년사업계획양식V1.0_대호(bs수정)_02년사업계획양식V3.0 2" xfId="8109"/>
    <cellStyle name="7_전자99상결산진실_2002년_월별사업계획전산_DM_02년사업계획양식V1.0_대호(bs수정)_02년사업계획양식V3.0_02년사업계획양식V3.0" xfId="8110"/>
    <cellStyle name="7_전자99상결산진실_2002년_월별사업계획전산_DM_02년사업계획양식V1.0_대호(bs수정)_02년사업계획양식V3.0_02년사업계획양식V3.0 2" xfId="8111"/>
    <cellStyle name="7_전자99상결산진실_2002년_월별사업계획전산_DM_02년사업계획양식V1.0_대호(bs수정)_02년사업계획양식V3.0_02년사업계획양식V3.0(원본)" xfId="8112"/>
    <cellStyle name="7_전자99상결산진실_2002년_월별사업계획전산_DM_02년사업계획양식V1.0_대호(bs수정)_02년사업계획양식V3.0_02년사업계획양식V3.0(원본) 2" xfId="8113"/>
    <cellStyle name="7_전자99상결산진실_2002년_월별사업계획전산_DM_02년사업계획양식V1.0_대호(bs수정)_02년사업계획양식V3.0_02년사업계획양식V3.0(원본)_1" xfId="8114"/>
    <cellStyle name="7_전자99상결산진실_2002년_월별사업계획전산_DM_02년사업계획양식V1.0_대호(bs수정)_02년사업계획양식V3.0_02년사업계획양식V3.0(원본)_1 2" xfId="8115"/>
    <cellStyle name="7_전자99상결산진실_2002년_월별사업계획전산_DM_02년사업계획양식V2.0" xfId="8116"/>
    <cellStyle name="7_전자99상결산진실_2002년_월별사업계획전산_DM_02년사업계획양식V2.0 2" xfId="8117"/>
    <cellStyle name="7_전자99상결산진실_2002년_월별사업계획전산_DM_02년사업계획양식V2.0_02년사업계획양식V3.0" xfId="8118"/>
    <cellStyle name="7_전자99상결산진실_2002년_월별사업계획전산_DM_02년사업계획양식V2.0_02년사업계획양식V3.0 2" xfId="8119"/>
    <cellStyle name="7_전자99상결산진실_2002년_월별사업계획전산_DM_02년사업계획양식V2.0_02년사업계획양식V3.0_02년사업계획양식V3.0" xfId="8120"/>
    <cellStyle name="7_전자99상결산진실_2002년_월별사업계획전산_DM_02년사업계획양식V2.0_02년사업계획양식V3.0_02년사업계획양식V3.0 2" xfId="8121"/>
    <cellStyle name="7_전자99상결산진실_2002년_월별사업계획전산_DM_02년사업계획양식V2.0_02년사업계획양식V3.0_02년사업계획양식V3.0(원본)" xfId="8122"/>
    <cellStyle name="7_전자99상결산진실_2002년_월별사업계획전산_DM_02년사업계획양식V2.0_02년사업계획양식V3.0_02년사업계획양식V3.0(원본) 2" xfId="8123"/>
    <cellStyle name="7_전자99상결산진실_2002년_월별사업계획전산_DM_02년사업계획양식V2.0_02년사업계획양식V3.0_02년사업계획양식V3.0(원본)_1" xfId="8124"/>
    <cellStyle name="7_전자99상결산진실_2002년_월별사업계획전산_DM_02년사업계획양식V2.0_02년사업계획양식V3.0_02년사업계획양식V3.0(원본)_1 2" xfId="8125"/>
    <cellStyle name="7_전자99상결산진실_2002년_월별사업계획전산_DM_02년사업계획양식V3.0" xfId="8126"/>
    <cellStyle name="7_전자99상결산진실_2002년_월별사업계획전산_DM_02년사업계획양식V3.0 2" xfId="8127"/>
    <cellStyle name="7_전자99상결산진실_2002년_월별사업계획전산_DM_02년사업계획양식V3.0(원본)" xfId="8128"/>
    <cellStyle name="7_전자99상결산진실_2002년_월별사업계획전산_DM_02년사업계획양식V3.0(원본) 2" xfId="8129"/>
    <cellStyle name="7_전자99상결산진실_2002년_월별사업계획전산_DM_02년사업계획양식V3.0(원본)_1" xfId="8130"/>
    <cellStyle name="7_전자99상결산진실_2002년_월별사업계획전산_DM_02년사업계획양식V3.0(원본)_1 2" xfId="8131"/>
    <cellStyle name="7_전자99상결산진실_2002년_월별사업계획전산_DM_02년사업계획양식V3.0_02년사업계획양식V3.0" xfId="8132"/>
    <cellStyle name="7_전자99상결산진실_2002년_월별사업계획전산_DM_02년사업계획양식V3.0_02년사업계획양식V3.0 2" xfId="8133"/>
    <cellStyle name="7_전자99상결산진실_2002년_월별사업계획전산_DM_02년사업계획양식V3.0_02년사업계획양식V3.0_02년사업계획양식V3.0" xfId="8134"/>
    <cellStyle name="7_전자99상결산진실_2002년_월별사업계획전산_DM_02년사업계획양식V3.0_02년사업계획양식V3.0_02년사업계획양식V3.0 2" xfId="8135"/>
    <cellStyle name="7_전자99상결산진실_2002년_월별사업계획전산_DM_02년사업계획양식V3.0_02년사업계획양식V3.0_02년사업계획양식V3.0(원본)" xfId="8136"/>
    <cellStyle name="7_전자99상결산진실_2002년_월별사업계획전산_DM_02년사업계획양식V3.0_02년사업계획양식V3.0_02년사업계획양식V3.0(원본) 2" xfId="8137"/>
    <cellStyle name="7_전자99상결산진실_2002년_월별사업계획전산_DM_02년사업계획양식V3.0_02년사업계획양식V3.0_02년사업계획양식V3.0(원본)_1" xfId="8138"/>
    <cellStyle name="7_전자99상결산진실_2002년_월별사업계획전산_DM_02년사업계획양식V3.0_02년사업계획양식V3.0_02년사업계획양식V3.0(원본)_1 2" xfId="8139"/>
    <cellStyle name="7_전자99상결산진실_eva&amp;cash_02~05년 CM" xfId="8140"/>
    <cellStyle name="7_전자99상결산진실_eva&amp;cash_02~05년 CM 2" xfId="8141"/>
    <cellStyle name="7_전자99상결산진실_그룹+업적보고회+보완사항" xfId="8142"/>
    <cellStyle name="7_전자99상결산진실_그룹+업적보고회+보완사항 2" xfId="8143"/>
    <cellStyle name="7_전자99상결산진실_본부본사배부_1022FINAL본사비축소_해외법인" xfId="8144"/>
    <cellStyle name="7_전자99상결산진실_본부본사배부_1022FINAL본사비축소_해외법인 2" xfId="8145"/>
    <cellStyle name="7_전자99상결산진실_사업계획 양식" xfId="8146"/>
    <cellStyle name="7_전자99상결산진실_사업계획 양식 2" xfId="8147"/>
    <cellStyle name="7_전자99상결산진실_사업계획 양식_02년사업계획양식V1.0_대호(bs수정)" xfId="8148"/>
    <cellStyle name="7_전자99상결산진실_사업계획 양식_02년사업계획양식V1.0_대호(bs수정) 2" xfId="8149"/>
    <cellStyle name="7_전자99상결산진실_사업계획 양식_02년사업계획양식V1.0_대호(bs수정)_02년사업계획양식V2.0" xfId="8150"/>
    <cellStyle name="7_전자99상결산진실_사업계획 양식_02년사업계획양식V1.0_대호(bs수정)_02년사업계획양식V2.0 2" xfId="8151"/>
    <cellStyle name="7_전자99상결산진실_사업계획 양식_02년사업계획양식V1.0_대호(bs수정)_02년사업계획양식V2.0_02년사업계획양식V2.0" xfId="8152"/>
    <cellStyle name="7_전자99상결산진실_사업계획 양식_02년사업계획양식V1.0_대호(bs수정)_02년사업계획양식V2.0_02년사업계획양식V2.0 2" xfId="8153"/>
    <cellStyle name="7_전자99상결산진실_사업계획 양식_02년사업계획양식V1.0_대호(bs수정)_02년사업계획양식V2.0_02년사업계획양식V2.0_02년사업계획양식V3.0" xfId="8154"/>
    <cellStyle name="7_전자99상결산진실_사업계획 양식_02년사업계획양식V1.0_대호(bs수정)_02년사업계획양식V2.0_02년사업계획양식V2.0_02년사업계획양식V3.0 2" xfId="8155"/>
    <cellStyle name="7_전자99상결산진실_사업계획 양식_02년사업계획양식V1.0_대호(bs수정)_02년사업계획양식V2.0_02년사업계획양식V2.0_02년사업계획양식V3.0_02년사업계획양식V3.0" xfId="8156"/>
    <cellStyle name="7_전자99상결산진실_사업계획 양식_02년사업계획양식V1.0_대호(bs수정)_02년사업계획양식V2.0_02년사업계획양식V2.0_02년사업계획양식V3.0_02년사업계획양식V3.0 2" xfId="8157"/>
    <cellStyle name="7_전자99상결산진실_사업계획 양식_02년사업계획양식V1.0_대호(bs수정)_02년사업계획양식V2.0_02년사업계획양식V2.0_02년사업계획양식V3.0_02년사업계획양식V3.0(원본)" xfId="8158"/>
    <cellStyle name="7_전자99상결산진실_사업계획 양식_02년사업계획양식V1.0_대호(bs수정)_02년사업계획양식V2.0_02년사업계획양식V2.0_02년사업계획양식V3.0_02년사업계획양식V3.0(원본) 2" xfId="8159"/>
    <cellStyle name="7_전자99상결산진실_사업계획 양식_02년사업계획양식V1.0_대호(bs수정)_02년사업계획양식V2.0_02년사업계획양식V2.0_02년사업계획양식V3.0_02년사업계획양식V3.0(원본)_1" xfId="8160"/>
    <cellStyle name="7_전자99상결산진실_사업계획 양식_02년사업계획양식V1.0_대호(bs수정)_02년사업계획양식V2.0_02년사업계획양식V2.0_02년사업계획양식V3.0_02년사업계획양식V3.0(원본)_1 2" xfId="8161"/>
    <cellStyle name="7_전자99상결산진실_사업계획 양식_02년사업계획양식V1.0_대호(bs수정)_02년사업계획양식V2.0_02년사업계획양식V3.0" xfId="8162"/>
    <cellStyle name="7_전자99상결산진실_사업계획 양식_02년사업계획양식V1.0_대호(bs수정)_02년사업계획양식V2.0_02년사업계획양식V3.0 2" xfId="8163"/>
    <cellStyle name="7_전자99상결산진실_사업계획 양식_02년사업계획양식V1.0_대호(bs수정)_02년사업계획양식V2.0_02년사업계획양식V3.0(원본)" xfId="8164"/>
    <cellStyle name="7_전자99상결산진실_사업계획 양식_02년사업계획양식V1.0_대호(bs수정)_02년사업계획양식V2.0_02년사업계획양식V3.0(원본) 2" xfId="8165"/>
    <cellStyle name="7_전자99상결산진실_사업계획 양식_02년사업계획양식V1.0_대호(bs수정)_02년사업계획양식V2.0_02년사업계획양식V3.0(원본)_1" xfId="8166"/>
    <cellStyle name="7_전자99상결산진실_사업계획 양식_02년사업계획양식V1.0_대호(bs수정)_02년사업계획양식V2.0_02년사업계획양식V3.0(원본)_1 2" xfId="8167"/>
    <cellStyle name="7_전자99상결산진실_사업계획 양식_02년사업계획양식V1.0_대호(bs수정)_02년사업계획양식V2.0_02년사업계획양식V3.0_02년사업계획양식V3.0" xfId="8168"/>
    <cellStyle name="7_전자99상결산진실_사업계획 양식_02년사업계획양식V1.0_대호(bs수정)_02년사업계획양식V2.0_02년사업계획양식V3.0_02년사업계획양식V3.0 2" xfId="8169"/>
    <cellStyle name="7_전자99상결산진실_사업계획 양식_02년사업계획양식V1.0_대호(bs수정)_02년사업계획양식V2.0_02년사업계획양식V3.0_02년사업계획양식V3.0_02년사업계획양식V3.0" xfId="8170"/>
    <cellStyle name="7_전자99상결산진실_사업계획 양식_02년사업계획양식V1.0_대호(bs수정)_02년사업계획양식V2.0_02년사업계획양식V3.0_02년사업계획양식V3.0_02년사업계획양식V3.0 2" xfId="8171"/>
    <cellStyle name="7_전자99상결산진실_사업계획 양식_02년사업계획양식V1.0_대호(bs수정)_02년사업계획양식V2.0_02년사업계획양식V3.0_02년사업계획양식V3.0_02년사업계획양식V3.0(원본)" xfId="8172"/>
    <cellStyle name="7_전자99상결산진실_사업계획 양식_02년사업계획양식V1.0_대호(bs수정)_02년사업계획양식V2.0_02년사업계획양식V3.0_02년사업계획양식V3.0_02년사업계획양식V3.0(원본) 2" xfId="8173"/>
    <cellStyle name="7_전자99상결산진실_사업계획 양식_02년사업계획양식V1.0_대호(bs수정)_02년사업계획양식V2.0_02년사업계획양식V3.0_02년사업계획양식V3.0_02년사업계획양식V3.0(원본)_1" xfId="8174"/>
    <cellStyle name="7_전자99상결산진실_사업계획 양식_02년사업계획양식V1.0_대호(bs수정)_02년사업계획양식V2.0_02년사업계획양식V3.0_02년사업계획양식V3.0_02년사업계획양식V3.0(원본)_1 2" xfId="8175"/>
    <cellStyle name="7_전자99상결산진실_사업계획 양식_02년사업계획양식V1.0_대호(bs수정)_02년사업계획양식V3.0" xfId="8176"/>
    <cellStyle name="7_전자99상결산진실_사업계획 양식_02년사업계획양식V1.0_대호(bs수정)_02년사업계획양식V3.0 2" xfId="8177"/>
    <cellStyle name="7_전자99상결산진실_사업계획 양식_02년사업계획양식V1.0_대호(bs수정)_02년사업계획양식V3.0_02년사업계획양식V3.0" xfId="8178"/>
    <cellStyle name="7_전자99상결산진실_사업계획 양식_02년사업계획양식V1.0_대호(bs수정)_02년사업계획양식V3.0_02년사업계획양식V3.0 2" xfId="8179"/>
    <cellStyle name="7_전자99상결산진실_사업계획 양식_02년사업계획양식V1.0_대호(bs수정)_02년사업계획양식V3.0_02년사업계획양식V3.0(원본)" xfId="8180"/>
    <cellStyle name="7_전자99상결산진실_사업계획 양식_02년사업계획양식V1.0_대호(bs수정)_02년사업계획양식V3.0_02년사업계획양식V3.0(원본) 2" xfId="8181"/>
    <cellStyle name="7_전자99상결산진실_사업계획 양식_02년사업계획양식V1.0_대호(bs수정)_02년사업계획양식V3.0_02년사업계획양식V3.0(원본)_1" xfId="8182"/>
    <cellStyle name="7_전자99상결산진실_사업계획 양식_02년사업계획양식V1.0_대호(bs수정)_02년사업계획양식V3.0_02년사업계획양식V3.0(원본)_1 2" xfId="8183"/>
    <cellStyle name="7_전자99상결산진실_사업계획 양식_02년사업계획양식V2.0" xfId="8184"/>
    <cellStyle name="7_전자99상결산진실_사업계획 양식_02년사업계획양식V2.0 2" xfId="8185"/>
    <cellStyle name="7_전자99상결산진실_사업계획 양식_02년사업계획양식V2.0_02년사업계획양식V3.0" xfId="8186"/>
    <cellStyle name="7_전자99상결산진실_사업계획 양식_02년사업계획양식V2.0_02년사업계획양식V3.0 2" xfId="8187"/>
    <cellStyle name="7_전자99상결산진실_사업계획 양식_02년사업계획양식V2.0_02년사업계획양식V3.0_02년사업계획양식V3.0" xfId="8188"/>
    <cellStyle name="7_전자99상결산진실_사업계획 양식_02년사업계획양식V2.0_02년사업계획양식V3.0_02년사업계획양식V3.0 2" xfId="8189"/>
    <cellStyle name="7_전자99상결산진실_사업계획 양식_02년사업계획양식V2.0_02년사업계획양식V3.0_02년사업계획양식V3.0(원본)" xfId="8190"/>
    <cellStyle name="7_전자99상결산진실_사업계획 양식_02년사업계획양식V2.0_02년사업계획양식V3.0_02년사업계획양식V3.0(원본) 2" xfId="8191"/>
    <cellStyle name="7_전자99상결산진실_사업계획 양식_02년사업계획양식V2.0_02년사업계획양식V3.0_02년사업계획양식V3.0(원본)_1" xfId="8192"/>
    <cellStyle name="7_전자99상결산진실_사업계획 양식_02년사업계획양식V2.0_02년사업계획양식V3.0_02년사업계획양식V3.0(원본)_1 2" xfId="8193"/>
    <cellStyle name="7_전자99상결산진실_사업계획 양식_02년사업계획양식V3.0" xfId="8194"/>
    <cellStyle name="7_전자99상결산진실_사업계획 양식_02년사업계획양식V3.0 2" xfId="8195"/>
    <cellStyle name="7_전자99상결산진실_사업계획 양식_02년사업계획양식V3.0(원본)" xfId="8196"/>
    <cellStyle name="7_전자99상결산진실_사업계획 양식_02년사업계획양식V3.0(원본) 2" xfId="8197"/>
    <cellStyle name="7_전자99상결산진실_사업계획 양식_02년사업계획양식V3.0(원본)_1" xfId="8198"/>
    <cellStyle name="7_전자99상결산진실_사업계획 양식_02년사업계획양식V3.0(원본)_1 2" xfId="8199"/>
    <cellStyle name="7_전자99상결산진실_사업계획 양식_02년사업계획양식V3.0_02년사업계획양식V3.0" xfId="8200"/>
    <cellStyle name="7_전자99상결산진실_사업계획 양식_02년사업계획양식V3.0_02년사업계획양식V3.0 2" xfId="8201"/>
    <cellStyle name="7_전자99상결산진실_사업계획 양식_02년사업계획양식V3.0_02년사업계획양식V3.0_02년사업계획양식V3.0" xfId="8202"/>
    <cellStyle name="7_전자99상결산진실_사업계획 양식_02년사업계획양식V3.0_02년사업계획양식V3.0_02년사업계획양식V3.0 2" xfId="8203"/>
    <cellStyle name="7_전자99상결산진실_사업계획 양식_02년사업계획양식V3.0_02년사업계획양식V3.0_02년사업계획양식V3.0(원본)" xfId="8204"/>
    <cellStyle name="7_전자99상결산진실_사업계획 양식_02년사업계획양식V3.0_02년사업계획양식V3.0_02년사업계획양식V3.0(원본) 2" xfId="8205"/>
    <cellStyle name="7_전자99상결산진실_사업계획 양식_02년사업계획양식V3.0_02년사업계획양식V3.0_02년사업계획양식V3.0(원본)_1" xfId="8206"/>
    <cellStyle name="7_전자99상결산진실_사업계획 양식_02년사업계획양식V3.0_02년사업계획양식V3.0_02년사업계획양식V3.0(원본)_1 2" xfId="8207"/>
    <cellStyle name="7_전자99연간결산진실" xfId="8208"/>
    <cellStyle name="7_전자99연간결산진실 2" xfId="8209"/>
    <cellStyle name="7_전자99연간결산진실_02년사업계획양식V1.0" xfId="8210"/>
    <cellStyle name="7_전자99연간결산진실_02년사업계획양식V1.0 2" xfId="8211"/>
    <cellStyle name="7_전자99연간결산진실_02년사업계획양식V1.0_02년사업계획양식V1.0_고동욱_011205" xfId="8212"/>
    <cellStyle name="7_전자99연간결산진실_02년사업계획양식V1.0_02년사업계획양식V1.0_고동욱_011205 2" xfId="8213"/>
    <cellStyle name="7_전자99연간결산진실_02년사업계획양식V1.0_02년사업계획양식V1.0_고동욱_011205_02년사업계획양식V2.0" xfId="8214"/>
    <cellStyle name="7_전자99연간결산진실_02년사업계획양식V1.0_02년사업계획양식V1.0_고동욱_011205_02년사업계획양식V2.0 2" xfId="8215"/>
    <cellStyle name="7_전자99연간결산진실_02년사업계획양식V1.0_02년사업계획양식V1.0_고동욱_011205_02년사업계획양식V2.0_02년사업계획양식V2.0" xfId="8216"/>
    <cellStyle name="7_전자99연간결산진실_02년사업계획양식V1.0_02년사업계획양식V1.0_고동욱_011205_02년사업계획양식V2.0_02년사업계획양식V2.0 2" xfId="8217"/>
    <cellStyle name="7_전자99연간결산진실_02년사업계획양식V1.0_02년사업계획양식V1.0_고동욱_011205_02년사업계획양식V2.0_02년사업계획양식V2.0_02년사업계획양식V3.0" xfId="8218"/>
    <cellStyle name="7_전자99연간결산진실_02년사업계획양식V1.0_02년사업계획양식V1.0_고동욱_011205_02년사업계획양식V2.0_02년사업계획양식V2.0_02년사업계획양식V3.0 2" xfId="8219"/>
    <cellStyle name="7_전자99연간결산진실_02년사업계획양식V1.0_02년사업계획양식V1.0_고동욱_011205_02년사업계획양식V2.0_02년사업계획양식V2.0_02년사업계획양식V3.0_02년사업계획양식V3.0" xfId="8220"/>
    <cellStyle name="7_전자99연간결산진실_02년사업계획양식V1.0_02년사업계획양식V1.0_고동욱_011205_02년사업계획양식V2.0_02년사업계획양식V2.0_02년사업계획양식V3.0_02년사업계획양식V3.0 2" xfId="8221"/>
    <cellStyle name="7_전자99연간결산진실_02년사업계획양식V1.0_02년사업계획양식V1.0_고동욱_011205_02년사업계획양식V2.0_02년사업계획양식V2.0_02년사업계획양식V3.0_02년사업계획양식V3.0(원본)" xfId="8222"/>
    <cellStyle name="7_전자99연간결산진실_02년사업계획양식V1.0_02년사업계획양식V1.0_고동욱_011205_02년사업계획양식V2.0_02년사업계획양식V2.0_02년사업계획양식V3.0_02년사업계획양식V3.0(원본) 2" xfId="8223"/>
    <cellStyle name="7_전자99연간결산진실_02년사업계획양식V1.0_02년사업계획양식V1.0_고동욱_011205_02년사업계획양식V2.0_02년사업계획양식V2.0_02년사업계획양식V3.0_02년사업계획양식V3.0(원본)_1" xfId="8224"/>
    <cellStyle name="7_전자99연간결산진실_02년사업계획양식V1.0_02년사업계획양식V1.0_고동욱_011205_02년사업계획양식V2.0_02년사업계획양식V2.0_02년사업계획양식V3.0_02년사업계획양식V3.0(원본)_1 2" xfId="8225"/>
    <cellStyle name="7_전자99연간결산진실_02년사업계획양식V1.0_02년사업계획양식V1.0_고동욱_011205_02년사업계획양식V2.0_02년사업계획양식V3.0" xfId="8226"/>
    <cellStyle name="7_전자99연간결산진실_02년사업계획양식V1.0_02년사업계획양식V1.0_고동욱_011205_02년사업계획양식V2.0_02년사업계획양식V3.0 2" xfId="8227"/>
    <cellStyle name="7_전자99연간결산진실_02년사업계획양식V1.0_02년사업계획양식V1.0_고동욱_011205_02년사업계획양식V2.0_02년사업계획양식V3.0(원본)" xfId="8228"/>
    <cellStyle name="7_전자99연간결산진실_02년사업계획양식V1.0_02년사업계획양식V1.0_고동욱_011205_02년사업계획양식V2.0_02년사업계획양식V3.0(원본) 2" xfId="8229"/>
    <cellStyle name="7_전자99연간결산진실_02년사업계획양식V1.0_02년사업계획양식V1.0_고동욱_011205_02년사업계획양식V2.0_02년사업계획양식V3.0(원본)_1" xfId="8230"/>
    <cellStyle name="7_전자99연간결산진실_02년사업계획양식V1.0_02년사업계획양식V1.0_고동욱_011205_02년사업계획양식V2.0_02년사업계획양식V3.0(원본)_1 2" xfId="8231"/>
    <cellStyle name="7_전자99연간결산진실_02년사업계획양식V1.0_02년사업계획양식V1.0_고동욱_011205_02년사업계획양식V2.0_02년사업계획양식V3.0_02년사업계획양식V3.0" xfId="8232"/>
    <cellStyle name="7_전자99연간결산진실_02년사업계획양식V1.0_02년사업계획양식V1.0_고동욱_011205_02년사업계획양식V2.0_02년사업계획양식V3.0_02년사업계획양식V3.0 2" xfId="8233"/>
    <cellStyle name="7_전자99연간결산진실_02년사업계획양식V1.0_02년사업계획양식V1.0_고동욱_011205_02년사업계획양식V2.0_02년사업계획양식V3.0_02년사업계획양식V3.0_02년사업계획양식V3.0" xfId="8234"/>
    <cellStyle name="7_전자99연간결산진실_02년사업계획양식V1.0_02년사업계획양식V1.0_고동욱_011205_02년사업계획양식V2.0_02년사업계획양식V3.0_02년사업계획양식V3.0_02년사업계획양식V3.0 2" xfId="8235"/>
    <cellStyle name="7_전자99연간결산진실_02년사업계획양식V1.0_02년사업계획양식V1.0_고동욱_011205_02년사업계획양식V2.0_02년사업계획양식V3.0_02년사업계획양식V3.0_02년사업계획양식V3.0(원본)" xfId="8236"/>
    <cellStyle name="7_전자99연간결산진실_02년사업계획양식V1.0_02년사업계획양식V1.0_고동욱_011205_02년사업계획양식V2.0_02년사업계획양식V3.0_02년사업계획양식V3.0_02년사업계획양식V3.0(원본) 2" xfId="8237"/>
    <cellStyle name="7_전자99연간결산진실_02년사업계획양식V1.0_02년사업계획양식V1.0_고동욱_011205_02년사업계획양식V2.0_02년사업계획양식V3.0_02년사업계획양식V3.0_02년사업계획양식V3.0(원본)_1" xfId="8238"/>
    <cellStyle name="7_전자99연간결산진실_02년사업계획양식V1.0_02년사업계획양식V1.0_고동욱_011205_02년사업계획양식V2.0_02년사업계획양식V3.0_02년사업계획양식V3.0_02년사업계획양식V3.0(원본)_1 2" xfId="8239"/>
    <cellStyle name="7_전자99연간결산진실_02년사업계획양식V1.0_02년사업계획양식V1.0_고동욱_011205_02년사업계획양식V3.0" xfId="8240"/>
    <cellStyle name="7_전자99연간결산진실_02년사업계획양식V1.0_02년사업계획양식V1.0_고동욱_011205_02년사업계획양식V3.0 2" xfId="8241"/>
    <cellStyle name="7_전자99연간결산진실_02년사업계획양식V1.0_02년사업계획양식V1.0_고동욱_011205_02년사업계획양식V3.0_02년사업계획양식V3.0" xfId="8242"/>
    <cellStyle name="7_전자99연간결산진실_02년사업계획양식V1.0_02년사업계획양식V1.0_고동욱_011205_02년사업계획양식V3.0_02년사업계획양식V3.0 2" xfId="8243"/>
    <cellStyle name="7_전자99연간결산진실_02년사업계획양식V1.0_02년사업계획양식V1.0_고동욱_011205_02년사업계획양식V3.0_02년사업계획양식V3.0(원본)" xfId="8244"/>
    <cellStyle name="7_전자99연간결산진실_02년사업계획양식V1.0_02년사업계획양식V1.0_고동욱_011205_02년사업계획양식V3.0_02년사업계획양식V3.0(원본) 2" xfId="8245"/>
    <cellStyle name="7_전자99연간결산진실_02년사업계획양식V1.0_02년사업계획양식V1.0_고동욱_011205_02년사업계획양식V3.0_02년사업계획양식V3.0(원본)_1" xfId="8246"/>
    <cellStyle name="7_전자99연간결산진실_02년사업계획양식V1.0_02년사업계획양식V1.0_고동욱_011205_02년사업계획양식V3.0_02년사업계획양식V3.0(원본)_1 2" xfId="8247"/>
    <cellStyle name="7_전자99연간결산진실_02년사업계획양식V1.0_02년사업계획양식V1.0_대호(bs수정)" xfId="8248"/>
    <cellStyle name="7_전자99연간결산진실_02년사업계획양식V1.0_02년사업계획양식V1.0_대호(bs수정) 2" xfId="8249"/>
    <cellStyle name="7_전자99연간결산진실_02년사업계획양식V1.0_02년사업계획양식V1.0_대호(bs수정)_02년사업계획양식V2.0" xfId="8250"/>
    <cellStyle name="7_전자99연간결산진실_02년사업계획양식V1.0_02년사업계획양식V1.0_대호(bs수정)_02년사업계획양식V2.0 2" xfId="8251"/>
    <cellStyle name="7_전자99연간결산진실_02년사업계획양식V1.0_02년사업계획양식V1.0_대호(bs수정)_02년사업계획양식V2.0_02년사업계획양식V2.0" xfId="8252"/>
    <cellStyle name="7_전자99연간결산진실_02년사업계획양식V1.0_02년사업계획양식V1.0_대호(bs수정)_02년사업계획양식V2.0_02년사업계획양식V2.0 2" xfId="8253"/>
    <cellStyle name="7_전자99연간결산진실_02년사업계획양식V1.0_02년사업계획양식V1.0_대호(bs수정)_02년사업계획양식V2.0_02년사업계획양식V2.0_02년사업계획양식V3.0" xfId="8254"/>
    <cellStyle name="7_전자99연간결산진실_02년사업계획양식V1.0_02년사업계획양식V1.0_대호(bs수정)_02년사업계획양식V2.0_02년사업계획양식V2.0_02년사업계획양식V3.0 2" xfId="8255"/>
    <cellStyle name="7_전자99연간결산진실_02년사업계획양식V1.0_02년사업계획양식V1.0_대호(bs수정)_02년사업계획양식V2.0_02년사업계획양식V2.0_02년사업계획양식V3.0_02년사업계획양식V3.0" xfId="8256"/>
    <cellStyle name="7_전자99연간결산진실_02년사업계획양식V1.0_02년사업계획양식V1.0_대호(bs수정)_02년사업계획양식V2.0_02년사업계획양식V2.0_02년사업계획양식V3.0_02년사업계획양식V3.0 2" xfId="8257"/>
    <cellStyle name="7_전자99연간결산진실_02년사업계획양식V1.0_02년사업계획양식V1.0_대호(bs수정)_02년사업계획양식V2.0_02년사업계획양식V2.0_02년사업계획양식V3.0_02년사업계획양식V3.0(원본)" xfId="8258"/>
    <cellStyle name="7_전자99연간결산진실_02년사업계획양식V1.0_02년사업계획양식V1.0_대호(bs수정)_02년사업계획양식V2.0_02년사업계획양식V2.0_02년사업계획양식V3.0_02년사업계획양식V3.0(원본) 2" xfId="8259"/>
    <cellStyle name="7_전자99연간결산진실_02년사업계획양식V1.0_02년사업계획양식V1.0_대호(bs수정)_02년사업계획양식V2.0_02년사업계획양식V2.0_02년사업계획양식V3.0_02년사업계획양식V3.0(원본)_1" xfId="8260"/>
    <cellStyle name="7_전자99연간결산진실_02년사업계획양식V1.0_02년사업계획양식V1.0_대호(bs수정)_02년사업계획양식V2.0_02년사업계획양식V2.0_02년사업계획양식V3.0_02년사업계획양식V3.0(원본)_1 2" xfId="8261"/>
    <cellStyle name="7_전자99연간결산진실_02년사업계획양식V1.0_02년사업계획양식V1.0_대호(bs수정)_02년사업계획양식V2.0_02년사업계획양식V3.0" xfId="8262"/>
    <cellStyle name="7_전자99연간결산진실_02년사업계획양식V1.0_02년사업계획양식V1.0_대호(bs수정)_02년사업계획양식V2.0_02년사업계획양식V3.0 2" xfId="8263"/>
    <cellStyle name="7_전자99연간결산진실_02년사업계획양식V1.0_02년사업계획양식V1.0_대호(bs수정)_02년사업계획양식V2.0_02년사업계획양식V3.0(원본)" xfId="8264"/>
    <cellStyle name="7_전자99연간결산진실_02년사업계획양식V1.0_02년사업계획양식V1.0_대호(bs수정)_02년사업계획양식V2.0_02년사업계획양식V3.0(원본) 2" xfId="8265"/>
    <cellStyle name="7_전자99연간결산진실_02년사업계획양식V1.0_02년사업계획양식V1.0_대호(bs수정)_02년사업계획양식V2.0_02년사업계획양식V3.0(원본)_1" xfId="8266"/>
    <cellStyle name="7_전자99연간결산진실_02년사업계획양식V1.0_02년사업계획양식V1.0_대호(bs수정)_02년사업계획양식V2.0_02년사업계획양식V3.0(원본)_1 2" xfId="8267"/>
    <cellStyle name="7_전자99연간결산진실_02년사업계획양식V1.0_02년사업계획양식V1.0_대호(bs수정)_02년사업계획양식V2.0_02년사업계획양식V3.0_02년사업계획양식V3.0" xfId="8268"/>
    <cellStyle name="7_전자99연간결산진실_02년사업계획양식V1.0_02년사업계획양식V1.0_대호(bs수정)_02년사업계획양식V2.0_02년사업계획양식V3.0_02년사업계획양식V3.0 2" xfId="8269"/>
    <cellStyle name="7_전자99연간결산진실_02년사업계획양식V1.0_02년사업계획양식V1.0_대호(bs수정)_02년사업계획양식V2.0_02년사업계획양식V3.0_02년사업계획양식V3.0_02년사업계획양식V3.0" xfId="8270"/>
    <cellStyle name="7_전자99연간결산진실_02년사업계획양식V1.0_02년사업계획양식V1.0_대호(bs수정)_02년사업계획양식V2.0_02년사업계획양식V3.0_02년사업계획양식V3.0_02년사업계획양식V3.0 2" xfId="8271"/>
    <cellStyle name="7_전자99연간결산진실_02년사업계획양식V1.0_02년사업계획양식V1.0_대호(bs수정)_02년사업계획양식V2.0_02년사업계획양식V3.0_02년사업계획양식V3.0_02년사업계획양식V3.0(원본)" xfId="8272"/>
    <cellStyle name="7_전자99연간결산진실_02년사업계획양식V1.0_02년사업계획양식V1.0_대호(bs수정)_02년사업계획양식V2.0_02년사업계획양식V3.0_02년사업계획양식V3.0_02년사업계획양식V3.0(원본) 2" xfId="8273"/>
    <cellStyle name="7_전자99연간결산진실_02년사업계획양식V1.0_02년사업계획양식V1.0_대호(bs수정)_02년사업계획양식V2.0_02년사업계획양식V3.0_02년사업계획양식V3.0_02년사업계획양식V3.0(원본)_1" xfId="8274"/>
    <cellStyle name="7_전자99연간결산진실_02년사업계획양식V1.0_02년사업계획양식V1.0_대호(bs수정)_02년사업계획양식V2.0_02년사업계획양식V3.0_02년사업계획양식V3.0_02년사업계획양식V3.0(원본)_1 2" xfId="8275"/>
    <cellStyle name="7_전자99연간결산진실_02년사업계획양식V1.0_02년사업계획양식V1.0_대호(bs수정)_02년사업계획양식V3.0" xfId="8276"/>
    <cellStyle name="7_전자99연간결산진실_02년사업계획양식V1.0_02년사업계획양식V1.0_대호(bs수정)_02년사업계획양식V3.0 2" xfId="8277"/>
    <cellStyle name="7_전자99연간결산진실_02년사업계획양식V1.0_02년사업계획양식V1.0_대호(bs수정)_02년사업계획양식V3.0_02년사업계획양식V3.0" xfId="8278"/>
    <cellStyle name="7_전자99연간결산진실_02년사업계획양식V1.0_02년사업계획양식V1.0_대호(bs수정)_02년사업계획양식V3.0_02년사업계획양식V3.0 2" xfId="8279"/>
    <cellStyle name="7_전자99연간결산진실_02년사업계획양식V1.0_02년사업계획양식V1.0_대호(bs수정)_02년사업계획양식V3.0_02년사업계획양식V3.0(원본)" xfId="8280"/>
    <cellStyle name="7_전자99연간결산진실_02년사업계획양식V1.0_02년사업계획양식V1.0_대호(bs수정)_02년사업계획양식V3.0_02년사업계획양식V3.0(원본) 2" xfId="8281"/>
    <cellStyle name="7_전자99연간결산진실_02년사업계획양식V1.0_02년사업계획양식V1.0_대호(bs수정)_02년사업계획양식V3.0_02년사업계획양식V3.0(원본)_1" xfId="8282"/>
    <cellStyle name="7_전자99연간결산진실_02년사업계획양식V1.0_02년사업계획양식V1.0_대호(bs수정)_02년사업계획양식V3.0_02년사업계획양식V3.0(원본)_1 2" xfId="8283"/>
    <cellStyle name="7_전자99연간결산진실_02년사업계획양식V1.0_02년사업계획양식V2.0" xfId="8284"/>
    <cellStyle name="7_전자99연간결산진실_02년사업계획양식V1.0_02년사업계획양식V2.0 2" xfId="8285"/>
    <cellStyle name="7_전자99연간결산진실_02년사업계획양식V1.0_02년사업계획양식V2.0_02년사업계획양식V3.0" xfId="8286"/>
    <cellStyle name="7_전자99연간결산진실_02년사업계획양식V1.0_02년사업계획양식V2.0_02년사업계획양식V3.0 2" xfId="8287"/>
    <cellStyle name="7_전자99연간결산진실_02년사업계획양식V1.0_02년사업계획양식V2.0_02년사업계획양식V3.0_02년사업계획양식V3.0" xfId="8288"/>
    <cellStyle name="7_전자99연간결산진실_02년사업계획양식V1.0_02년사업계획양식V2.0_02년사업계획양식V3.0_02년사업계획양식V3.0 2" xfId="8289"/>
    <cellStyle name="7_전자99연간결산진실_02년사업계획양식V1.0_02년사업계획양식V2.0_02년사업계획양식V3.0_02년사업계획양식V3.0(원본)" xfId="8290"/>
    <cellStyle name="7_전자99연간결산진실_02년사업계획양식V1.0_02년사업계획양식V2.0_02년사업계획양식V3.0_02년사업계획양식V3.0(원본) 2" xfId="8291"/>
    <cellStyle name="7_전자99연간결산진실_02년사업계획양식V1.0_02년사업계획양식V2.0_02년사업계획양식V3.0_02년사업계획양식V3.0(원본)_1" xfId="8292"/>
    <cellStyle name="7_전자99연간결산진실_02년사업계획양식V1.0_02년사업계획양식V2.0_02년사업계획양식V3.0_02년사업계획양식V3.0(원본)_1 2" xfId="8293"/>
    <cellStyle name="7_전자99연간결산진실_02년사업계획양식V1.0_02년사업계획양식V3.0" xfId="8294"/>
    <cellStyle name="7_전자99연간결산진실_02년사업계획양식V1.0_02년사업계획양식V3.0 2" xfId="8295"/>
    <cellStyle name="7_전자99연간결산진실_02년사업계획양식V1.0_02년사업계획양식V3.0(원본)" xfId="8296"/>
    <cellStyle name="7_전자99연간결산진실_02년사업계획양식V1.0_02년사업계획양식V3.0(원본) 2" xfId="8297"/>
    <cellStyle name="7_전자99연간결산진실_02년사업계획양식V1.0_02년사업계획양식V3.0(원본)_1" xfId="8298"/>
    <cellStyle name="7_전자99연간결산진실_02년사업계획양식V1.0_02년사업계획양식V3.0(원본)_1 2" xfId="8299"/>
    <cellStyle name="7_전자99연간결산진실_02년사업계획양식V1.0_02년사업계획양식V3.0_02년사업계획양식V3.0" xfId="8300"/>
    <cellStyle name="7_전자99연간결산진실_02년사업계획양식V1.0_02년사업계획양식V3.0_02년사업계획양식V3.0 2" xfId="8301"/>
    <cellStyle name="7_전자99연간결산진실_02년사업계획양식V1.0_02년사업계획양식V3.0_02년사업계획양식V3.0_02년사업계획양식V3.0" xfId="8302"/>
    <cellStyle name="7_전자99연간결산진실_02년사업계획양식V1.0_02년사업계획양식V3.0_02년사업계획양식V3.0_02년사업계획양식V3.0 2" xfId="8303"/>
    <cellStyle name="7_전자99연간결산진실_02년사업계획양식V1.0_02년사업계획양식V3.0_02년사업계획양식V3.0_02년사업계획양식V3.0(원본)" xfId="8304"/>
    <cellStyle name="7_전자99연간결산진실_02년사업계획양식V1.0_02년사업계획양식V3.0_02년사업계획양식V3.0_02년사업계획양식V3.0(원본) 2" xfId="8305"/>
    <cellStyle name="7_전자99연간결산진실_02년사업계획양식V1.0_02년사업계획양식V3.0_02년사업계획양식V3.0_02년사업계획양식V3.0(원본)_1" xfId="8306"/>
    <cellStyle name="7_전자99연간결산진실_02년사업계획양식V1.0_02년사업계획양식V3.0_02년사업계획양식V3.0_02년사업계획양식V3.0(원본)_1 2" xfId="8307"/>
    <cellStyle name="7_전자99연간결산진실_02년사업계획양식V1.0_고동욱_011130" xfId="8308"/>
    <cellStyle name="7_전자99연간결산진실_02년사업계획양식V1.0_고동욱_011130 2" xfId="8309"/>
    <cellStyle name="7_전자99연간결산진실_02년사업계획양식V1.0_고동욱_011130_02년사업계획양식V2.0" xfId="8310"/>
    <cellStyle name="7_전자99연간결산진실_02년사업계획양식V1.0_고동욱_011130_02년사업계획양식V2.0 2" xfId="8311"/>
    <cellStyle name="7_전자99연간결산진실_02년사업계획양식V1.0_고동욱_011130_02년사업계획양식V2.0_02년사업계획양식V2.0" xfId="8312"/>
    <cellStyle name="7_전자99연간결산진실_02년사업계획양식V1.0_고동욱_011130_02년사업계획양식V2.0_02년사업계획양식V2.0 2" xfId="8313"/>
    <cellStyle name="7_전자99연간결산진실_02년사업계획양식V1.0_고동욱_011130_02년사업계획양식V2.0_02년사업계획양식V2.0_02년사업계획양식V3.0" xfId="8314"/>
    <cellStyle name="7_전자99연간결산진실_02년사업계획양식V1.0_고동욱_011130_02년사업계획양식V2.0_02년사업계획양식V2.0_02년사업계획양식V3.0 2" xfId="8315"/>
    <cellStyle name="7_전자99연간결산진실_02년사업계획양식V1.0_고동욱_011130_02년사업계획양식V2.0_02년사업계획양식V2.0_02년사업계획양식V3.0_02년사업계획양식V3.0" xfId="8316"/>
    <cellStyle name="7_전자99연간결산진실_02년사업계획양식V1.0_고동욱_011130_02년사업계획양식V2.0_02년사업계획양식V2.0_02년사업계획양식V3.0_02년사업계획양식V3.0 2" xfId="8317"/>
    <cellStyle name="7_전자99연간결산진실_02년사업계획양식V1.0_고동욱_011130_02년사업계획양식V2.0_02년사업계획양식V2.0_02년사업계획양식V3.0_02년사업계획양식V3.0(원본)" xfId="8318"/>
    <cellStyle name="7_전자99연간결산진실_02년사업계획양식V1.0_고동욱_011130_02년사업계획양식V2.0_02년사업계획양식V2.0_02년사업계획양식V3.0_02년사업계획양식V3.0(원본) 2" xfId="8319"/>
    <cellStyle name="7_전자99연간결산진실_02년사업계획양식V1.0_고동욱_011130_02년사업계획양식V2.0_02년사업계획양식V2.0_02년사업계획양식V3.0_02년사업계획양식V3.0(원본)_1" xfId="8320"/>
    <cellStyle name="7_전자99연간결산진실_02년사업계획양식V1.0_고동욱_011130_02년사업계획양식V2.0_02년사업계획양식V2.0_02년사업계획양식V3.0_02년사업계획양식V3.0(원본)_1 2" xfId="8321"/>
    <cellStyle name="7_전자99연간결산진실_02년사업계획양식V1.0_고동욱_011130_02년사업계획양식V2.0_02년사업계획양식V3.0" xfId="8322"/>
    <cellStyle name="7_전자99연간결산진실_02년사업계획양식V1.0_고동욱_011130_02년사업계획양식V2.0_02년사업계획양식V3.0 2" xfId="8323"/>
    <cellStyle name="7_전자99연간결산진실_02년사업계획양식V1.0_고동욱_011130_02년사업계획양식V2.0_02년사업계획양식V3.0(원본)" xfId="8324"/>
    <cellStyle name="7_전자99연간결산진실_02년사업계획양식V1.0_고동욱_011130_02년사업계획양식V2.0_02년사업계획양식V3.0(원본) 2" xfId="8325"/>
    <cellStyle name="7_전자99연간결산진실_02년사업계획양식V1.0_고동욱_011130_02년사업계획양식V2.0_02년사업계획양식V3.0(원본)_1" xfId="8326"/>
    <cellStyle name="7_전자99연간결산진실_02년사업계획양식V1.0_고동욱_011130_02년사업계획양식V2.0_02년사업계획양식V3.0(원본)_1 2" xfId="8327"/>
    <cellStyle name="7_전자99연간결산진실_02년사업계획양식V1.0_고동욱_011130_02년사업계획양식V2.0_02년사업계획양식V3.0_02년사업계획양식V3.0" xfId="8328"/>
    <cellStyle name="7_전자99연간결산진실_02년사업계획양식V1.0_고동욱_011130_02년사업계획양식V2.0_02년사업계획양식V3.0_02년사업계획양식V3.0 2" xfId="8329"/>
    <cellStyle name="7_전자99연간결산진실_02년사업계획양식V1.0_고동욱_011130_02년사업계획양식V2.0_02년사업계획양식V3.0_02년사업계획양식V3.0_02년사업계획양식V3.0" xfId="8330"/>
    <cellStyle name="7_전자99연간결산진실_02년사업계획양식V1.0_고동욱_011130_02년사업계획양식V2.0_02년사업계획양식V3.0_02년사업계획양식V3.0_02년사업계획양식V3.0 2" xfId="8331"/>
    <cellStyle name="7_전자99연간결산진실_02년사업계획양식V1.0_고동욱_011130_02년사업계획양식V2.0_02년사업계획양식V3.0_02년사업계획양식V3.0_02년사업계획양식V3.0(원본)" xfId="8332"/>
    <cellStyle name="7_전자99연간결산진실_02년사업계획양식V1.0_고동욱_011130_02년사업계획양식V2.0_02년사업계획양식V3.0_02년사업계획양식V3.0_02년사업계획양식V3.0(원본) 2" xfId="8333"/>
    <cellStyle name="7_전자99연간결산진실_02년사업계획양식V1.0_고동욱_011130_02년사업계획양식V2.0_02년사업계획양식V3.0_02년사업계획양식V3.0_02년사업계획양식V3.0(원본)_1" xfId="8334"/>
    <cellStyle name="7_전자99연간결산진실_02년사업계획양식V1.0_고동욱_011130_02년사업계획양식V2.0_02년사업계획양식V3.0_02년사업계획양식V3.0_02년사업계획양식V3.0(원본)_1 2" xfId="8335"/>
    <cellStyle name="7_전자99연간결산진실_02년사업계획양식V1.0_고동욱_011130_02년사업계획양식V3.0" xfId="8336"/>
    <cellStyle name="7_전자99연간결산진실_02년사업계획양식V1.0_고동욱_011130_02년사업계획양식V3.0 2" xfId="8337"/>
    <cellStyle name="7_전자99연간결산진실_02년사업계획양식V1.0_고동욱_011130_02년사업계획양식V3.0_02년사업계획양식V3.0" xfId="8338"/>
    <cellStyle name="7_전자99연간결산진실_02년사업계획양식V1.0_고동욱_011130_02년사업계획양식V3.0_02년사업계획양식V3.0 2" xfId="8339"/>
    <cellStyle name="7_전자99연간결산진실_02년사업계획양식V1.0_고동욱_011130_02년사업계획양식V3.0_02년사업계획양식V3.0(원본)" xfId="8340"/>
    <cellStyle name="7_전자99연간결산진실_02년사업계획양식V1.0_고동욱_011130_02년사업계획양식V3.0_02년사업계획양식V3.0(원본) 2" xfId="8341"/>
    <cellStyle name="7_전자99연간결산진실_02년사업계획양식V1.0_고동욱_011130_02년사업계획양식V3.0_02년사업계획양식V3.0(원본)_1" xfId="8342"/>
    <cellStyle name="7_전자99연간결산진실_02년사업계획양식V1.0_고동욱_011130_02년사업계획양식V3.0_02년사업계획양식V3.0(원본)_1 2" xfId="8343"/>
    <cellStyle name="7_전자99연간결산진실_02년사업계획양식V1.0_고동욱_011205" xfId="8344"/>
    <cellStyle name="7_전자99연간결산진실_02년사업계획양식V1.0_고동욱_011205 2" xfId="8345"/>
    <cellStyle name="7_전자99연간결산진실_02년사업계획양식V1.0_고동욱_011205_02년사업계획양식V2.0" xfId="8346"/>
    <cellStyle name="7_전자99연간결산진실_02년사업계획양식V1.0_고동욱_011205_02년사업계획양식V2.0 2" xfId="8347"/>
    <cellStyle name="7_전자99연간결산진실_02년사업계획양식V1.0_고동욱_011205_02년사업계획양식V2.0_02년사업계획양식V2.0" xfId="8348"/>
    <cellStyle name="7_전자99연간결산진실_02년사업계획양식V1.0_고동욱_011205_02년사업계획양식V2.0_02년사업계획양식V2.0 2" xfId="8349"/>
    <cellStyle name="7_전자99연간결산진실_02년사업계획양식V1.0_고동욱_011205_02년사업계획양식V2.0_02년사업계획양식V2.0_02년사업계획양식V3.0" xfId="8350"/>
    <cellStyle name="7_전자99연간결산진실_02년사업계획양식V1.0_고동욱_011205_02년사업계획양식V2.0_02년사업계획양식V2.0_02년사업계획양식V3.0 2" xfId="8351"/>
    <cellStyle name="7_전자99연간결산진실_02년사업계획양식V1.0_고동욱_011205_02년사업계획양식V2.0_02년사업계획양식V2.0_02년사업계획양식V3.0_02년사업계획양식V3.0" xfId="8352"/>
    <cellStyle name="7_전자99연간결산진실_02년사업계획양식V1.0_고동욱_011205_02년사업계획양식V2.0_02년사업계획양식V2.0_02년사업계획양식V3.0_02년사업계획양식V3.0 2" xfId="8353"/>
    <cellStyle name="7_전자99연간결산진실_02년사업계획양식V1.0_고동욱_011205_02년사업계획양식V2.0_02년사업계획양식V2.0_02년사업계획양식V3.0_02년사업계획양식V3.0(원본)" xfId="8354"/>
    <cellStyle name="7_전자99연간결산진실_02년사업계획양식V1.0_고동욱_011205_02년사업계획양식V2.0_02년사업계획양식V2.0_02년사업계획양식V3.0_02년사업계획양식V3.0(원본) 2" xfId="8355"/>
    <cellStyle name="7_전자99연간결산진실_02년사업계획양식V1.0_고동욱_011205_02년사업계획양식V2.0_02년사업계획양식V2.0_02년사업계획양식V3.0_02년사업계획양식V3.0(원본)_1" xfId="8356"/>
    <cellStyle name="7_전자99연간결산진실_02년사업계획양식V1.0_고동욱_011205_02년사업계획양식V2.0_02년사업계획양식V2.0_02년사업계획양식V3.0_02년사업계획양식V3.0(원본)_1 2" xfId="8357"/>
    <cellStyle name="7_전자99연간결산진실_02년사업계획양식V1.0_고동욱_011205_02년사업계획양식V2.0_02년사업계획양식V3.0" xfId="8358"/>
    <cellStyle name="7_전자99연간결산진실_02년사업계획양식V1.0_고동욱_011205_02년사업계획양식V2.0_02년사업계획양식V3.0 2" xfId="8359"/>
    <cellStyle name="7_전자99연간결산진실_02년사업계획양식V1.0_고동욱_011205_02년사업계획양식V2.0_02년사업계획양식V3.0(원본)" xfId="8360"/>
    <cellStyle name="7_전자99연간결산진실_02년사업계획양식V1.0_고동욱_011205_02년사업계획양식V2.0_02년사업계획양식V3.0(원본) 2" xfId="8361"/>
    <cellStyle name="7_전자99연간결산진실_02년사업계획양식V1.0_고동욱_011205_02년사업계획양식V2.0_02년사업계획양식V3.0(원본)_1" xfId="8362"/>
    <cellStyle name="7_전자99연간결산진실_02년사업계획양식V1.0_고동욱_011205_02년사업계획양식V2.0_02년사업계획양식V3.0(원본)_1 2" xfId="8363"/>
    <cellStyle name="7_전자99연간결산진실_02년사업계획양식V1.0_고동욱_011205_02년사업계획양식V2.0_02년사업계획양식V3.0_02년사업계획양식V3.0" xfId="8364"/>
    <cellStyle name="7_전자99연간결산진실_02년사업계획양식V1.0_고동욱_011205_02년사업계획양식V2.0_02년사업계획양식V3.0_02년사업계획양식V3.0 2" xfId="8365"/>
    <cellStyle name="7_전자99연간결산진실_02년사업계획양식V1.0_고동욱_011205_02년사업계획양식V2.0_02년사업계획양식V3.0_02년사업계획양식V3.0_02년사업계획양식V3.0" xfId="8366"/>
    <cellStyle name="7_전자99연간결산진실_02년사업계획양식V1.0_고동욱_011205_02년사업계획양식V2.0_02년사업계획양식V3.0_02년사업계획양식V3.0_02년사업계획양식V3.0 2" xfId="8367"/>
    <cellStyle name="7_전자99연간결산진실_02년사업계획양식V1.0_고동욱_011205_02년사업계획양식V2.0_02년사업계획양식V3.0_02년사업계획양식V3.0_02년사업계획양식V3.0(원본)" xfId="8368"/>
    <cellStyle name="7_전자99연간결산진실_02년사업계획양식V1.0_고동욱_011205_02년사업계획양식V2.0_02년사업계획양식V3.0_02년사업계획양식V3.0_02년사업계획양식V3.0(원본) 2" xfId="8369"/>
    <cellStyle name="7_전자99연간결산진실_02년사업계획양식V1.0_고동욱_011205_02년사업계획양식V2.0_02년사업계획양식V3.0_02년사업계획양식V3.0_02년사업계획양식V3.0(원본)_1" xfId="8370"/>
    <cellStyle name="7_전자99연간결산진실_02년사업계획양식V1.0_고동욱_011205_02년사업계획양식V2.0_02년사업계획양식V3.0_02년사업계획양식V3.0_02년사업계획양식V3.0(원본)_1 2" xfId="8371"/>
    <cellStyle name="7_전자99연간결산진실_02년사업계획양식V1.0_고동욱_011205_02년사업계획양식V3.0" xfId="8372"/>
    <cellStyle name="7_전자99연간결산진실_02년사업계획양식V1.0_고동욱_011205_02년사업계획양식V3.0 2" xfId="8373"/>
    <cellStyle name="7_전자99연간결산진실_02년사업계획양식V1.0_고동욱_011205_02년사업계획양식V3.0_02년사업계획양식V3.0" xfId="8374"/>
    <cellStyle name="7_전자99연간결산진실_02년사업계획양식V1.0_고동욱_011205_02년사업계획양식V3.0_02년사업계획양식V3.0 2" xfId="8375"/>
    <cellStyle name="7_전자99연간결산진실_02년사업계획양식V1.0_고동욱_011205_02년사업계획양식V3.0_02년사업계획양식V3.0(원본)" xfId="8376"/>
    <cellStyle name="7_전자99연간결산진실_02년사업계획양식V1.0_고동욱_011205_02년사업계획양식V3.0_02년사업계획양식V3.0(원본) 2" xfId="8377"/>
    <cellStyle name="7_전자99연간결산진실_02년사업계획양식V1.0_고동욱_011205_02년사업계획양식V3.0_02년사업계획양식V3.0(원본)_1" xfId="8378"/>
    <cellStyle name="7_전자99연간결산진실_02년사업계획양식V1.0_고동욱_011205_02년사업계획양식V3.0_02년사업계획양식V3.0(원본)_1 2" xfId="8379"/>
    <cellStyle name="7_전자99연간결산진실_02년사업계획양식V1.0_대호(bs수정)" xfId="8380"/>
    <cellStyle name="7_전자99연간결산진실_02년사업계획양식V1.0_대호(bs수정) 2" xfId="8381"/>
    <cellStyle name="7_전자99연간결산진실_02년사업계획양식V1.0_대호(bs수정)_02년사업계획양식V2.0" xfId="8382"/>
    <cellStyle name="7_전자99연간결산진실_02년사업계획양식V1.0_대호(bs수정)_02년사업계획양식V2.0 2" xfId="8383"/>
    <cellStyle name="7_전자99연간결산진실_02년사업계획양식V1.0_대호(bs수정)_02년사업계획양식V2.0_02년사업계획양식V2.0" xfId="8384"/>
    <cellStyle name="7_전자99연간결산진실_02년사업계획양식V1.0_대호(bs수정)_02년사업계획양식V2.0_02년사업계획양식V2.0 2" xfId="8385"/>
    <cellStyle name="7_전자99연간결산진실_02년사업계획양식V1.0_대호(bs수정)_02년사업계획양식V2.0_02년사업계획양식V2.0_02년사업계획양식V3.0" xfId="8386"/>
    <cellStyle name="7_전자99연간결산진실_02년사업계획양식V1.0_대호(bs수정)_02년사업계획양식V2.0_02년사업계획양식V2.0_02년사업계획양식V3.0 2" xfId="8387"/>
    <cellStyle name="7_전자99연간결산진실_02년사업계획양식V1.0_대호(bs수정)_02년사업계획양식V2.0_02년사업계획양식V2.0_02년사업계획양식V3.0_02년사업계획양식V3.0" xfId="8388"/>
    <cellStyle name="7_전자99연간결산진실_02년사업계획양식V1.0_대호(bs수정)_02년사업계획양식V2.0_02년사업계획양식V2.0_02년사업계획양식V3.0_02년사업계획양식V3.0 2" xfId="8389"/>
    <cellStyle name="7_전자99연간결산진실_02년사업계획양식V1.0_대호(bs수정)_02년사업계획양식V2.0_02년사업계획양식V2.0_02년사업계획양식V3.0_02년사업계획양식V3.0(원본)" xfId="8390"/>
    <cellStyle name="7_전자99연간결산진실_02년사업계획양식V1.0_대호(bs수정)_02년사업계획양식V2.0_02년사업계획양식V2.0_02년사업계획양식V3.0_02년사업계획양식V3.0(원본) 2" xfId="8391"/>
    <cellStyle name="7_전자99연간결산진실_02년사업계획양식V1.0_대호(bs수정)_02년사업계획양식V2.0_02년사업계획양식V2.0_02년사업계획양식V3.0_02년사업계획양식V3.0(원본)_1" xfId="8392"/>
    <cellStyle name="7_전자99연간결산진실_02년사업계획양식V1.0_대호(bs수정)_02년사업계획양식V2.0_02년사업계획양식V2.0_02년사업계획양식V3.0_02년사업계획양식V3.0(원본)_1 2" xfId="8393"/>
    <cellStyle name="7_전자99연간결산진실_02년사업계획양식V1.0_대호(bs수정)_02년사업계획양식V2.0_02년사업계획양식V3.0" xfId="8394"/>
    <cellStyle name="7_전자99연간결산진실_02년사업계획양식V1.0_대호(bs수정)_02년사업계획양식V2.0_02년사업계획양식V3.0 2" xfId="8395"/>
    <cellStyle name="7_전자99연간결산진실_02년사업계획양식V1.0_대호(bs수정)_02년사업계획양식V2.0_02년사업계획양식V3.0(원본)" xfId="8396"/>
    <cellStyle name="7_전자99연간결산진실_02년사업계획양식V1.0_대호(bs수정)_02년사업계획양식V2.0_02년사업계획양식V3.0(원본) 2" xfId="8397"/>
    <cellStyle name="7_전자99연간결산진실_02년사업계획양식V1.0_대호(bs수정)_02년사업계획양식V2.0_02년사업계획양식V3.0(원본)_1" xfId="8398"/>
    <cellStyle name="7_전자99연간결산진실_02년사업계획양식V1.0_대호(bs수정)_02년사업계획양식V2.0_02년사업계획양식V3.0(원본)_1 2" xfId="8399"/>
    <cellStyle name="7_전자99연간결산진실_02년사업계획양식V1.0_대호(bs수정)_02년사업계획양식V2.0_02년사업계획양식V3.0_02년사업계획양식V3.0" xfId="8400"/>
    <cellStyle name="7_전자99연간결산진실_02년사업계획양식V1.0_대호(bs수정)_02년사업계획양식V2.0_02년사업계획양식V3.0_02년사업계획양식V3.0 2" xfId="8401"/>
    <cellStyle name="7_전자99연간결산진실_02년사업계획양식V1.0_대호(bs수정)_02년사업계획양식V2.0_02년사업계획양식V3.0_02년사업계획양식V3.0_02년사업계획양식V3.0" xfId="8402"/>
    <cellStyle name="7_전자99연간결산진실_02년사업계획양식V1.0_대호(bs수정)_02년사업계획양식V2.0_02년사업계획양식V3.0_02년사업계획양식V3.0_02년사업계획양식V3.0 2" xfId="8403"/>
    <cellStyle name="7_전자99연간결산진실_02년사업계획양식V1.0_대호(bs수정)_02년사업계획양식V2.0_02년사업계획양식V3.0_02년사업계획양식V3.0_02년사업계획양식V3.0(원본)" xfId="8404"/>
    <cellStyle name="7_전자99연간결산진실_02년사업계획양식V1.0_대호(bs수정)_02년사업계획양식V2.0_02년사업계획양식V3.0_02년사업계획양식V3.0_02년사업계획양식V3.0(원본) 2" xfId="8405"/>
    <cellStyle name="7_전자99연간결산진실_02년사업계획양식V1.0_대호(bs수정)_02년사업계획양식V2.0_02년사업계획양식V3.0_02년사업계획양식V3.0_02년사업계획양식V3.0(원본)_1" xfId="8406"/>
    <cellStyle name="7_전자99연간결산진실_02년사업계획양식V1.0_대호(bs수정)_02년사업계획양식V2.0_02년사업계획양식V3.0_02년사업계획양식V3.0_02년사업계획양식V3.0(원본)_1 2" xfId="8407"/>
    <cellStyle name="7_전자99연간결산진실_02년사업계획양식V1.0_대호(bs수정)_02년사업계획양식V3.0" xfId="8408"/>
    <cellStyle name="7_전자99연간결산진실_02년사업계획양식V1.0_대호(bs수정)_02년사업계획양식V3.0 2" xfId="8409"/>
    <cellStyle name="7_전자99연간결산진실_02년사업계획양식V1.0_대호(bs수정)_02년사업계획양식V3.0_02년사업계획양식V3.0" xfId="8410"/>
    <cellStyle name="7_전자99연간결산진실_02년사업계획양식V1.0_대호(bs수정)_02년사업계획양식V3.0_02년사업계획양식V3.0 2" xfId="8411"/>
    <cellStyle name="7_전자99연간결산진실_02년사업계획양식V1.0_대호(bs수정)_02년사업계획양식V3.0_02년사업계획양식V3.0(원본)" xfId="8412"/>
    <cellStyle name="7_전자99연간결산진실_02년사업계획양식V1.0_대호(bs수정)_02년사업계획양식V3.0_02년사업계획양식V3.0(원본) 2" xfId="8413"/>
    <cellStyle name="7_전자99연간결산진실_02년사업계획양식V1.0_대호(bs수정)_02년사업계획양식V3.0_02년사업계획양식V3.0(원본)_1" xfId="8414"/>
    <cellStyle name="7_전자99연간결산진실_02년사업계획양식V1.0_대호(bs수정)_02년사업계획양식V3.0_02년사업계획양식V3.0(원본)_1 2" xfId="8415"/>
    <cellStyle name="7_전자99연간결산진실_02년사업계획양식V2.0" xfId="8416"/>
    <cellStyle name="7_전자99연간결산진실_02년사업계획양식V2.0 2" xfId="8417"/>
    <cellStyle name="7_전자99연간결산진실_02년사업계획양식V2.0_02년사업계획양식V3.0" xfId="8418"/>
    <cellStyle name="7_전자99연간결산진실_02년사업계획양식V2.0_02년사업계획양식V3.0 2" xfId="8419"/>
    <cellStyle name="7_전자99연간결산진실_02년사업계획양식V2.0_02년사업계획양식V3.0_02년사업계획양식V3.0" xfId="8420"/>
    <cellStyle name="7_전자99연간결산진실_02년사업계획양식V2.0_02년사업계획양식V3.0_02년사업계획양식V3.0 2" xfId="8421"/>
    <cellStyle name="7_전자99연간결산진실_02년사업계획양식V2.0_02년사업계획양식V3.0_02년사업계획양식V3.0(원본)" xfId="8422"/>
    <cellStyle name="7_전자99연간결산진실_02년사업계획양식V2.0_02년사업계획양식V3.0_02년사업계획양식V3.0(원본) 2" xfId="8423"/>
    <cellStyle name="7_전자99연간결산진실_02년사업계획양식V2.0_02년사업계획양식V3.0_02년사업계획양식V3.0(원본)_1" xfId="8424"/>
    <cellStyle name="7_전자99연간결산진실_02년사업계획양식V2.0_02년사업계획양식V3.0_02년사업계획양식V3.0(원본)_1 2" xfId="8425"/>
    <cellStyle name="7_전자99연간결산진실_02년사업계획양식V3.0" xfId="8426"/>
    <cellStyle name="7_전자99연간결산진실_02년사업계획양식V3.0 2" xfId="8427"/>
    <cellStyle name="7_전자99연간결산진실_02년사업계획양식V3.0(원본)" xfId="8428"/>
    <cellStyle name="7_전자99연간결산진실_02년사업계획양식V3.0(원본) 2" xfId="8429"/>
    <cellStyle name="7_전자99연간결산진실_02년사업계획양식V3.0(원본)_1" xfId="8430"/>
    <cellStyle name="7_전자99연간결산진실_02년사업계획양식V3.0(원본)_1 2" xfId="8431"/>
    <cellStyle name="7_전자99연간결산진실_02년사업계획양식V3.0_02년사업계획양식V3.0" xfId="8432"/>
    <cellStyle name="7_전자99연간결산진실_02년사업계획양식V3.0_02년사업계획양식V3.0 2" xfId="8433"/>
    <cellStyle name="7_전자99연간결산진실_02년사업계획양식V3.0_02년사업계획양식V3.0_02년사업계획양식V3.0" xfId="8434"/>
    <cellStyle name="7_전자99연간결산진실_02년사업계획양식V3.0_02년사업계획양식V3.0_02년사업계획양식V3.0 2" xfId="8435"/>
    <cellStyle name="7_전자99연간결산진실_02년사업계획양식V3.0_02년사업계획양식V3.0_02년사업계획양식V3.0(원본)" xfId="8436"/>
    <cellStyle name="7_전자99연간결산진실_02년사업계획양식V3.0_02년사업계획양식V3.0_02년사업계획양식V3.0(원본) 2" xfId="8437"/>
    <cellStyle name="7_전자99연간결산진실_02년사업계획양식V3.0_02년사업계획양식V3.0_02년사업계획양식V3.0(원본)_1" xfId="8438"/>
    <cellStyle name="7_전자99연간결산진실_02년사업계획양식V3.0_02년사업계획양식V3.0_02년사업계획양식V3.0(원본)_1 2" xfId="8439"/>
    <cellStyle name="7_전자99연간결산진실_03_사업계획양식(MASS_Link)_1104" xfId="8440"/>
    <cellStyle name="7_전자99연간결산진실_03_사업계획양식(MASS_Link)_1104 2" xfId="8441"/>
    <cellStyle name="7_전자99연간결산진실_03기본_종합장표" xfId="8442"/>
    <cellStyle name="7_전자99연간결산진실_03기본_종합장표 2" xfId="8443"/>
    <cellStyle name="7_전자99연간결산진실_03법인비용_회수양식_AC" xfId="8444"/>
    <cellStyle name="7_전자99연간결산진실_03법인비용_회수양식_AC 2" xfId="8445"/>
    <cellStyle name="7_전자99연간결산진실_03혁신_종합장표" xfId="8446"/>
    <cellStyle name="7_전자99연간결산진실_03혁신_종합장표 2" xfId="8447"/>
    <cellStyle name="7_전자99연간결산진실_2001년 01월차 이동계획_0102" xfId="8448"/>
    <cellStyle name="7_전자99연간결산진실_2001년 01월차 이동계획_0102 2" xfId="8449"/>
    <cellStyle name="7_전자99연간결산진실_2001년 01월차 이동계획_0102_2001년 05월 이동계획_" xfId="8450"/>
    <cellStyle name="7_전자99연간결산진실_2001년 01월차 이동계획_0102_2001년 05월 이동계획_ 2" xfId="8451"/>
    <cellStyle name="7_전자99연간결산진실_2001년 01월차 이동계획_0102_2001년 06월 이동계획_(Maximum)" xfId="8452"/>
    <cellStyle name="7_전자99연간결산진실_2001년 01월차 이동계획_0102_2001년 06월 이동계획_(Maximum) 2" xfId="8453"/>
    <cellStyle name="7_전자99연간결산진실_2001년 01월차 이동계획_0102_2001년 07월차 이동계획보고_" xfId="8454"/>
    <cellStyle name="7_전자99연간결산진실_2001년 01월차 이동계획_0102_2001년 07월차 이동계획보고_ 2" xfId="8455"/>
    <cellStyle name="7_전자99연간결산진실_2001년 01월차 이동계획_0102_2002년_02월차_이동계획보고_" xfId="8456"/>
    <cellStyle name="7_전자99연간결산진실_2001년 01월차 이동계획_0102_2002년_02월차_이동계획보고_ 2" xfId="8457"/>
    <cellStyle name="7_전자99연간결산진실_2001년 01월차 이동계획_0102_2002년_03월차_이동계획보고_" xfId="8458"/>
    <cellStyle name="7_전자99연간결산진실_2001년 01월차 이동계획_0102_2002년_03월차_이동계획보고_ 2" xfId="8459"/>
    <cellStyle name="7_전자99연간결산진실_2001년 01월차 이동계획_0102_2002년_03월차_이동계획보고_1차수정" xfId="8460"/>
    <cellStyle name="7_전자99연간결산진실_2001년 01월차 이동계획_0102_2002년_03월차_이동계획보고_1차수정 2" xfId="8461"/>
    <cellStyle name="7_전자99연간결산진실_2001년 01월차 이동계획_0102_2002년_05월차_이동계획보고_" xfId="8462"/>
    <cellStyle name="7_전자99연간결산진실_2001년 01월차 이동계획_0102_2002년_05월차_이동계획보고_ 2" xfId="8463"/>
    <cellStyle name="7_전자99연간결산진실_2001년 01월차 이동계획_0102_2002년_06월차_이동계획보고_기종별수정" xfId="8464"/>
    <cellStyle name="7_전자99연간결산진실_2001년 01월차 이동계획_0102_2002년_06월차_이동계획보고_기종별수정 2" xfId="8465"/>
    <cellStyle name="7_전자99연간결산진실_2001년 01월차 이동계획_0102_2002년_07월차_이동계획보고_수정중_철판 반영후_최종" xfId="8468"/>
    <cellStyle name="7_전자99연간결산진실_2001년 01월차 이동계획_0102_2002년_07월차_이동계획보고_수정중_철판 반영후_최종 2" xfId="8469"/>
    <cellStyle name="7_전자99연간결산진실_2001년 01월차 이동계획_0102_2002년_07월차_이동계획보고_수정중0628_2" xfId="8466"/>
    <cellStyle name="7_전자99연간결산진실_2001년 01월차 이동계획_0102_2002년_07월차_이동계획보고_수정중0628_2 2" xfId="8467"/>
    <cellStyle name="7_전자99연간결산진실_2001년 01월차 이동계획_0102_VVR0J9DV" xfId="8470"/>
    <cellStyle name="7_전자99연간결산진실_2001년 01월차 이동계획_0102_VVR0J9DV 2" xfId="8471"/>
    <cellStyle name="7_전자99연간결산진실_2001년 02월 실적예상_02월21일기준" xfId="8472"/>
    <cellStyle name="7_전자99연간결산진실_2001년 02월 실적예상_02월21일기준 2" xfId="8473"/>
    <cellStyle name="7_전자99연간결산진실_2001년 02월 실적예상_02월21일기준_2001년 05월 이동계획_" xfId="8474"/>
    <cellStyle name="7_전자99연간결산진실_2001년 02월 실적예상_02월21일기준_2001년 05월 이동계획_ 2" xfId="8475"/>
    <cellStyle name="7_전자99연간결산진실_2001년 02월 실적예상_02월21일기준_2001년 06월 이동계획_(Maximum)" xfId="8476"/>
    <cellStyle name="7_전자99연간결산진실_2001년 02월 실적예상_02월21일기준_2001년 06월 이동계획_(Maximum) 2" xfId="8477"/>
    <cellStyle name="7_전자99연간결산진실_2001년 02월 실적예상_02월21일기준_2001년 07월차 이동계획보고_" xfId="8478"/>
    <cellStyle name="7_전자99연간결산진실_2001년 02월 실적예상_02월21일기준_2001년 07월차 이동계획보고_ 2" xfId="8479"/>
    <cellStyle name="7_전자99연간결산진실_2001년 02월 실적예상_02월21일기준_2002년_02월차_이동계획보고_" xfId="8480"/>
    <cellStyle name="7_전자99연간결산진실_2001년 02월 실적예상_02월21일기준_2002년_02월차_이동계획보고_ 2" xfId="8481"/>
    <cellStyle name="7_전자99연간결산진실_2001년 02월 실적예상_02월21일기준_2002년_03월차_이동계획보고_" xfId="8482"/>
    <cellStyle name="7_전자99연간결산진실_2001년 02월 실적예상_02월21일기준_2002년_03월차_이동계획보고_ 2" xfId="8483"/>
    <cellStyle name="7_전자99연간결산진실_2001년 02월 실적예상_02월21일기준_2002년_03월차_이동계획보고_1차수정" xfId="8484"/>
    <cellStyle name="7_전자99연간결산진실_2001년 02월 실적예상_02월21일기준_2002년_03월차_이동계획보고_1차수정 2" xfId="8485"/>
    <cellStyle name="7_전자99연간결산진실_2001년 02월 실적예상_02월21일기준_2002년_05월차_이동계획보고_" xfId="8486"/>
    <cellStyle name="7_전자99연간결산진실_2001년 02월 실적예상_02월21일기준_2002년_05월차_이동계획보고_ 2" xfId="8487"/>
    <cellStyle name="7_전자99연간결산진실_2001년 02월 실적예상_02월21일기준_2002년_06월차_이동계획보고_기종별수정" xfId="8488"/>
    <cellStyle name="7_전자99연간결산진실_2001년 02월 실적예상_02월21일기준_2002년_06월차_이동계획보고_기종별수정 2" xfId="8489"/>
    <cellStyle name="7_전자99연간결산진실_2001년 02월 실적예상_02월21일기준_2002년_07월차_이동계획보고_수정중_철판 반영후_최종" xfId="8492"/>
    <cellStyle name="7_전자99연간결산진실_2001년 02월 실적예상_02월21일기준_2002년_07월차_이동계획보고_수정중_철판 반영후_최종 2" xfId="8493"/>
    <cellStyle name="7_전자99연간결산진실_2001년 02월 실적예상_02월21일기준_2002년_07월차_이동계획보고_수정중0628_2" xfId="8490"/>
    <cellStyle name="7_전자99연간결산진실_2001년 02월 실적예상_02월21일기준_2002년_07월차_이동계획보고_수정중0628_2 2" xfId="8491"/>
    <cellStyle name="7_전자99연간결산진실_2001년 02월 실적예상_02월21일기준_VVR0J9DV" xfId="8494"/>
    <cellStyle name="7_전자99연간결산진실_2001년 02월 실적예상_02월21일기준_VVR0J9DV 2" xfId="8495"/>
    <cellStyle name="7_전자99연간결산진실_2001년 02월차 이동계획_" xfId="8496"/>
    <cellStyle name="7_전자99연간결산진실_2001년 02월차 이동계획_ 2" xfId="8497"/>
    <cellStyle name="7_전자99연간결산진실_2001년 02월차 이동계획__2001년 05월 이동계획_" xfId="8498"/>
    <cellStyle name="7_전자99연간결산진실_2001년 02월차 이동계획__2001년 05월 이동계획_ 2" xfId="8499"/>
    <cellStyle name="7_전자99연간결산진실_2001년 02월차 이동계획__2001년 06월 이동계획_(Maximum)" xfId="8500"/>
    <cellStyle name="7_전자99연간결산진실_2001년 02월차 이동계획__2001년 06월 이동계획_(Maximum) 2" xfId="8501"/>
    <cellStyle name="7_전자99연간결산진실_2001년 02월차 이동계획__2001년 07월차 이동계획보고_" xfId="8502"/>
    <cellStyle name="7_전자99연간결산진실_2001년 02월차 이동계획__2001년 07월차 이동계획보고_ 2" xfId="8503"/>
    <cellStyle name="7_전자99연간결산진실_2001년 02월차 이동계획__2002년_02월차_이동계획보고_" xfId="8504"/>
    <cellStyle name="7_전자99연간결산진실_2001년 02월차 이동계획__2002년_02월차_이동계획보고_ 2" xfId="8505"/>
    <cellStyle name="7_전자99연간결산진실_2001년 02월차 이동계획__2002년_03월차_이동계획보고_" xfId="8506"/>
    <cellStyle name="7_전자99연간결산진실_2001년 02월차 이동계획__2002년_03월차_이동계획보고_ 2" xfId="8507"/>
    <cellStyle name="7_전자99연간결산진실_2001년 02월차 이동계획__2002년_03월차_이동계획보고_1차수정" xfId="8508"/>
    <cellStyle name="7_전자99연간결산진실_2001년 02월차 이동계획__2002년_03월차_이동계획보고_1차수정 2" xfId="8509"/>
    <cellStyle name="7_전자99연간결산진실_2001년 02월차 이동계획__2002년_05월차_이동계획보고_" xfId="8510"/>
    <cellStyle name="7_전자99연간결산진실_2001년 02월차 이동계획__2002년_05월차_이동계획보고_ 2" xfId="8511"/>
    <cellStyle name="7_전자99연간결산진실_2001년 02월차 이동계획__2002년_06월차_이동계획보고_기종별수정" xfId="8512"/>
    <cellStyle name="7_전자99연간결산진실_2001년 02월차 이동계획__2002년_06월차_이동계획보고_기종별수정 2" xfId="8513"/>
    <cellStyle name="7_전자99연간결산진실_2001년 02월차 이동계획__2002년_07월차_이동계획보고_수정중_철판 반영후_최종" xfId="8516"/>
    <cellStyle name="7_전자99연간결산진실_2001년 02월차 이동계획__2002년_07월차_이동계획보고_수정중_철판 반영후_최종 2" xfId="8517"/>
    <cellStyle name="7_전자99연간결산진실_2001년 02월차 이동계획__2002년_07월차_이동계획보고_수정중0628_2" xfId="8514"/>
    <cellStyle name="7_전자99연간결산진실_2001년 02월차 이동계획__2002년_07월차_이동계획보고_수정중0628_2 2" xfId="8515"/>
    <cellStyle name="7_전자99연간결산진실_2001년 02월차 이동계획__VVR0J9DV" xfId="8518"/>
    <cellStyle name="7_전자99연간결산진실_2001년 02월차 이동계획__VVR0J9DV 2" xfId="8519"/>
    <cellStyle name="7_전자99연간결산진실_2002년_월별사업계획전산_DM" xfId="8520"/>
    <cellStyle name="7_전자99연간결산진실_2002년_월별사업계획전산_DM 2" xfId="8521"/>
    <cellStyle name="7_전자99연간결산진실_2002년_월별사업계획전산_DM_02년사업계획양식V1.0_대호(bs수정)" xfId="8522"/>
    <cellStyle name="7_전자99연간결산진실_2002년_월별사업계획전산_DM_02년사업계획양식V1.0_대호(bs수정) 2" xfId="8523"/>
    <cellStyle name="7_전자99연간결산진실_2002년_월별사업계획전산_DM_02년사업계획양식V1.0_대호(bs수정)_02년사업계획양식V2.0" xfId="8524"/>
    <cellStyle name="7_전자99연간결산진실_2002년_월별사업계획전산_DM_02년사업계획양식V1.0_대호(bs수정)_02년사업계획양식V2.0 2" xfId="8525"/>
    <cellStyle name="7_전자99연간결산진실_2002년_월별사업계획전산_DM_02년사업계획양식V1.0_대호(bs수정)_02년사업계획양식V2.0_02년사업계획양식V2.0" xfId="8526"/>
    <cellStyle name="7_전자99연간결산진실_2002년_월별사업계획전산_DM_02년사업계획양식V1.0_대호(bs수정)_02년사업계획양식V2.0_02년사업계획양식V2.0 2" xfId="8527"/>
    <cellStyle name="7_전자99연간결산진실_2002년_월별사업계획전산_DM_02년사업계획양식V1.0_대호(bs수정)_02년사업계획양식V2.0_02년사업계획양식V2.0_02년사업계획양식V3.0" xfId="8528"/>
    <cellStyle name="7_전자99연간결산진실_2002년_월별사업계획전산_DM_02년사업계획양식V1.0_대호(bs수정)_02년사업계획양식V2.0_02년사업계획양식V2.0_02년사업계획양식V3.0 2" xfId="8529"/>
    <cellStyle name="7_전자99연간결산진실_2002년_월별사업계획전산_DM_02년사업계획양식V1.0_대호(bs수정)_02년사업계획양식V2.0_02년사업계획양식V2.0_02년사업계획양식V3.0_02년사업계획양식V3.0" xfId="8530"/>
    <cellStyle name="7_전자99연간결산진실_2002년_월별사업계획전산_DM_02년사업계획양식V1.0_대호(bs수정)_02년사업계획양식V2.0_02년사업계획양식V2.0_02년사업계획양식V3.0_02년사업계획양식V3.0 2" xfId="8531"/>
    <cellStyle name="7_전자99연간결산진실_2002년_월별사업계획전산_DM_02년사업계획양식V1.0_대호(bs수정)_02년사업계획양식V2.0_02년사업계획양식V2.0_02년사업계획양식V3.0_02년사업계획양식V3.0(원본)" xfId="8532"/>
    <cellStyle name="7_전자99연간결산진실_2002년_월별사업계획전산_DM_02년사업계획양식V1.0_대호(bs수정)_02년사업계획양식V2.0_02년사업계획양식V2.0_02년사업계획양식V3.0_02년사업계획양식V3.0(원본) 2" xfId="8533"/>
    <cellStyle name="7_전자99연간결산진실_2002년_월별사업계획전산_DM_02년사업계획양식V1.0_대호(bs수정)_02년사업계획양식V2.0_02년사업계획양식V2.0_02년사업계획양식V3.0_02년사업계획양식V3.0(원본)_1" xfId="8534"/>
    <cellStyle name="7_전자99연간결산진실_2002년_월별사업계획전산_DM_02년사업계획양식V1.0_대호(bs수정)_02년사업계획양식V2.0_02년사업계획양식V2.0_02년사업계획양식V3.0_02년사업계획양식V3.0(원본)_1 2" xfId="8535"/>
    <cellStyle name="7_전자99연간결산진실_2002년_월별사업계획전산_DM_02년사업계획양식V1.0_대호(bs수정)_02년사업계획양식V2.0_02년사업계획양식V3.0" xfId="8536"/>
    <cellStyle name="7_전자99연간결산진실_2002년_월별사업계획전산_DM_02년사업계획양식V1.0_대호(bs수정)_02년사업계획양식V2.0_02년사업계획양식V3.0 2" xfId="8537"/>
    <cellStyle name="7_전자99연간결산진실_2002년_월별사업계획전산_DM_02년사업계획양식V1.0_대호(bs수정)_02년사업계획양식V2.0_02년사업계획양식V3.0(원본)" xfId="8538"/>
    <cellStyle name="7_전자99연간결산진실_2002년_월별사업계획전산_DM_02년사업계획양식V1.0_대호(bs수정)_02년사업계획양식V2.0_02년사업계획양식V3.0(원본) 2" xfId="8539"/>
    <cellStyle name="7_전자99연간결산진실_2002년_월별사업계획전산_DM_02년사업계획양식V1.0_대호(bs수정)_02년사업계획양식V2.0_02년사업계획양식V3.0(원본)_1" xfId="8540"/>
    <cellStyle name="7_전자99연간결산진실_2002년_월별사업계획전산_DM_02년사업계획양식V1.0_대호(bs수정)_02년사업계획양식V2.0_02년사업계획양식V3.0(원본)_1 2" xfId="8541"/>
    <cellStyle name="7_전자99연간결산진실_2002년_월별사업계획전산_DM_02년사업계획양식V1.0_대호(bs수정)_02년사업계획양식V2.0_02년사업계획양식V3.0_02년사업계획양식V3.0" xfId="8542"/>
    <cellStyle name="7_전자99연간결산진실_2002년_월별사업계획전산_DM_02년사업계획양식V1.0_대호(bs수정)_02년사업계획양식V2.0_02년사업계획양식V3.0_02년사업계획양식V3.0 2" xfId="8543"/>
    <cellStyle name="7_전자99연간결산진실_2002년_월별사업계획전산_DM_02년사업계획양식V1.0_대호(bs수정)_02년사업계획양식V2.0_02년사업계획양식V3.0_02년사업계획양식V3.0_02년사업계획양식V3.0" xfId="8544"/>
    <cellStyle name="7_전자99연간결산진실_2002년_월별사업계획전산_DM_02년사업계획양식V1.0_대호(bs수정)_02년사업계획양식V2.0_02년사업계획양식V3.0_02년사업계획양식V3.0_02년사업계획양식V3.0 2" xfId="8545"/>
    <cellStyle name="7_전자99연간결산진실_2002년_월별사업계획전산_DM_02년사업계획양식V1.0_대호(bs수정)_02년사업계획양식V2.0_02년사업계획양식V3.0_02년사업계획양식V3.0_02년사업계획양식V3.0(원본)" xfId="8546"/>
    <cellStyle name="7_전자99연간결산진실_2002년_월별사업계획전산_DM_02년사업계획양식V1.0_대호(bs수정)_02년사업계획양식V2.0_02년사업계획양식V3.0_02년사업계획양식V3.0_02년사업계획양식V3.0(원본) 2" xfId="8547"/>
    <cellStyle name="7_전자99연간결산진실_2002년_월별사업계획전산_DM_02년사업계획양식V1.0_대호(bs수정)_02년사업계획양식V2.0_02년사업계획양식V3.0_02년사업계획양식V3.0_02년사업계획양식V3.0(원본)_1" xfId="8548"/>
    <cellStyle name="7_전자99연간결산진실_2002년_월별사업계획전산_DM_02년사업계획양식V1.0_대호(bs수정)_02년사업계획양식V2.0_02년사업계획양식V3.0_02년사업계획양식V3.0_02년사업계획양식V3.0(원본)_1 2" xfId="8549"/>
    <cellStyle name="7_전자99연간결산진실_2002년_월별사업계획전산_DM_02년사업계획양식V1.0_대호(bs수정)_02년사업계획양식V3.0" xfId="8550"/>
    <cellStyle name="7_전자99연간결산진실_2002년_월별사업계획전산_DM_02년사업계획양식V1.0_대호(bs수정)_02년사업계획양식V3.0 2" xfId="8551"/>
    <cellStyle name="7_전자99연간결산진실_2002년_월별사업계획전산_DM_02년사업계획양식V1.0_대호(bs수정)_02년사업계획양식V3.0_02년사업계획양식V3.0" xfId="8552"/>
    <cellStyle name="7_전자99연간결산진실_2002년_월별사업계획전산_DM_02년사업계획양식V1.0_대호(bs수정)_02년사업계획양식V3.0_02년사업계획양식V3.0 2" xfId="8553"/>
    <cellStyle name="7_전자99연간결산진실_2002년_월별사업계획전산_DM_02년사업계획양식V1.0_대호(bs수정)_02년사업계획양식V3.0_02년사업계획양식V3.0(원본)" xfId="8554"/>
    <cellStyle name="7_전자99연간결산진실_2002년_월별사업계획전산_DM_02년사업계획양식V1.0_대호(bs수정)_02년사업계획양식V3.0_02년사업계획양식V3.0(원본) 2" xfId="8555"/>
    <cellStyle name="7_전자99연간결산진실_2002년_월별사업계획전산_DM_02년사업계획양식V1.0_대호(bs수정)_02년사업계획양식V3.0_02년사업계획양식V3.0(원본)_1" xfId="8556"/>
    <cellStyle name="7_전자99연간결산진실_2002년_월별사업계획전산_DM_02년사업계획양식V1.0_대호(bs수정)_02년사업계획양식V3.0_02년사업계획양식V3.0(원본)_1 2" xfId="8557"/>
    <cellStyle name="7_전자99연간결산진실_2002년_월별사업계획전산_DM_02년사업계획양식V2.0" xfId="8558"/>
    <cellStyle name="7_전자99연간결산진실_2002년_월별사업계획전산_DM_02년사업계획양식V2.0 2" xfId="8559"/>
    <cellStyle name="7_전자99연간결산진실_2002년_월별사업계획전산_DM_02년사업계획양식V2.0_02년사업계획양식V3.0" xfId="8560"/>
    <cellStyle name="7_전자99연간결산진실_2002년_월별사업계획전산_DM_02년사업계획양식V2.0_02년사업계획양식V3.0 2" xfId="8561"/>
    <cellStyle name="7_전자99연간결산진실_2002년_월별사업계획전산_DM_02년사업계획양식V2.0_02년사업계획양식V3.0_02년사업계획양식V3.0" xfId="8562"/>
    <cellStyle name="7_전자99연간결산진실_2002년_월별사업계획전산_DM_02년사업계획양식V2.0_02년사업계획양식V3.0_02년사업계획양식V3.0 2" xfId="8563"/>
    <cellStyle name="7_전자99연간결산진실_2002년_월별사업계획전산_DM_02년사업계획양식V2.0_02년사업계획양식V3.0_02년사업계획양식V3.0(원본)" xfId="8564"/>
    <cellStyle name="7_전자99연간결산진실_2002년_월별사업계획전산_DM_02년사업계획양식V2.0_02년사업계획양식V3.0_02년사업계획양식V3.0(원본) 2" xfId="8565"/>
    <cellStyle name="7_전자99연간결산진실_2002년_월별사업계획전산_DM_02년사업계획양식V2.0_02년사업계획양식V3.0_02년사업계획양식V3.0(원본)_1" xfId="8566"/>
    <cellStyle name="7_전자99연간결산진실_2002년_월별사업계획전산_DM_02년사업계획양식V2.0_02년사업계획양식V3.0_02년사업계획양식V3.0(원본)_1 2" xfId="8567"/>
    <cellStyle name="7_전자99연간결산진실_2002년_월별사업계획전산_DM_02년사업계획양식V3.0" xfId="8568"/>
    <cellStyle name="7_전자99연간결산진실_2002년_월별사업계획전산_DM_02년사업계획양식V3.0 2" xfId="8569"/>
    <cellStyle name="7_전자99연간결산진실_2002년_월별사업계획전산_DM_02년사업계획양식V3.0(원본)" xfId="8570"/>
    <cellStyle name="7_전자99연간결산진실_2002년_월별사업계획전산_DM_02년사업계획양식V3.0(원본) 2" xfId="8571"/>
    <cellStyle name="7_전자99연간결산진실_2002년_월별사업계획전산_DM_02년사업계획양식V3.0(원본)_1" xfId="8572"/>
    <cellStyle name="7_전자99연간결산진실_2002년_월별사업계획전산_DM_02년사업계획양식V3.0(원본)_1 2" xfId="8573"/>
    <cellStyle name="7_전자99연간결산진실_2002년_월별사업계획전산_DM_02년사업계획양식V3.0_02년사업계획양식V3.0" xfId="8574"/>
    <cellStyle name="7_전자99연간결산진실_2002년_월별사업계획전산_DM_02년사업계획양식V3.0_02년사업계획양식V3.0 2" xfId="8575"/>
    <cellStyle name="7_전자99연간결산진실_2002년_월별사업계획전산_DM_02년사업계획양식V3.0_02년사업계획양식V3.0_02년사업계획양식V3.0" xfId="8576"/>
    <cellStyle name="7_전자99연간결산진실_2002년_월별사업계획전산_DM_02년사업계획양식V3.0_02년사업계획양식V3.0_02년사업계획양식V3.0 2" xfId="8577"/>
    <cellStyle name="7_전자99연간결산진실_2002년_월별사업계획전산_DM_02년사업계획양식V3.0_02년사업계획양식V3.0_02년사업계획양식V3.0(원본)" xfId="8578"/>
    <cellStyle name="7_전자99연간결산진실_2002년_월별사업계획전산_DM_02년사업계획양식V3.0_02년사업계획양식V3.0_02년사업계획양식V3.0(원본) 2" xfId="8579"/>
    <cellStyle name="7_전자99연간결산진실_2002년_월별사업계획전산_DM_02년사업계획양식V3.0_02년사업계획양식V3.0_02년사업계획양식V3.0(원본)_1" xfId="8580"/>
    <cellStyle name="7_전자99연간결산진실_2002년_월별사업계획전산_DM_02년사업계획양식V3.0_02년사업계획양식V3.0_02년사업계획양식V3.0(원본)_1 2" xfId="8581"/>
    <cellStyle name="7_전자99연간결산진실_eva&amp;cash_02~05년 CM" xfId="8582"/>
    <cellStyle name="7_전자99연간결산진실_eva&amp;cash_02~05년 CM 2" xfId="8583"/>
    <cellStyle name="7_전자99연간결산진실_그룹+업적보고회+보완사항" xfId="8584"/>
    <cellStyle name="7_전자99연간결산진실_그룹+업적보고회+보완사항 2" xfId="8585"/>
    <cellStyle name="7_전자99연간결산진실_본부본사배부_1022FINAL본사비축소_해외법인" xfId="8586"/>
    <cellStyle name="7_전자99연간결산진실_본부본사배부_1022FINAL본사비축소_해외법인 2" xfId="8587"/>
    <cellStyle name="7_전자99연간결산진실_사업계획 양식" xfId="8588"/>
    <cellStyle name="7_전자99연간결산진실_사업계획 양식 2" xfId="8589"/>
    <cellStyle name="7_전자99연간결산진실_사업계획 양식_02년사업계획양식V1.0_대호(bs수정)" xfId="8590"/>
    <cellStyle name="7_전자99연간결산진실_사업계획 양식_02년사업계획양식V1.0_대호(bs수정) 2" xfId="8591"/>
    <cellStyle name="7_전자99연간결산진실_사업계획 양식_02년사업계획양식V1.0_대호(bs수정)_02년사업계획양식V2.0" xfId="8592"/>
    <cellStyle name="7_전자99연간결산진실_사업계획 양식_02년사업계획양식V1.0_대호(bs수정)_02년사업계획양식V2.0 2" xfId="8593"/>
    <cellStyle name="7_전자99연간결산진실_사업계획 양식_02년사업계획양식V1.0_대호(bs수정)_02년사업계획양식V2.0_02년사업계획양식V2.0" xfId="8594"/>
    <cellStyle name="7_전자99연간결산진실_사업계획 양식_02년사업계획양식V1.0_대호(bs수정)_02년사업계획양식V2.0_02년사업계획양식V2.0 2" xfId="8595"/>
    <cellStyle name="7_전자99연간결산진실_사업계획 양식_02년사업계획양식V1.0_대호(bs수정)_02년사업계획양식V2.0_02년사업계획양식V2.0_02년사업계획양식V3.0" xfId="8596"/>
    <cellStyle name="7_전자99연간결산진실_사업계획 양식_02년사업계획양식V1.0_대호(bs수정)_02년사업계획양식V2.0_02년사업계획양식V2.0_02년사업계획양식V3.0 2" xfId="8597"/>
    <cellStyle name="7_전자99연간결산진실_사업계획 양식_02년사업계획양식V1.0_대호(bs수정)_02년사업계획양식V2.0_02년사업계획양식V2.0_02년사업계획양식V3.0_02년사업계획양식V3.0" xfId="8598"/>
    <cellStyle name="7_전자99연간결산진실_사업계획 양식_02년사업계획양식V1.0_대호(bs수정)_02년사업계획양식V2.0_02년사업계획양식V2.0_02년사업계획양식V3.0_02년사업계획양식V3.0 2" xfId="8599"/>
    <cellStyle name="7_전자99연간결산진실_사업계획 양식_02년사업계획양식V1.0_대호(bs수정)_02년사업계획양식V2.0_02년사업계획양식V2.0_02년사업계획양식V3.0_02년사업계획양식V3.0(원본)" xfId="8600"/>
    <cellStyle name="7_전자99연간결산진실_사업계획 양식_02년사업계획양식V1.0_대호(bs수정)_02년사업계획양식V2.0_02년사업계획양식V2.0_02년사업계획양식V3.0_02년사업계획양식V3.0(원본) 2" xfId="8601"/>
    <cellStyle name="7_전자99연간결산진실_사업계획 양식_02년사업계획양식V1.0_대호(bs수정)_02년사업계획양식V2.0_02년사업계획양식V2.0_02년사업계획양식V3.0_02년사업계획양식V3.0(원본)_1" xfId="8602"/>
    <cellStyle name="7_전자99연간결산진실_사업계획 양식_02년사업계획양식V1.0_대호(bs수정)_02년사업계획양식V2.0_02년사업계획양식V2.0_02년사업계획양식V3.0_02년사업계획양식V3.0(원본)_1 2" xfId="8603"/>
    <cellStyle name="7_전자99연간결산진실_사업계획 양식_02년사업계획양식V1.0_대호(bs수정)_02년사업계획양식V2.0_02년사업계획양식V3.0" xfId="8604"/>
    <cellStyle name="7_전자99연간결산진실_사업계획 양식_02년사업계획양식V1.0_대호(bs수정)_02년사업계획양식V2.0_02년사업계획양식V3.0 2" xfId="8605"/>
    <cellStyle name="7_전자99연간결산진실_사업계획 양식_02년사업계획양식V1.0_대호(bs수정)_02년사업계획양식V2.0_02년사업계획양식V3.0(원본)" xfId="8606"/>
    <cellStyle name="7_전자99연간결산진실_사업계획 양식_02년사업계획양식V1.0_대호(bs수정)_02년사업계획양식V2.0_02년사업계획양식V3.0(원본) 2" xfId="8607"/>
    <cellStyle name="7_전자99연간결산진실_사업계획 양식_02년사업계획양식V1.0_대호(bs수정)_02년사업계획양식V2.0_02년사업계획양식V3.0(원본)_1" xfId="8608"/>
    <cellStyle name="7_전자99연간결산진실_사업계획 양식_02년사업계획양식V1.0_대호(bs수정)_02년사업계획양식V2.0_02년사업계획양식V3.0(원본)_1 2" xfId="8609"/>
    <cellStyle name="7_전자99연간결산진실_사업계획 양식_02년사업계획양식V1.0_대호(bs수정)_02년사업계획양식V2.0_02년사업계획양식V3.0_02년사업계획양식V3.0" xfId="8610"/>
    <cellStyle name="7_전자99연간결산진실_사업계획 양식_02년사업계획양식V1.0_대호(bs수정)_02년사업계획양식V2.0_02년사업계획양식V3.0_02년사업계획양식V3.0 2" xfId="8611"/>
    <cellStyle name="7_전자99연간결산진실_사업계획 양식_02년사업계획양식V1.0_대호(bs수정)_02년사업계획양식V2.0_02년사업계획양식V3.0_02년사업계획양식V3.0_02년사업계획양식V3.0" xfId="8612"/>
    <cellStyle name="7_전자99연간결산진실_사업계획 양식_02년사업계획양식V1.0_대호(bs수정)_02년사업계획양식V2.0_02년사업계획양식V3.0_02년사업계획양식V3.0_02년사업계획양식V3.0 2" xfId="8613"/>
    <cellStyle name="7_전자99연간결산진실_사업계획 양식_02년사업계획양식V1.0_대호(bs수정)_02년사업계획양식V2.0_02년사업계획양식V3.0_02년사업계획양식V3.0_02년사업계획양식V3.0(원본)" xfId="8614"/>
    <cellStyle name="7_전자99연간결산진실_사업계획 양식_02년사업계획양식V1.0_대호(bs수정)_02년사업계획양식V2.0_02년사업계획양식V3.0_02년사업계획양식V3.0_02년사업계획양식V3.0(원본) 2" xfId="8615"/>
    <cellStyle name="7_전자99연간결산진실_사업계획 양식_02년사업계획양식V1.0_대호(bs수정)_02년사업계획양식V2.0_02년사업계획양식V3.0_02년사업계획양식V3.0_02년사업계획양식V3.0(원본)_1" xfId="8616"/>
    <cellStyle name="7_전자99연간결산진실_사업계획 양식_02년사업계획양식V1.0_대호(bs수정)_02년사업계획양식V2.0_02년사업계획양식V3.0_02년사업계획양식V3.0_02년사업계획양식V3.0(원본)_1 2" xfId="8617"/>
    <cellStyle name="7_전자99연간결산진실_사업계획 양식_02년사업계획양식V1.0_대호(bs수정)_02년사업계획양식V3.0" xfId="8618"/>
    <cellStyle name="7_전자99연간결산진실_사업계획 양식_02년사업계획양식V1.0_대호(bs수정)_02년사업계획양식V3.0 2" xfId="8619"/>
    <cellStyle name="7_전자99연간결산진실_사업계획 양식_02년사업계획양식V1.0_대호(bs수정)_02년사업계획양식V3.0_02년사업계획양식V3.0" xfId="8620"/>
    <cellStyle name="7_전자99연간결산진실_사업계획 양식_02년사업계획양식V1.0_대호(bs수정)_02년사업계획양식V3.0_02년사업계획양식V3.0 2" xfId="8621"/>
    <cellStyle name="7_전자99연간결산진실_사업계획 양식_02년사업계획양식V1.0_대호(bs수정)_02년사업계획양식V3.0_02년사업계획양식V3.0(원본)" xfId="8622"/>
    <cellStyle name="7_전자99연간결산진실_사업계획 양식_02년사업계획양식V1.0_대호(bs수정)_02년사업계획양식V3.0_02년사업계획양식V3.0(원본) 2" xfId="8623"/>
    <cellStyle name="7_전자99연간결산진실_사업계획 양식_02년사업계획양식V1.0_대호(bs수정)_02년사업계획양식V3.0_02년사업계획양식V3.0(원본)_1" xfId="8624"/>
    <cellStyle name="7_전자99연간결산진실_사업계획 양식_02년사업계획양식V1.0_대호(bs수정)_02년사업계획양식V3.0_02년사업계획양식V3.0(원본)_1 2" xfId="8625"/>
    <cellStyle name="7_전자99연간결산진실_사업계획 양식_02년사업계획양식V2.0" xfId="8626"/>
    <cellStyle name="7_전자99연간결산진실_사업계획 양식_02년사업계획양식V2.0 2" xfId="8627"/>
    <cellStyle name="7_전자99연간결산진실_사업계획 양식_02년사업계획양식V2.0_02년사업계획양식V3.0" xfId="8628"/>
    <cellStyle name="7_전자99연간결산진실_사업계획 양식_02년사업계획양식V2.0_02년사업계획양식V3.0 2" xfId="8629"/>
    <cellStyle name="7_전자99연간결산진실_사업계획 양식_02년사업계획양식V2.0_02년사업계획양식V3.0_02년사업계획양식V3.0" xfId="8630"/>
    <cellStyle name="7_전자99연간결산진실_사업계획 양식_02년사업계획양식V2.0_02년사업계획양식V3.0_02년사업계획양식V3.0 2" xfId="8631"/>
    <cellStyle name="7_전자99연간결산진실_사업계획 양식_02년사업계획양식V2.0_02년사업계획양식V3.0_02년사업계획양식V3.0(원본)" xfId="8632"/>
    <cellStyle name="7_전자99연간결산진실_사업계획 양식_02년사업계획양식V2.0_02년사업계획양식V3.0_02년사업계획양식V3.0(원본) 2" xfId="8633"/>
    <cellStyle name="7_전자99연간결산진실_사업계획 양식_02년사업계획양식V2.0_02년사업계획양식V3.0_02년사업계획양식V3.0(원본)_1" xfId="8634"/>
    <cellStyle name="7_전자99연간결산진실_사업계획 양식_02년사업계획양식V2.0_02년사업계획양식V3.0_02년사업계획양식V3.0(원본)_1 2" xfId="8635"/>
    <cellStyle name="7_전자99연간결산진실_사업계획 양식_02년사업계획양식V3.0" xfId="8636"/>
    <cellStyle name="7_전자99연간결산진실_사업계획 양식_02년사업계획양식V3.0 2" xfId="8637"/>
    <cellStyle name="7_전자99연간결산진실_사업계획 양식_02년사업계획양식V3.0(원본)" xfId="8638"/>
    <cellStyle name="7_전자99연간결산진실_사업계획 양식_02년사업계획양식V3.0(원본) 2" xfId="8639"/>
    <cellStyle name="7_전자99연간결산진실_사업계획 양식_02년사업계획양식V3.0(원본)_1" xfId="8640"/>
    <cellStyle name="7_전자99연간결산진실_사업계획 양식_02년사업계획양식V3.0(원본)_1 2" xfId="8641"/>
    <cellStyle name="7_전자99연간결산진실_사업계획 양식_02년사업계획양식V3.0_02년사업계획양식V3.0" xfId="8642"/>
    <cellStyle name="7_전자99연간결산진실_사업계획 양식_02년사업계획양식V3.0_02년사업계획양식V3.0 2" xfId="8643"/>
    <cellStyle name="7_전자99연간결산진실_사업계획 양식_02년사업계획양식V3.0_02년사업계획양식V3.0_02년사업계획양식V3.0" xfId="8644"/>
    <cellStyle name="7_전자99연간결산진실_사업계획 양식_02년사업계획양식V3.0_02년사업계획양식V3.0_02년사업계획양식V3.0 2" xfId="8645"/>
    <cellStyle name="7_전자99연간결산진실_사업계획 양식_02년사업계획양식V3.0_02년사업계획양식V3.0_02년사업계획양식V3.0(원본)" xfId="8646"/>
    <cellStyle name="7_전자99연간결산진실_사업계획 양식_02년사업계획양식V3.0_02년사업계획양식V3.0_02년사업계획양식V3.0(원본) 2" xfId="8647"/>
    <cellStyle name="7_전자99연간결산진실_사업계획 양식_02년사업계획양식V3.0_02년사업계획양식V3.0_02년사업계획양식V3.0(원본)_1" xfId="8648"/>
    <cellStyle name="7_전자99연간결산진실_사업계획 양식_02년사업계획양식V3.0_02년사업계획양식V3.0_02년사업계획양식V3.0(원본)_1 2" xfId="8649"/>
    <cellStyle name="76.$$$" xfId="6440"/>
    <cellStyle name="76.$$$ 2" xfId="6441"/>
    <cellStyle name="82" xfId="8650"/>
    <cellStyle name="82 2" xfId="8651"/>
    <cellStyle name="9_발주내역서 " xfId="8656"/>
    <cellStyle name="90" xfId="8652"/>
    <cellStyle name="90 2" xfId="8653"/>
    <cellStyle name="96" xfId="8654"/>
    <cellStyle name="96 2" xfId="8655"/>
    <cellStyle name="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 xfId="31008"/>
    <cellStyle name="A" xfId="23445"/>
    <cellStyle name="A 2" xfId="23446"/>
    <cellStyle name="Ā _x0010_က랐" xfId="30991"/>
    <cellStyle name="Ā _x0010_က랐 1" xfId="30992"/>
    <cellStyle name="a)" xfId="23447"/>
    <cellStyle name="a) 2" xfId="23448"/>
    <cellStyle name="A???[0]_97 ?? " xfId="23457"/>
    <cellStyle name="A???97 ?? " xfId="23449"/>
    <cellStyle name="A???97 ??  2" xfId="23450"/>
    <cellStyle name="A???97?a?u? " xfId="23451"/>
    <cellStyle name="A???97?a?u?  2" xfId="23452"/>
    <cellStyle name="A???97Ae?A? " xfId="23453"/>
    <cellStyle name="A???97Ae?A?  2" xfId="23454"/>
    <cellStyle name="A???98Ae?A? " xfId="23455"/>
    <cellStyle name="A???98Ae?A?  2" xfId="23456"/>
    <cellStyle name="A???AoAUAy캿C? " xfId="23458"/>
    <cellStyle name="A???AoAUAy캿C?  2" xfId="23459"/>
    <cellStyle name="A???C?Ao_AoAUAy캿C? " xfId="23460"/>
    <cellStyle name="A???CASH FLOW " xfId="23461"/>
    <cellStyle name="A???CASH FLOW  2" xfId="23462"/>
    <cellStyle name="A??[0]_CASH FLOW " xfId="23463"/>
    <cellStyle name="A??CASH FLOW " xfId="23464"/>
    <cellStyle name="A??CASH FLOW  2" xfId="23465"/>
    <cellStyle name="A_여수-죽림 세대" xfId="23466"/>
    <cellStyle name="A_여수-죽림 세대 2" xfId="23467"/>
    <cellStyle name="A_여수-죽림 세대_1" xfId="23468"/>
    <cellStyle name="A_여수-죽림 세대_1 2" xfId="23469"/>
    <cellStyle name="A¡§¡ⓒ¡E¡þ¡EO [0]_¡§uc¡§oA " xfId="24356"/>
    <cellStyle name="A¡§¡ⓒ¡E¡þ¡EO_¡§uc¡§oA " xfId="24357"/>
    <cellStyle name="A¨­???? [0]_INQUIRY ????¨?¡?A??A?ª " xfId="24358"/>
    <cellStyle name="A¨­????_INQUIRY ????¨?¡?A??A?ª " xfId="24359"/>
    <cellStyle name="A¨­￠￢￠O [0]_ ¨￢n￠￢n¨￢¡Æ ￠?u¨￢¡Æ¡¾a¨uu " xfId="24368"/>
    <cellStyle name="A¨­¢¬¢Ò [0]_¨úc¨öA " xfId="24363"/>
    <cellStyle name="A¨­￠￢￠O [0]_¨uoAa¨oCAu " xfId="24370"/>
    <cellStyle name="A¨­¢¬¢Ò [0]_4PART " xfId="24360"/>
    <cellStyle name="A¨­￠￢￠O [0]_A|A￠O1¨￢I1¡Æu CoEⓒ÷ " xfId="24369"/>
    <cellStyle name="A¨­¢¬¢Ò [0]_C¡Æ¢¬n¨¬¡Æ " xfId="24361"/>
    <cellStyle name="A¨­￠￢￠O [0]_ⓒoⓒ¡A¨o¨￢R " xfId="24371"/>
    <cellStyle name="A¨­¢¬¢Ò [0]_INQUIRY ¢¯¥ì¨ú¡ÀA©¬A©ª " xfId="24362"/>
    <cellStyle name="A¨­￠￢￠O_ ¨￢n￠￢n¨￢¡Æ ￠?u¨￢¡Æ¡¾a¨uu " xfId="24372"/>
    <cellStyle name="A¨­¢¬¢Ò_¨úc¨öA " xfId="24367"/>
    <cellStyle name="A¨­￠￢￠O_¨uoAa¨oCAu " xfId="24374"/>
    <cellStyle name="A¨­¢¬¢Ò_95©øaAN¡Æy¨ùo¡¤R " xfId="24364"/>
    <cellStyle name="A¨­￠￢￠O_A|A￠O1¨￢I1¡Æu CoEⓒ÷ " xfId="24373"/>
    <cellStyle name="A¨­¢¬¢Ò_C¡Æ¢¬n¨¬¡Æ " xfId="24365"/>
    <cellStyle name="A¨­￠￢￠O_ⓒoⓒ¡A¨o¨￢R " xfId="24375"/>
    <cellStyle name="A¨­¢¬¢Ò_INQUIRY ¢¯¥ì¨ú¡ÀA©¬A©ª " xfId="24366"/>
    <cellStyle name="A￠R¡×￠R¨I￠RE￠Rⓒ­￠REO [0]_INQUIRY ￠RE?￠RIi￠R¡×u¡ERAA¡§I￠Rⓒ­A¡§I¡§¡I " xfId="25158"/>
    <cellStyle name="A￠R¡×￠R¨I￠RE￠Rⓒ­￠REO_INQUIRY ￠RE?￠RIi￠R¡×u¡ERAA¡§I￠Rⓒ­A¡§I¡§¡I " xfId="25159"/>
    <cellStyle name="AA" xfId="23470"/>
    <cellStyle name="AA 2" xfId="23471"/>
    <cellStyle name="ac" xfId="23472"/>
    <cellStyle name="Aⓒ" xfId="25154"/>
    <cellStyle name="ac 2" xfId="23473"/>
    <cellStyle name="Aⓒ 2" xfId="25155"/>
    <cellStyle name="Aⓒ­￠￢￠" xfId="25156"/>
    <cellStyle name="Aⓒ­￠￢￠ 2" xfId="25157"/>
    <cellStyle name="Accent1" xfId="23474"/>
    <cellStyle name="Accent1 2" xfId="23475"/>
    <cellStyle name="Accent2" xfId="23476"/>
    <cellStyle name="Accent2 2" xfId="23477"/>
    <cellStyle name="Accent3" xfId="23478"/>
    <cellStyle name="Accent3 2" xfId="23479"/>
    <cellStyle name="Accent4" xfId="23480"/>
    <cellStyle name="Accent4 2" xfId="23481"/>
    <cellStyle name="Accent5" xfId="23482"/>
    <cellStyle name="Accent5 2" xfId="23483"/>
    <cellStyle name="Accent6" xfId="23484"/>
    <cellStyle name="Accent6 2" xfId="23485"/>
    <cellStyle name="Actual Date" xfId="23486"/>
    <cellStyle name="Actual Date 2" xfId="23487"/>
    <cellStyle name="Ae" xfId="23488"/>
    <cellStyle name="Åë" xfId="29658"/>
    <cellStyle name="Ae 2" xfId="23489"/>
    <cellStyle name="Åë 2" xfId="29659"/>
    <cellStyle name="Ae 2 2" xfId="23490"/>
    <cellStyle name="Åë 2 2" xfId="29660"/>
    <cellStyle name="Ae 3" xfId="23491"/>
    <cellStyle name="Åë 3" xfId="29661"/>
    <cellStyle name="Ae 3 2" xfId="23492"/>
    <cellStyle name="Ae 4" xfId="23493"/>
    <cellStyle name="Ae_Lemon 수원영화점 기계도급내역(최종보고)" xfId="23494"/>
    <cellStyle name="Åë_Lemon 수원영화점 기계도급내역(최종보고)" xfId="29662"/>
    <cellStyle name="Ae_Lemon 수원영화점 기계도급내역(최종보고) 2" xfId="23495"/>
    <cellStyle name="Åë_Lemon 수원영화점 기계도급내역(최종보고) 2" xfId="29663"/>
    <cellStyle name="Ae_Lemon 수원영화점(기계공사)" xfId="23496"/>
    <cellStyle name="Åë_Lemon 수원영화점(기계공사)" xfId="29664"/>
    <cellStyle name="Ae_Lemon 수원영화점(기계공사) 2" xfId="23497"/>
    <cellStyle name="Åë_Lemon 수원영화점(기계공사) 2" xfId="29665"/>
    <cellStyle name="Ae_LFD부산실행예산(020219)건축" xfId="23498"/>
    <cellStyle name="Åë_LFD부산실행예산(020219)건축" xfId="29666"/>
    <cellStyle name="Ae_LFD부산실행예산(020219)건축 2" xfId="23499"/>
    <cellStyle name="Åë_LFD부산실행예산(020219)건축 2" xfId="29667"/>
    <cellStyle name="Ae_LFD부산실행예산(020219)건축_경서실행(견적실)공무팀" xfId="23500"/>
    <cellStyle name="Åë_LFD부산실행예산(020219)건축_경서실행(견적실)공무팀" xfId="29668"/>
    <cellStyle name="Ae_LFD부산실행예산(020219)건축_경서실행(견적실)공무팀 2" xfId="23501"/>
    <cellStyle name="Åë_LFD부산실행예산(020219)건축_경서실행(견적실)공무팀 2" xfId="29669"/>
    <cellStyle name="Ae_LFD부산실행예산(020219)건축_골조공사견적가분석-1" xfId="23502"/>
    <cellStyle name="Åë_LFD부산실행예산(020219)건축_골조공사견적가분석-1" xfId="29670"/>
    <cellStyle name="Ae_LFD부산실행예산(020219)건축_골조공사견적가분석-1 2" xfId="23503"/>
    <cellStyle name="Åë_LFD부산실행예산(020219)건축_골조공사견적가분석-1 2" xfId="29671"/>
    <cellStyle name="Ae_LFD부산실행예산(020219)건축_골조공사공내역(송부)" xfId="23504"/>
    <cellStyle name="Åë_LFD부산실행예산(020219)건축_골조공사공내역(송부)" xfId="29672"/>
    <cellStyle name="Ae_LFD부산실행예산(020219)건축_골조공사공내역(송부) 2" xfId="23505"/>
    <cellStyle name="Åë_LFD부산실행예산(020219)건축_골조공사공내역(송부) 2" xfId="29673"/>
    <cellStyle name="Ae_LFD부산실행예산(020219)건축_골조공사공내역(장)" xfId="23506"/>
    <cellStyle name="Åë_LFD부산실행예산(020219)건축_골조공사공내역(장)" xfId="29674"/>
    <cellStyle name="Ae_LFD부산실행예산(020219)건축_골조공사공내역(장) 2" xfId="23507"/>
    <cellStyle name="Åë_LFD부산실행예산(020219)건축_골조공사공내역(장) 2" xfId="29675"/>
    <cellStyle name="Ae_LFD부산실행예산(020219)건축_골조공사실행예산품의" xfId="23508"/>
    <cellStyle name="Åë_LFD부산실행예산(020219)건축_골조공사실행예산품의" xfId="29676"/>
    <cellStyle name="Ae_LFD부산실행예산(020219)건축_골조공사실행예산품의 2" xfId="23509"/>
    <cellStyle name="Åë_LFD부산실행예산(020219)건축_골조공사실행예산품의 2" xfId="29677"/>
    <cellStyle name="Ae_LFD부산실행예산(020219)건축_동명2차실행예산(기초DATA)" xfId="23510"/>
    <cellStyle name="Åë_LFD부산실행예산(020219)건축_동명2차실행예산(기초DATA)" xfId="29678"/>
    <cellStyle name="Ae_LFD부산실행예산(020219)건축_동명2차실행예산(기초DATA) 2" xfId="23511"/>
    <cellStyle name="Åë_LFD부산실행예산(020219)건축_동명2차실행예산(기초DATA) 2" xfId="29679"/>
    <cellStyle name="Ae_LFD부산실행예산(020219)건축_동명본실행(수정)" xfId="23512"/>
    <cellStyle name="Åë_LFD부산실행예산(020219)건축_동명본실행(수정)" xfId="29680"/>
    <cellStyle name="Ae_LFD부산실행예산(020219)건축_동명본실행(수정) 2" xfId="23513"/>
    <cellStyle name="Åë_LFD부산실행예산(020219)건축_동명본실행(수정) 2" xfId="29681"/>
    <cellStyle name="Ae_LFD부산실행예산(020219)건축_동명삼화견본주택 기본안" xfId="23514"/>
    <cellStyle name="Åë_LFD부산실행예산(020219)건축_동명삼화견본주택 기본안" xfId="29682"/>
    <cellStyle name="Ae_LFD부산실행예산(020219)건축_동명삼화견본주택 기본안 2" xfId="23515"/>
    <cellStyle name="Åë_LFD부산실행예산(020219)건축_동명삼화견본주택 기본안 2" xfId="29683"/>
    <cellStyle name="Ae_LFD부산실행예산(020219)건축_부산덕천2차실행예산(기초DATA)" xfId="23516"/>
    <cellStyle name="Åë_LFD부산실행예산(020219)건축_부산덕천2차실행예산(기초DATA)" xfId="29684"/>
    <cellStyle name="Ae_LFD부산실행예산(020219)건축_부산덕천2차실행예산(기초DATA) 2" xfId="23517"/>
    <cellStyle name="Åë_LFD부산실행예산(020219)건축_부산덕천2차실행예산(기초DATA) 2" xfId="29685"/>
    <cellStyle name="Ae_LFD부산실행예산(020219)건축_부산덕천2차실행예산(기초DATA건설조정)" xfId="23518"/>
    <cellStyle name="Åë_LFD부산실행예산(020219)건축_부산덕천2차실행예산(기초DATA건설조정)" xfId="29686"/>
    <cellStyle name="Ae_LFD부산실행예산(020219)건축_부산덕천2차실행예산(기초DATA건설조정) 2" xfId="23519"/>
    <cellStyle name="Åë_LFD부산실행예산(020219)건축_부산덕천2차실행예산(기초DATA건설조정) 2" xfId="29687"/>
    <cellStyle name="Ae_LFD부산실행예산(020219)건축_부산덕천2차실행예산(기초DATA승인용)" xfId="23520"/>
    <cellStyle name="Åë_LFD부산실행예산(020219)건축_부산덕천2차실행예산(기초DATA승인용)" xfId="29688"/>
    <cellStyle name="Ae_LFD부산실행예산(020219)건축_부산덕천2차실행예산(기초DATA승인용) 2" xfId="23521"/>
    <cellStyle name="Åë_LFD부산실행예산(020219)건축_부산덕천2차실행예산(기초DATA승인용) 2" xfId="29689"/>
    <cellStyle name="Ae_LFD부산실행예산(020219)건축_부산덕천2차실행예산(기초DATA현장협의후)" xfId="23522"/>
    <cellStyle name="Åë_LFD부산실행예산(020219)건축_부산덕천2차실행예산(기초DATA현장협의후)" xfId="29690"/>
    <cellStyle name="Ae_LFD부산실행예산(020219)건축_부산덕천2차실행예산(기초DATA현장협의후) 2" xfId="23523"/>
    <cellStyle name="Åë_LFD부산실행예산(020219)건축_부산덕천2차실행예산(기초DATA현장협의후) 2" xfId="29691"/>
    <cellStyle name="Ae_LFD부산실행예산(020219)건축_실행검토_부산덕천" xfId="23524"/>
    <cellStyle name="Åë_LFD부산실행예산(020219)건축_실행검토_부산덕천" xfId="29692"/>
    <cellStyle name="Ae_LFD부산실행예산(020219)건축_실행검토_부산덕천 2" xfId="23525"/>
    <cellStyle name="Åë_LFD부산실행예산(020219)건축_실행검토_부산덕천 2" xfId="29693"/>
    <cellStyle name="Ae_LFD부산실행예산(020219)건축_여의도센터빌딩실행원가(020613)-2" xfId="23526"/>
    <cellStyle name="Åë_LFD부산실행예산(020219)건축_여의도센터빌딩실행원가(020613)-2" xfId="29694"/>
    <cellStyle name="Ae_LFD부산실행예산(020219)건축_여의도센터빌딩실행원가(020613)-2 2" xfId="23527"/>
    <cellStyle name="Åë_LFD부산실행예산(020219)건축_여의도센터빌딩실행원가(020613)-2 2" xfId="29695"/>
    <cellStyle name="Ae_LFD부산실행예산(020219)건축_제과충주영업소견적서" xfId="23528"/>
    <cellStyle name="Åë_LFD부산실행예산(020219)건축_제과충주영업소견적서" xfId="29696"/>
    <cellStyle name="Ae_LFD부산실행예산(020219)건축_제과충주영업소견적서 2" xfId="23529"/>
    <cellStyle name="Åë_LFD부산실행예산(020219)건축_제과충주영업소견적서 2" xfId="29697"/>
    <cellStyle name="Ae_LFD부산실행예산(020219)건축_현장경비신청안박성남" xfId="23530"/>
    <cellStyle name="Åë_LFD부산실행예산(020219)건축_현장경비신청안박성남" xfId="29698"/>
    <cellStyle name="Ae_LFD부산실행예산(020219)건축_현장경비신청안박성남 2" xfId="23531"/>
    <cellStyle name="Åë_LFD부산실행예산(020219)건축_현장경비신청안박성남 2" xfId="29699"/>
    <cellStyle name="Ae_LFD부산실행예산(020305)건축" xfId="23532"/>
    <cellStyle name="Åë_LFD부산실행예산(020305)건축" xfId="29700"/>
    <cellStyle name="Ae_LFD부산실행예산(020305)건축 2" xfId="23533"/>
    <cellStyle name="Åë_LFD부산실행예산(020305)건축 2" xfId="29701"/>
    <cellStyle name="Ae_LFD부산실행예산(020305)건축_경서실행(견적실)공무팀" xfId="23534"/>
    <cellStyle name="Åë_LFD부산실행예산(020305)건축_경서실행(견적실)공무팀" xfId="29702"/>
    <cellStyle name="Ae_LFD부산실행예산(020305)건축_경서실행(견적실)공무팀 2" xfId="23535"/>
    <cellStyle name="Åë_LFD부산실행예산(020305)건축_경서실행(견적실)공무팀 2" xfId="29703"/>
    <cellStyle name="Ae_LFD부산실행예산(020305)건축_골조공사견적가분석-1" xfId="23536"/>
    <cellStyle name="Åë_LFD부산실행예산(020305)건축_골조공사견적가분석-1" xfId="29704"/>
    <cellStyle name="Ae_LFD부산실행예산(020305)건축_골조공사견적가분석-1 2" xfId="23537"/>
    <cellStyle name="Åë_LFD부산실행예산(020305)건축_골조공사견적가분석-1 2" xfId="29705"/>
    <cellStyle name="Ae_LFD부산실행예산(020305)건축_골조공사공내역(송부)" xfId="23538"/>
    <cellStyle name="Åë_LFD부산실행예산(020305)건축_골조공사공내역(송부)" xfId="29706"/>
    <cellStyle name="Ae_LFD부산실행예산(020305)건축_골조공사공내역(송부) 2" xfId="23539"/>
    <cellStyle name="Åë_LFD부산실행예산(020305)건축_골조공사공내역(송부) 2" xfId="29707"/>
    <cellStyle name="Ae_LFD부산실행예산(020305)건축_골조공사공내역(장)" xfId="23540"/>
    <cellStyle name="Åë_LFD부산실행예산(020305)건축_골조공사공내역(장)" xfId="29708"/>
    <cellStyle name="Ae_LFD부산실행예산(020305)건축_골조공사공내역(장) 2" xfId="23541"/>
    <cellStyle name="Åë_LFD부산실행예산(020305)건축_골조공사공내역(장) 2" xfId="29709"/>
    <cellStyle name="Ae_LFD부산실행예산(020305)건축_골조공사실행예산품의" xfId="23542"/>
    <cellStyle name="Åë_LFD부산실행예산(020305)건축_골조공사실행예산품의" xfId="29710"/>
    <cellStyle name="Ae_LFD부산실행예산(020305)건축_골조공사실행예산품의 2" xfId="23543"/>
    <cellStyle name="Åë_LFD부산실행예산(020305)건축_골조공사실행예산품의 2" xfId="29711"/>
    <cellStyle name="Ae_LFD부산실행예산(020305)건축_동명2차실행예산(기초DATA)" xfId="23544"/>
    <cellStyle name="Åë_LFD부산실행예산(020305)건축_동명2차실행예산(기초DATA)" xfId="29712"/>
    <cellStyle name="Ae_LFD부산실행예산(020305)건축_동명2차실행예산(기초DATA) 2" xfId="23545"/>
    <cellStyle name="Åë_LFD부산실행예산(020305)건축_동명2차실행예산(기초DATA) 2" xfId="29713"/>
    <cellStyle name="Ae_LFD부산실행예산(020305)건축_동명본실행(수정)" xfId="23546"/>
    <cellStyle name="Åë_LFD부산실행예산(020305)건축_동명본실행(수정)" xfId="29714"/>
    <cellStyle name="Ae_LFD부산실행예산(020305)건축_동명본실행(수정) 2" xfId="23547"/>
    <cellStyle name="Åë_LFD부산실행예산(020305)건축_동명본실행(수정) 2" xfId="29715"/>
    <cellStyle name="Ae_LFD부산실행예산(020305)건축_부산덕천2차실행예산(기초DATA)" xfId="23548"/>
    <cellStyle name="Åë_LFD부산실행예산(020305)건축_부산덕천2차실행예산(기초DATA)" xfId="29716"/>
    <cellStyle name="Ae_LFD부산실행예산(020305)건축_부산덕천2차실행예산(기초DATA) 2" xfId="23549"/>
    <cellStyle name="Åë_LFD부산실행예산(020305)건축_부산덕천2차실행예산(기초DATA) 2" xfId="29717"/>
    <cellStyle name="Ae_LFD부산실행예산(020305)건축_부산덕천2차실행예산(기초DATA건설조정)" xfId="23550"/>
    <cellStyle name="Åë_LFD부산실행예산(020305)건축_부산덕천2차실행예산(기초DATA건설조정)" xfId="29718"/>
    <cellStyle name="Ae_LFD부산실행예산(020305)건축_부산덕천2차실행예산(기초DATA건설조정) 2" xfId="23551"/>
    <cellStyle name="Åë_LFD부산실행예산(020305)건축_부산덕천2차실행예산(기초DATA건설조정) 2" xfId="29719"/>
    <cellStyle name="Ae_LFD부산실행예산(020305)건축_부산덕천2차실행예산(기초DATA승인용)" xfId="23552"/>
    <cellStyle name="Åë_LFD부산실행예산(020305)건축_부산덕천2차실행예산(기초DATA승인용)" xfId="29720"/>
    <cellStyle name="Ae_LFD부산실행예산(020305)건축_부산덕천2차실행예산(기초DATA승인용) 2" xfId="23553"/>
    <cellStyle name="Åë_LFD부산실행예산(020305)건축_부산덕천2차실행예산(기초DATA승인용) 2" xfId="29721"/>
    <cellStyle name="Ae_LFD부산실행예산(020305)건축_부산덕천2차실행예산(기초DATA현장협의후)" xfId="23554"/>
    <cellStyle name="Åë_LFD부산실행예산(020305)건축_부산덕천2차실행예산(기초DATA현장협의후)" xfId="29722"/>
    <cellStyle name="Ae_LFD부산실행예산(020305)건축_부산덕천2차실행예산(기초DATA현장협의후) 2" xfId="23555"/>
    <cellStyle name="Åë_LFD부산실행예산(020305)건축_부산덕천2차실행예산(기초DATA현장협의후) 2" xfId="29723"/>
    <cellStyle name="Ae_LFD실행예산(020110)2855" xfId="23556"/>
    <cellStyle name="Åë_LFD실행예산(020110)2855" xfId="29724"/>
    <cellStyle name="Ae_LFD실행예산(020110)2855 2" xfId="23557"/>
    <cellStyle name="Åë_LFD실행예산(020110)2855 2" xfId="29725"/>
    <cellStyle name="Ae_LFD실행예산(020110)2855_LFD부산실행예산(020319)건축" xfId="23558"/>
    <cellStyle name="Åë_LFD실행예산(020110)2855_LFD부산실행예산(020319)건축" xfId="29726"/>
    <cellStyle name="Ae_LFD실행예산(020110)2855_LFD부산실행예산(020319)건축 2" xfId="23559"/>
    <cellStyle name="Åë_LFD실행예산(020110)2855_LFD부산실행예산(020319)건축 2" xfId="29727"/>
    <cellStyle name="Ae_LFD실행예산(020110)2855_경서실행(견적실)공무팀" xfId="23560"/>
    <cellStyle name="Åë_LFD실행예산(020110)2855_경서실행(견적실)공무팀" xfId="29728"/>
    <cellStyle name="Ae_LFD실행예산(020110)2855_경서실행(견적실)공무팀 2" xfId="23561"/>
    <cellStyle name="Åë_LFD실행예산(020110)2855_경서실행(견적실)공무팀 2" xfId="29729"/>
    <cellStyle name="Ae_LFD실행예산(020110)2855_골조공사견적가분석-1" xfId="23562"/>
    <cellStyle name="Åë_LFD실행예산(020110)2855_골조공사견적가분석-1" xfId="29730"/>
    <cellStyle name="Ae_LFD실행예산(020110)2855_골조공사견적가분석-1 2" xfId="23563"/>
    <cellStyle name="Åë_LFD실행예산(020110)2855_골조공사견적가분석-1 2" xfId="29731"/>
    <cellStyle name="Ae_LFD실행예산(020110)2855_골조공사공내역(송부)" xfId="23564"/>
    <cellStyle name="Åë_LFD실행예산(020110)2855_골조공사공내역(송부)" xfId="29732"/>
    <cellStyle name="Ae_LFD실행예산(020110)2855_골조공사공내역(송부) 2" xfId="23565"/>
    <cellStyle name="Åë_LFD실행예산(020110)2855_골조공사공내역(송부) 2" xfId="29733"/>
    <cellStyle name="Ae_LFD실행예산(020110)2855_골조공사공내역(장)" xfId="23566"/>
    <cellStyle name="Åë_LFD실행예산(020110)2855_골조공사공내역(장)" xfId="29734"/>
    <cellStyle name="Ae_LFD실행예산(020110)2855_골조공사공내역(장) 2" xfId="23567"/>
    <cellStyle name="Åë_LFD실행예산(020110)2855_골조공사공내역(장) 2" xfId="29735"/>
    <cellStyle name="Ae_LFD실행예산(020110)2855_골조공사실행예산품의" xfId="23568"/>
    <cellStyle name="Åë_LFD실행예산(020110)2855_골조공사실행예산품의" xfId="29736"/>
    <cellStyle name="Ae_LFD실행예산(020110)2855_골조공사실행예산품의 2" xfId="23569"/>
    <cellStyle name="Åë_LFD실행예산(020110)2855_골조공사실행예산품의 2" xfId="29737"/>
    <cellStyle name="Ae_LFD실행예산(020110)2855_동명2차실행예산(기초DATA)" xfId="23570"/>
    <cellStyle name="Åë_LFD실행예산(020110)2855_동명2차실행예산(기초DATA)" xfId="29738"/>
    <cellStyle name="Ae_LFD실행예산(020110)2855_동명2차실행예산(기초DATA) 2" xfId="23571"/>
    <cellStyle name="Åë_LFD실행예산(020110)2855_동명2차실행예산(기초DATA) 2" xfId="29739"/>
    <cellStyle name="Ae_LFD실행예산(020110)2855_동명본실행(수정)" xfId="23572"/>
    <cellStyle name="Åë_LFD실행예산(020110)2855_동명본실행(수정)" xfId="29740"/>
    <cellStyle name="Ae_LFD실행예산(020110)2855_동명본실행(수정) 2" xfId="23573"/>
    <cellStyle name="Åë_LFD실행예산(020110)2855_동명본실행(수정) 2" xfId="29741"/>
    <cellStyle name="Ae_LFD실행예산(020110)2855_동명삼화견본주택 기본안" xfId="23574"/>
    <cellStyle name="Åë_LFD실행예산(020110)2855_동명삼화견본주택 기본안" xfId="29742"/>
    <cellStyle name="Ae_LFD실행예산(020110)2855_동명삼화견본주택 기본안 2" xfId="23575"/>
    <cellStyle name="Åë_LFD실행예산(020110)2855_동명삼화견본주택 기본안 2" xfId="29743"/>
    <cellStyle name="Ae_LFD실행예산(020110)2855_동명실행예산-1" xfId="23576"/>
    <cellStyle name="Åë_LFD실행예산(020110)2855_동명실행예산-1" xfId="29744"/>
    <cellStyle name="Ae_LFD실행예산(020110)2855_동명실행예산-1 2" xfId="23577"/>
    <cellStyle name="Åë_LFD실행예산(020110)2855_동명실행예산-1 2" xfId="29745"/>
    <cellStyle name="Ae_LFD실행예산(020110)2855_부산덕천2차실행예산(기초DATA)" xfId="23578"/>
    <cellStyle name="Åë_LFD실행예산(020110)2855_부산덕천2차실행예산(기초DATA)" xfId="29746"/>
    <cellStyle name="Ae_LFD실행예산(020110)2855_부산덕천2차실행예산(기초DATA) 2" xfId="23579"/>
    <cellStyle name="Åë_LFD실행예산(020110)2855_부산덕천2차실행예산(기초DATA) 2" xfId="29747"/>
    <cellStyle name="Ae_LFD실행예산(020110)2855_부산덕천2차실행예산(기초DATA건설조정)" xfId="23580"/>
    <cellStyle name="Åë_LFD실행예산(020110)2855_부산덕천2차실행예산(기초DATA건설조정)" xfId="29748"/>
    <cellStyle name="Ae_LFD실행예산(020110)2855_부산덕천2차실행예산(기초DATA건설조정) 2" xfId="23581"/>
    <cellStyle name="Åë_LFD실행예산(020110)2855_부산덕천2차실행예산(기초DATA건설조정) 2" xfId="29749"/>
    <cellStyle name="Ae_LFD실행예산(020110)2855_부산덕천2차실행예산(기초DATA승인용)" xfId="23582"/>
    <cellStyle name="Åë_LFD실행예산(020110)2855_부산덕천2차실행예산(기초DATA승인용)" xfId="29750"/>
    <cellStyle name="Ae_LFD실행예산(020110)2855_부산덕천2차실행예산(기초DATA승인용) 2" xfId="23583"/>
    <cellStyle name="Åë_LFD실행예산(020110)2855_부산덕천2차실행예산(기초DATA승인용) 2" xfId="29751"/>
    <cellStyle name="Ae_LFD실행예산(020110)2855_부산덕천2차실행예산(기초DATA현장협의후)" xfId="23584"/>
    <cellStyle name="Åë_LFD실행예산(020110)2855_부산덕천2차실행예산(기초DATA현장협의후)" xfId="29752"/>
    <cellStyle name="Ae_LFD실행예산(020110)2855_부산덕천2차실행예산(기초DATA현장협의후) 2" xfId="23585"/>
    <cellStyle name="Åë_LFD실행예산(020110)2855_부산덕천2차실행예산(기초DATA현장협의후) 2" xfId="29753"/>
    <cellStyle name="Ae_LFD실행예산(020110)2855_실행검토_부산덕천" xfId="23586"/>
    <cellStyle name="Åë_LFD실행예산(020110)2855_실행검토_부산덕천" xfId="29754"/>
    <cellStyle name="Ae_LFD실행예산(020110)2855_실행검토_부산덕천 2" xfId="23587"/>
    <cellStyle name="Åë_LFD실행예산(020110)2855_실행검토_부산덕천 2" xfId="29755"/>
    <cellStyle name="Ae_LFD실행예산(020110)2855_여의도센터빌딩실행원가(020613)-2" xfId="23588"/>
    <cellStyle name="Åë_LFD실행예산(020110)2855_여의도센터빌딩실행원가(020613)-2" xfId="29756"/>
    <cellStyle name="Ae_LFD실행예산(020110)2855_여의도센터빌딩실행원가(020613)-2 2" xfId="23589"/>
    <cellStyle name="Åë_LFD실행예산(020110)2855_여의도센터빌딩실행원가(020613)-2 2" xfId="29757"/>
    <cellStyle name="Ae_LFD실행예산(020110)2855_제과충주영업소견적서" xfId="23590"/>
    <cellStyle name="Åë_LFD실행예산(020110)2855_제과충주영업소견적서" xfId="29758"/>
    <cellStyle name="Ae_LFD실행예산(020110)2855_제과충주영업소견적서 2" xfId="23591"/>
    <cellStyle name="Åë_LFD실행예산(020110)2855_제과충주영업소견적서 2" xfId="29759"/>
    <cellStyle name="Ae_LFD실행예산(020110)2855_현장경비신청안박성남" xfId="23592"/>
    <cellStyle name="Åë_LFD실행예산(020110)2855_현장경비신청안박성남" xfId="29760"/>
    <cellStyle name="Ae_LFD실행예산(020110)2855_현장경비신청안박성남 2" xfId="23593"/>
    <cellStyle name="Åë_LFD실행예산(020110)2855_현장경비신청안박성남 2" xfId="29761"/>
    <cellStyle name="Ae_경서실행(견적실)공무팀" xfId="23594"/>
    <cellStyle name="Åë_경서실행(견적실)공무팀" xfId="29762"/>
    <cellStyle name="Ae_경서실행(견적실)공무팀 2" xfId="23595"/>
    <cellStyle name="Åë_경서실행(견적실)공무팀 2" xfId="29763"/>
    <cellStyle name="Ae_경서실행(견적실)공무팀_1" xfId="23596"/>
    <cellStyle name="Åë_경서실행(견적실)공무팀_1" xfId="29764"/>
    <cellStyle name="Ae_경서실행(견적실)공무팀_1 2" xfId="23597"/>
    <cellStyle name="Åë_경서실행(견적실)공무팀_1 2" xfId="29765"/>
    <cellStyle name="Ae_경서실행(견적실)공무팀_1_레몬영화egi내역서(13968천원)" xfId="23598"/>
    <cellStyle name="Åë_경서실행(견적실)공무팀_1_레몬영화egi내역서(13968천원)" xfId="29766"/>
    <cellStyle name="Ae_경서실행(견적실)공무팀_1_레몬영화egi내역서(13968천원) 2" xfId="23599"/>
    <cellStyle name="Åë_경서실행(견적실)공무팀_1_레몬영화egi내역서(13968천원) 2" xfId="29767"/>
    <cellStyle name="Ae_광주공장 도급내역(변경03.1.07)" xfId="23600"/>
    <cellStyle name="Åë_광주공장 도급내역(변경03.1.07)" xfId="29768"/>
    <cellStyle name="Ae_광주공장 도급내역(변경03.1.07) 2" xfId="23601"/>
    <cellStyle name="Åë_광주공장 도급내역(변경03.1.07) 2" xfId="29769"/>
    <cellStyle name="Ae_광주공장 도급내역(변경03.1.21)" xfId="23602"/>
    <cellStyle name="Åë_광주공장 도급내역(변경03.1.21)" xfId="29770"/>
    <cellStyle name="Ae_광주공장 도급내역(변경03.1.21) 2" xfId="23603"/>
    <cellStyle name="Åë_광주공장 도급내역(변경03.1.21) 2" xfId="29771"/>
    <cellStyle name="Ae_광주공장(대비1218)" xfId="23604"/>
    <cellStyle name="Åë_광주공장(대비1218)" xfId="29772"/>
    <cellStyle name="Ae_광주공장(대비1218) 2" xfId="23605"/>
    <cellStyle name="Åë_광주공장(대비1218) 2" xfId="29773"/>
    <cellStyle name="Ae_기계실행(LFD광주공장.현설용)" xfId="23606"/>
    <cellStyle name="Åë_기계실행(LFD광주공장.현설용)" xfId="29774"/>
    <cellStyle name="Ae_기계실행(LFD광주공장.현설용) 2" xfId="23607"/>
    <cellStyle name="Åë_기계실행(LFD광주공장.현설용) 2" xfId="29775"/>
    <cellStyle name="Ae_동명삼화 현장설명(본사지급)" xfId="23608"/>
    <cellStyle name="Åë_동명삼화 현장설명(본사지급)" xfId="29776"/>
    <cellStyle name="Ae_동명삼화 현장설명(본사지급) 2" xfId="23609"/>
    <cellStyle name="Åë_동명삼화 현장설명(본사지급) 2" xfId="29777"/>
    <cellStyle name="Ae_동명삼화 현장설명(본사지급)_울산신정동수주검토(2003.01.21에어컨)" xfId="23610"/>
    <cellStyle name="Åë_동명삼화 현장설명(본사지급)_울산신정동수주검토(2003.01.21에어컨)" xfId="29778"/>
    <cellStyle name="Ae_동명삼화 현장설명(본사지급)_울산신정동수주검토(2003.01.21에어컨) 2" xfId="23611"/>
    <cellStyle name="Åë_동명삼화 현장설명(본사지급)_울산신정동수주검토(2003.01.21에어컨) 2" xfId="29779"/>
    <cellStyle name="Ae_동명삼화견본주택 기본안" xfId="23612"/>
    <cellStyle name="Åë_동명삼화견본주택 기본안" xfId="29780"/>
    <cellStyle name="Ae_동명삼화견본주택 기본안 2" xfId="23613"/>
    <cellStyle name="Åë_동명삼화견본주택 기본안 2" xfId="29781"/>
    <cellStyle name="Ae_동명삼화기계공사 물량집계" xfId="23614"/>
    <cellStyle name="Åë_동명삼화기계공사 물량집계" xfId="29782"/>
    <cellStyle name="Ae_동명삼화기계공사 물량집계 2" xfId="23615"/>
    <cellStyle name="Åë_동명삼화기계공사 물량집계 2" xfId="29783"/>
    <cellStyle name="Ae_동명삼화재건축아파트" xfId="23616"/>
    <cellStyle name="Åë_동명삼화재건축아파트" xfId="29784"/>
    <cellStyle name="Ae_동명삼화재건축아파트 2" xfId="23617"/>
    <cellStyle name="Åë_동명삼화재건축아파트 2" xfId="29785"/>
    <cellStyle name="Ae_동명실행예산-1" xfId="23618"/>
    <cellStyle name="Åë_동명실행예산-1" xfId="29786"/>
    <cellStyle name="Ae_동명실행예산-1 2" xfId="23619"/>
    <cellStyle name="Åë_동명실행예산-1 2" xfId="29787"/>
    <cellStyle name="Ae_롯데동명삼화평당단가비교" xfId="23620"/>
    <cellStyle name="Åë_롯데동명삼화평당단가비교" xfId="29788"/>
    <cellStyle name="Ae_롯데동명삼화평당단가비교 2" xfId="23621"/>
    <cellStyle name="Åë_롯데동명삼화평당단가비교 2" xfId="29789"/>
    <cellStyle name="Ae_마곡보완" xfId="23622"/>
    <cellStyle name="Åë_마곡보완" xfId="29790"/>
    <cellStyle name="Ae_마곡보완 2" xfId="23623"/>
    <cellStyle name="Åë_마곡보완 2" xfId="29791"/>
    <cellStyle name="Ae_마곡보완_Lemon 수원영화점 기계도급내역(최종보고)" xfId="23624"/>
    <cellStyle name="Åë_마곡보완_Lemon 수원영화점 기계도급내역(최종보고)" xfId="29792"/>
    <cellStyle name="Ae_마곡보완_Lemon 수원영화점 기계도급내역(최종보고) 2" xfId="23625"/>
    <cellStyle name="Åë_마곡보완_Lemon 수원영화점 기계도급내역(최종보고) 2" xfId="29793"/>
    <cellStyle name="Ae_마곡보완_Lemon 수원영화점(기계공사)" xfId="23626"/>
    <cellStyle name="Åë_마곡보완_Lemon 수원영화점(기계공사)" xfId="29794"/>
    <cellStyle name="Ae_마곡보완_Lemon 수원영화점(기계공사) 2" xfId="23627"/>
    <cellStyle name="Åë_마곡보완_Lemon 수원영화점(기계공사) 2" xfId="29795"/>
    <cellStyle name="Ae_마곡보완_LFD부산실행예산(020219)건축" xfId="23628"/>
    <cellStyle name="Åë_마곡보완_LFD부산실행예산(020219)건축" xfId="29796"/>
    <cellStyle name="Ae_마곡보완_LFD부산실행예산(020219)건축 2" xfId="23629"/>
    <cellStyle name="Åë_마곡보완_LFD부산실행예산(020219)건축 2" xfId="29797"/>
    <cellStyle name="Ae_마곡보완_LFD부산실행예산(020219)건축_경서실행(견적실)공무팀" xfId="23630"/>
    <cellStyle name="Åë_마곡보완_LFD부산실행예산(020219)건축_경서실행(견적실)공무팀" xfId="29798"/>
    <cellStyle name="Ae_마곡보완_LFD부산실행예산(020219)건축_경서실행(견적실)공무팀 2" xfId="23631"/>
    <cellStyle name="Åë_마곡보완_LFD부산실행예산(020219)건축_경서실행(견적실)공무팀 2" xfId="29799"/>
    <cellStyle name="Ae_마곡보완_LFD부산실행예산(020219)건축_골조공사견적가분석-1" xfId="23632"/>
    <cellStyle name="Åë_마곡보완_LFD부산실행예산(020219)건축_골조공사견적가분석-1" xfId="29800"/>
    <cellStyle name="Ae_마곡보완_LFD부산실행예산(020219)건축_골조공사견적가분석-1 2" xfId="23633"/>
    <cellStyle name="Åë_마곡보완_LFD부산실행예산(020219)건축_골조공사견적가분석-1 2" xfId="29801"/>
    <cellStyle name="Ae_마곡보완_LFD부산실행예산(020219)건축_골조공사공내역(송부)" xfId="23634"/>
    <cellStyle name="Åë_마곡보완_LFD부산실행예산(020219)건축_골조공사공내역(송부)" xfId="29802"/>
    <cellStyle name="Ae_마곡보완_LFD부산실행예산(020219)건축_골조공사공내역(송부) 2" xfId="23635"/>
    <cellStyle name="Åë_마곡보완_LFD부산실행예산(020219)건축_골조공사공내역(송부) 2" xfId="29803"/>
    <cellStyle name="Ae_마곡보완_LFD부산실행예산(020219)건축_골조공사공내역(장)" xfId="23636"/>
    <cellStyle name="Åë_마곡보완_LFD부산실행예산(020219)건축_골조공사공내역(장)" xfId="29804"/>
    <cellStyle name="Ae_마곡보완_LFD부산실행예산(020219)건축_골조공사공내역(장) 2" xfId="23637"/>
    <cellStyle name="Åë_마곡보완_LFD부산실행예산(020219)건축_골조공사공내역(장) 2" xfId="29805"/>
    <cellStyle name="Ae_마곡보완_LFD부산실행예산(020219)건축_골조공사실행예산품의" xfId="23638"/>
    <cellStyle name="Åë_마곡보완_LFD부산실행예산(020219)건축_골조공사실행예산품의" xfId="29806"/>
    <cellStyle name="Ae_마곡보완_LFD부산실행예산(020219)건축_골조공사실행예산품의 2" xfId="23639"/>
    <cellStyle name="Åë_마곡보완_LFD부산실행예산(020219)건축_골조공사실행예산품의 2" xfId="29807"/>
    <cellStyle name="Ae_마곡보완_LFD부산실행예산(020219)건축_동명2차실행예산(기초DATA)" xfId="23640"/>
    <cellStyle name="Åë_마곡보완_LFD부산실행예산(020219)건축_동명2차실행예산(기초DATA)" xfId="29808"/>
    <cellStyle name="Ae_마곡보완_LFD부산실행예산(020219)건축_동명2차실행예산(기초DATA) 2" xfId="23641"/>
    <cellStyle name="Åë_마곡보완_LFD부산실행예산(020219)건축_동명2차실행예산(기초DATA) 2" xfId="29809"/>
    <cellStyle name="Ae_마곡보완_LFD부산실행예산(020219)건축_동명본실행(수정)" xfId="23642"/>
    <cellStyle name="Åë_마곡보완_LFD부산실행예산(020219)건축_동명본실행(수정)" xfId="29810"/>
    <cellStyle name="Ae_마곡보완_LFD부산실행예산(020219)건축_동명본실행(수정) 2" xfId="23643"/>
    <cellStyle name="Åë_마곡보완_LFD부산실행예산(020219)건축_동명본실행(수정) 2" xfId="29811"/>
    <cellStyle name="Ae_마곡보완_LFD부산실행예산(020219)건축_동명삼화견본주택 기본안" xfId="23644"/>
    <cellStyle name="Åë_마곡보완_LFD부산실행예산(020219)건축_동명삼화견본주택 기본안" xfId="29812"/>
    <cellStyle name="Ae_마곡보완_LFD부산실행예산(020219)건축_동명삼화견본주택 기본안 2" xfId="23645"/>
    <cellStyle name="Åë_마곡보완_LFD부산실행예산(020219)건축_동명삼화견본주택 기본안 2" xfId="29813"/>
    <cellStyle name="Ae_마곡보완_LFD부산실행예산(020219)건축_부산덕천2차실행예산(기초DATA)" xfId="23646"/>
    <cellStyle name="Åë_마곡보완_LFD부산실행예산(020219)건축_부산덕천2차실행예산(기초DATA)" xfId="29814"/>
    <cellStyle name="Ae_마곡보완_LFD부산실행예산(020219)건축_부산덕천2차실행예산(기초DATA) 2" xfId="23647"/>
    <cellStyle name="Åë_마곡보완_LFD부산실행예산(020219)건축_부산덕천2차실행예산(기초DATA) 2" xfId="29815"/>
    <cellStyle name="Ae_마곡보완_LFD부산실행예산(020219)건축_부산덕천2차실행예산(기초DATA건설조정)" xfId="23648"/>
    <cellStyle name="Åë_마곡보완_LFD부산실행예산(020219)건축_부산덕천2차실행예산(기초DATA건설조정)" xfId="29816"/>
    <cellStyle name="Ae_마곡보완_LFD부산실행예산(020219)건축_부산덕천2차실행예산(기초DATA건설조정) 2" xfId="23649"/>
    <cellStyle name="Åë_마곡보완_LFD부산실행예산(020219)건축_부산덕천2차실행예산(기초DATA건설조정) 2" xfId="29817"/>
    <cellStyle name="Ae_마곡보완_LFD부산실행예산(020219)건축_부산덕천2차실행예산(기초DATA승인용)" xfId="23650"/>
    <cellStyle name="Åë_마곡보완_LFD부산실행예산(020219)건축_부산덕천2차실행예산(기초DATA승인용)" xfId="29818"/>
    <cellStyle name="Ae_마곡보완_LFD부산실행예산(020219)건축_부산덕천2차실행예산(기초DATA승인용) 2" xfId="23651"/>
    <cellStyle name="Åë_마곡보완_LFD부산실행예산(020219)건축_부산덕천2차실행예산(기초DATA승인용) 2" xfId="29819"/>
    <cellStyle name="Ae_마곡보완_LFD부산실행예산(020219)건축_부산덕천2차실행예산(기초DATA현장협의후)" xfId="23652"/>
    <cellStyle name="Åë_마곡보완_LFD부산실행예산(020219)건축_부산덕천2차실행예산(기초DATA현장협의후)" xfId="29820"/>
    <cellStyle name="Ae_마곡보완_LFD부산실행예산(020219)건축_부산덕천2차실행예산(기초DATA현장협의후) 2" xfId="23653"/>
    <cellStyle name="Åë_마곡보완_LFD부산실행예산(020219)건축_부산덕천2차실행예산(기초DATA현장협의후) 2" xfId="29821"/>
    <cellStyle name="Ae_마곡보완_LFD부산실행예산(020219)건축_실행검토_부산덕천" xfId="23654"/>
    <cellStyle name="Åë_마곡보완_LFD부산실행예산(020219)건축_실행검토_부산덕천" xfId="29822"/>
    <cellStyle name="Ae_마곡보완_LFD부산실행예산(020219)건축_실행검토_부산덕천 2" xfId="23655"/>
    <cellStyle name="Åë_마곡보완_LFD부산실행예산(020219)건축_실행검토_부산덕천 2" xfId="29823"/>
    <cellStyle name="Ae_마곡보완_LFD부산실행예산(020219)건축_여의도센터빌딩실행원가(020613)-2" xfId="23656"/>
    <cellStyle name="Åë_마곡보완_LFD부산실행예산(020219)건축_여의도센터빌딩실행원가(020613)-2" xfId="29824"/>
    <cellStyle name="Ae_마곡보완_LFD부산실행예산(020219)건축_여의도센터빌딩실행원가(020613)-2 2" xfId="23657"/>
    <cellStyle name="Åë_마곡보완_LFD부산실행예산(020219)건축_여의도센터빌딩실행원가(020613)-2 2" xfId="29825"/>
    <cellStyle name="Ae_마곡보완_LFD부산실행예산(020219)건축_제과충주영업소견적서" xfId="23658"/>
    <cellStyle name="Åë_마곡보완_LFD부산실행예산(020219)건축_제과충주영업소견적서" xfId="29826"/>
    <cellStyle name="Ae_마곡보완_LFD부산실행예산(020219)건축_제과충주영업소견적서 2" xfId="23659"/>
    <cellStyle name="Åë_마곡보완_LFD부산실행예산(020219)건축_제과충주영업소견적서 2" xfId="29827"/>
    <cellStyle name="Ae_마곡보완_LFD부산실행예산(020219)건축_현장경비신청안박성남" xfId="23660"/>
    <cellStyle name="Åë_마곡보완_LFD부산실행예산(020219)건축_현장경비신청안박성남" xfId="29828"/>
    <cellStyle name="Ae_마곡보완_LFD부산실행예산(020219)건축_현장경비신청안박성남 2" xfId="23661"/>
    <cellStyle name="Åë_마곡보완_LFD부산실행예산(020219)건축_현장경비신청안박성남 2" xfId="29829"/>
    <cellStyle name="Ae_마곡보완_LFD부산실행예산(020305)건축" xfId="23662"/>
    <cellStyle name="Åë_마곡보완_LFD부산실행예산(020305)건축" xfId="29830"/>
    <cellStyle name="Ae_마곡보완_LFD부산실행예산(020305)건축 2" xfId="23663"/>
    <cellStyle name="Åë_마곡보완_LFD부산실행예산(020305)건축 2" xfId="29831"/>
    <cellStyle name="Ae_마곡보완_LFD부산실행예산(020305)건축_경서실행(견적실)공무팀" xfId="23664"/>
    <cellStyle name="Åë_마곡보완_LFD부산실행예산(020305)건축_경서실행(견적실)공무팀" xfId="29832"/>
    <cellStyle name="Ae_마곡보완_LFD부산실행예산(020305)건축_경서실행(견적실)공무팀 2" xfId="23665"/>
    <cellStyle name="Åë_마곡보완_LFD부산실행예산(020305)건축_경서실행(견적실)공무팀 2" xfId="29833"/>
    <cellStyle name="Ae_마곡보완_LFD부산실행예산(020305)건축_골조공사견적가분석-1" xfId="23666"/>
    <cellStyle name="Åë_마곡보완_LFD부산실행예산(020305)건축_골조공사견적가분석-1" xfId="29834"/>
    <cellStyle name="Ae_마곡보완_LFD부산실행예산(020305)건축_골조공사견적가분석-1 2" xfId="23667"/>
    <cellStyle name="Åë_마곡보완_LFD부산실행예산(020305)건축_골조공사견적가분석-1 2" xfId="29835"/>
    <cellStyle name="Ae_마곡보완_LFD부산실행예산(020305)건축_골조공사공내역(송부)" xfId="23668"/>
    <cellStyle name="Åë_마곡보완_LFD부산실행예산(020305)건축_골조공사공내역(송부)" xfId="29836"/>
    <cellStyle name="Ae_마곡보완_LFD부산실행예산(020305)건축_골조공사공내역(송부) 2" xfId="23669"/>
    <cellStyle name="Åë_마곡보완_LFD부산실행예산(020305)건축_골조공사공내역(송부) 2" xfId="29837"/>
    <cellStyle name="Ae_마곡보완_LFD부산실행예산(020305)건축_골조공사공내역(장)" xfId="23670"/>
    <cellStyle name="Åë_마곡보완_LFD부산실행예산(020305)건축_골조공사공내역(장)" xfId="29838"/>
    <cellStyle name="Ae_마곡보완_LFD부산실행예산(020305)건축_골조공사공내역(장) 2" xfId="23671"/>
    <cellStyle name="Åë_마곡보완_LFD부산실행예산(020305)건축_골조공사공내역(장) 2" xfId="29839"/>
    <cellStyle name="Ae_마곡보완_LFD부산실행예산(020305)건축_골조공사실행예산품의" xfId="23672"/>
    <cellStyle name="Åë_마곡보완_LFD부산실행예산(020305)건축_골조공사실행예산품의" xfId="29840"/>
    <cellStyle name="Ae_마곡보완_LFD부산실행예산(020305)건축_골조공사실행예산품의 2" xfId="23673"/>
    <cellStyle name="Åë_마곡보완_LFD부산실행예산(020305)건축_골조공사실행예산품의 2" xfId="29841"/>
    <cellStyle name="Ae_마곡보완_LFD부산실행예산(020305)건축_동명2차실행예산(기초DATA)" xfId="23674"/>
    <cellStyle name="Åë_마곡보완_LFD부산실행예산(020305)건축_동명2차실행예산(기초DATA)" xfId="29842"/>
    <cellStyle name="Ae_마곡보완_LFD부산실행예산(020305)건축_동명2차실행예산(기초DATA) 2" xfId="23675"/>
    <cellStyle name="Åë_마곡보완_LFD부산실행예산(020305)건축_동명2차실행예산(기초DATA) 2" xfId="29843"/>
    <cellStyle name="Ae_마곡보완_LFD부산실행예산(020305)건축_동명본실행(수정)" xfId="23676"/>
    <cellStyle name="Åë_마곡보완_LFD부산실행예산(020305)건축_동명본실행(수정)" xfId="29844"/>
    <cellStyle name="Ae_마곡보완_LFD부산실행예산(020305)건축_동명본실행(수정) 2" xfId="23677"/>
    <cellStyle name="Åë_마곡보완_LFD부산실행예산(020305)건축_동명본실행(수정) 2" xfId="29845"/>
    <cellStyle name="Ae_마곡보완_LFD부산실행예산(020305)건축_부산덕천2차실행예산(기초DATA)" xfId="23678"/>
    <cellStyle name="Åë_마곡보완_LFD부산실행예산(020305)건축_부산덕천2차실행예산(기초DATA)" xfId="29846"/>
    <cellStyle name="Ae_마곡보완_LFD부산실행예산(020305)건축_부산덕천2차실행예산(기초DATA) 2" xfId="23679"/>
    <cellStyle name="Åë_마곡보완_LFD부산실행예산(020305)건축_부산덕천2차실행예산(기초DATA) 2" xfId="29847"/>
    <cellStyle name="Ae_마곡보완_LFD부산실행예산(020305)건축_부산덕천2차실행예산(기초DATA건설조정)" xfId="23680"/>
    <cellStyle name="Åë_마곡보완_LFD부산실행예산(020305)건축_부산덕천2차실행예산(기초DATA건설조정)" xfId="29848"/>
    <cellStyle name="Ae_마곡보완_LFD부산실행예산(020305)건축_부산덕천2차실행예산(기초DATA건설조정) 2" xfId="23681"/>
    <cellStyle name="Åë_마곡보완_LFD부산실행예산(020305)건축_부산덕천2차실행예산(기초DATA건설조정) 2" xfId="29849"/>
    <cellStyle name="Ae_마곡보완_LFD부산실행예산(020305)건축_부산덕천2차실행예산(기초DATA승인용)" xfId="23682"/>
    <cellStyle name="Åë_마곡보완_LFD부산실행예산(020305)건축_부산덕천2차실행예산(기초DATA승인용)" xfId="29850"/>
    <cellStyle name="Ae_마곡보완_LFD부산실행예산(020305)건축_부산덕천2차실행예산(기초DATA승인용) 2" xfId="23683"/>
    <cellStyle name="Åë_마곡보완_LFD부산실행예산(020305)건축_부산덕천2차실행예산(기초DATA승인용) 2" xfId="29851"/>
    <cellStyle name="Ae_마곡보완_LFD부산실행예산(020305)건축_부산덕천2차실행예산(기초DATA현장협의후)" xfId="23684"/>
    <cellStyle name="Åë_마곡보완_LFD부산실행예산(020305)건축_부산덕천2차실행예산(기초DATA현장협의후)" xfId="29852"/>
    <cellStyle name="Ae_마곡보완_LFD부산실행예산(020305)건축_부산덕천2차실행예산(기초DATA현장협의후) 2" xfId="23685"/>
    <cellStyle name="Åë_마곡보완_LFD부산실행예산(020305)건축_부산덕천2차실행예산(기초DATA현장협의후) 2" xfId="29853"/>
    <cellStyle name="Ae_마곡보완_LFD실행예산(020110)2855" xfId="23686"/>
    <cellStyle name="Åë_마곡보완_LFD실행예산(020110)2855" xfId="29854"/>
    <cellStyle name="Ae_마곡보완_LFD실행예산(020110)2855 2" xfId="23687"/>
    <cellStyle name="Åë_마곡보완_LFD실행예산(020110)2855 2" xfId="29855"/>
    <cellStyle name="Ae_마곡보완_LFD실행예산(020110)2855_LFD부산실행예산(020319)건축" xfId="23688"/>
    <cellStyle name="Åë_마곡보완_LFD실행예산(020110)2855_LFD부산실행예산(020319)건축" xfId="29856"/>
    <cellStyle name="Ae_마곡보완_LFD실행예산(020110)2855_LFD부산실행예산(020319)건축 2" xfId="23689"/>
    <cellStyle name="Åë_마곡보완_LFD실행예산(020110)2855_LFD부산실행예산(020319)건축 2" xfId="29857"/>
    <cellStyle name="Ae_마곡보완_LFD실행예산(020110)2855_경서실행(견적실)공무팀" xfId="23690"/>
    <cellStyle name="Åë_마곡보완_LFD실행예산(020110)2855_경서실행(견적실)공무팀" xfId="29858"/>
    <cellStyle name="Ae_마곡보완_LFD실행예산(020110)2855_경서실행(견적실)공무팀 2" xfId="23691"/>
    <cellStyle name="Åë_마곡보완_LFD실행예산(020110)2855_경서실행(견적실)공무팀 2" xfId="29859"/>
    <cellStyle name="Ae_마곡보완_LFD실행예산(020110)2855_골조공사견적가분석-1" xfId="23692"/>
    <cellStyle name="Åë_마곡보완_LFD실행예산(020110)2855_골조공사견적가분석-1" xfId="29860"/>
    <cellStyle name="Ae_마곡보완_LFD실행예산(020110)2855_골조공사견적가분석-1 2" xfId="23693"/>
    <cellStyle name="Åë_마곡보완_LFD실행예산(020110)2855_골조공사견적가분석-1 2" xfId="29861"/>
    <cellStyle name="Ae_마곡보완_LFD실행예산(020110)2855_골조공사공내역(송부)" xfId="23694"/>
    <cellStyle name="Åë_마곡보완_LFD실행예산(020110)2855_골조공사공내역(송부)" xfId="29862"/>
    <cellStyle name="Ae_마곡보완_LFD실행예산(020110)2855_골조공사공내역(송부) 2" xfId="23695"/>
    <cellStyle name="Åë_마곡보완_LFD실행예산(020110)2855_골조공사공내역(송부) 2" xfId="29863"/>
    <cellStyle name="Ae_마곡보완_LFD실행예산(020110)2855_골조공사공내역(장)" xfId="23696"/>
    <cellStyle name="Åë_마곡보완_LFD실행예산(020110)2855_골조공사공내역(장)" xfId="29864"/>
    <cellStyle name="Ae_마곡보완_LFD실행예산(020110)2855_골조공사공내역(장) 2" xfId="23697"/>
    <cellStyle name="Åë_마곡보완_LFD실행예산(020110)2855_골조공사공내역(장) 2" xfId="29865"/>
    <cellStyle name="Ae_마곡보완_LFD실행예산(020110)2855_골조공사실행예산품의" xfId="23698"/>
    <cellStyle name="Åë_마곡보완_LFD실행예산(020110)2855_골조공사실행예산품의" xfId="29866"/>
    <cellStyle name="Ae_마곡보완_LFD실행예산(020110)2855_골조공사실행예산품의 2" xfId="23699"/>
    <cellStyle name="Åë_마곡보완_LFD실행예산(020110)2855_골조공사실행예산품의 2" xfId="29867"/>
    <cellStyle name="Ae_마곡보완_LFD실행예산(020110)2855_동명2차실행예산(기초DATA)" xfId="23700"/>
    <cellStyle name="Åë_마곡보완_LFD실행예산(020110)2855_동명2차실행예산(기초DATA)" xfId="29868"/>
    <cellStyle name="Ae_마곡보완_LFD실행예산(020110)2855_동명2차실행예산(기초DATA) 2" xfId="23701"/>
    <cellStyle name="Åë_마곡보완_LFD실행예산(020110)2855_동명2차실행예산(기초DATA) 2" xfId="29869"/>
    <cellStyle name="Ae_마곡보완_LFD실행예산(020110)2855_동명본실행(수정)" xfId="23702"/>
    <cellStyle name="Åë_마곡보완_LFD실행예산(020110)2855_동명본실행(수정)" xfId="29870"/>
    <cellStyle name="Ae_마곡보완_LFD실행예산(020110)2855_동명본실행(수정) 2" xfId="23703"/>
    <cellStyle name="Åë_마곡보완_LFD실행예산(020110)2855_동명본실행(수정) 2" xfId="29871"/>
    <cellStyle name="Ae_마곡보완_LFD실행예산(020110)2855_동명삼화견본주택 기본안" xfId="23704"/>
    <cellStyle name="Åë_마곡보완_LFD실행예산(020110)2855_동명삼화견본주택 기본안" xfId="29872"/>
    <cellStyle name="Ae_마곡보완_LFD실행예산(020110)2855_동명삼화견본주택 기본안 2" xfId="23705"/>
    <cellStyle name="Åë_마곡보완_LFD실행예산(020110)2855_동명삼화견본주택 기본안 2" xfId="29873"/>
    <cellStyle name="Ae_마곡보완_LFD실행예산(020110)2855_동명실행예산-1" xfId="23706"/>
    <cellStyle name="Åë_마곡보완_LFD실행예산(020110)2855_동명실행예산-1" xfId="29874"/>
    <cellStyle name="Ae_마곡보완_LFD실행예산(020110)2855_동명실행예산-1 2" xfId="23707"/>
    <cellStyle name="Åë_마곡보완_LFD실행예산(020110)2855_동명실행예산-1 2" xfId="29875"/>
    <cellStyle name="Ae_마곡보완_LFD실행예산(020110)2855_부산덕천2차실행예산(기초DATA)" xfId="23708"/>
    <cellStyle name="Åë_마곡보완_LFD실행예산(020110)2855_부산덕천2차실행예산(기초DATA)" xfId="29876"/>
    <cellStyle name="Ae_마곡보완_LFD실행예산(020110)2855_부산덕천2차실행예산(기초DATA) 2" xfId="23709"/>
    <cellStyle name="Åë_마곡보완_LFD실행예산(020110)2855_부산덕천2차실행예산(기초DATA) 2" xfId="29877"/>
    <cellStyle name="Ae_마곡보완_LFD실행예산(020110)2855_부산덕천2차실행예산(기초DATA건설조정)" xfId="23710"/>
    <cellStyle name="Åë_마곡보완_LFD실행예산(020110)2855_부산덕천2차실행예산(기초DATA건설조정)" xfId="29878"/>
    <cellStyle name="Ae_마곡보완_LFD실행예산(020110)2855_부산덕천2차실행예산(기초DATA건설조정) 2" xfId="23711"/>
    <cellStyle name="Åë_마곡보완_LFD실행예산(020110)2855_부산덕천2차실행예산(기초DATA건설조정) 2" xfId="29879"/>
    <cellStyle name="Ae_마곡보완_LFD실행예산(020110)2855_부산덕천2차실행예산(기초DATA승인용)" xfId="23712"/>
    <cellStyle name="Åë_마곡보완_LFD실행예산(020110)2855_부산덕천2차실행예산(기초DATA승인용)" xfId="29880"/>
    <cellStyle name="Ae_마곡보완_LFD실행예산(020110)2855_부산덕천2차실행예산(기초DATA승인용) 2" xfId="23713"/>
    <cellStyle name="Åë_마곡보완_LFD실행예산(020110)2855_부산덕천2차실행예산(기초DATA승인용) 2" xfId="29881"/>
    <cellStyle name="Ae_마곡보완_LFD실행예산(020110)2855_부산덕천2차실행예산(기초DATA현장협의후)" xfId="23714"/>
    <cellStyle name="Åë_마곡보완_LFD실행예산(020110)2855_부산덕천2차실행예산(기초DATA현장협의후)" xfId="29882"/>
    <cellStyle name="Ae_마곡보완_LFD실행예산(020110)2855_부산덕천2차실행예산(기초DATA현장협의후) 2" xfId="23715"/>
    <cellStyle name="Åë_마곡보완_LFD실행예산(020110)2855_부산덕천2차실행예산(기초DATA현장협의후) 2" xfId="29883"/>
    <cellStyle name="Ae_마곡보완_LFD실행예산(020110)2855_실행검토_부산덕천" xfId="23716"/>
    <cellStyle name="Åë_마곡보완_LFD실행예산(020110)2855_실행검토_부산덕천" xfId="29884"/>
    <cellStyle name="Ae_마곡보완_LFD실행예산(020110)2855_실행검토_부산덕천 2" xfId="23717"/>
    <cellStyle name="Åë_마곡보완_LFD실행예산(020110)2855_실행검토_부산덕천 2" xfId="29885"/>
    <cellStyle name="Ae_마곡보완_LFD실행예산(020110)2855_여의도센터빌딩실행원가(020613)-2" xfId="23718"/>
    <cellStyle name="Åë_마곡보완_LFD실행예산(020110)2855_여의도센터빌딩실행원가(020613)-2" xfId="29886"/>
    <cellStyle name="Ae_마곡보완_LFD실행예산(020110)2855_여의도센터빌딩실행원가(020613)-2 2" xfId="23719"/>
    <cellStyle name="Åë_마곡보완_LFD실행예산(020110)2855_여의도센터빌딩실행원가(020613)-2 2" xfId="29887"/>
    <cellStyle name="Ae_마곡보완_LFD실행예산(020110)2855_제과충주영업소견적서" xfId="23720"/>
    <cellStyle name="Åë_마곡보완_LFD실행예산(020110)2855_제과충주영업소견적서" xfId="29888"/>
    <cellStyle name="Ae_마곡보완_LFD실행예산(020110)2855_제과충주영업소견적서 2" xfId="23721"/>
    <cellStyle name="Åë_마곡보완_LFD실행예산(020110)2855_제과충주영업소견적서 2" xfId="29889"/>
    <cellStyle name="Ae_마곡보완_LFD실행예산(020110)2855_현장경비신청안박성남" xfId="23722"/>
    <cellStyle name="Åë_마곡보완_LFD실행예산(020110)2855_현장경비신청안박성남" xfId="29890"/>
    <cellStyle name="Ae_마곡보완_LFD실행예산(020110)2855_현장경비신청안박성남 2" xfId="23723"/>
    <cellStyle name="Åë_마곡보완_LFD실행예산(020110)2855_현장경비신청안박성남 2" xfId="29891"/>
    <cellStyle name="Ae_마곡보완_경서실행(견적실)공무팀" xfId="23724"/>
    <cellStyle name="Åë_마곡보완_경서실행(견적실)공무팀" xfId="29892"/>
    <cellStyle name="Ae_마곡보완_경서실행(견적실)공무팀 2" xfId="23725"/>
    <cellStyle name="Åë_마곡보완_경서실행(견적실)공무팀 2" xfId="29893"/>
    <cellStyle name="Ae_마곡보완_경서실행(견적실)공무팀_1" xfId="23726"/>
    <cellStyle name="Åë_마곡보완_경서실행(견적실)공무팀_1" xfId="29894"/>
    <cellStyle name="Ae_마곡보완_경서실행(견적실)공무팀_1 2" xfId="23727"/>
    <cellStyle name="Åë_마곡보완_경서실행(견적실)공무팀_1 2" xfId="29895"/>
    <cellStyle name="Ae_마곡보완_경서실행(견적실)공무팀_1_레몬영화egi내역서(13968천원)" xfId="23728"/>
    <cellStyle name="Åë_마곡보완_경서실행(견적실)공무팀_1_레몬영화egi내역서(13968천원)" xfId="29896"/>
    <cellStyle name="Ae_마곡보완_경서실행(견적실)공무팀_1_레몬영화egi내역서(13968천원) 2" xfId="23729"/>
    <cellStyle name="Åë_마곡보완_경서실행(견적실)공무팀_1_레몬영화egi내역서(13968천원) 2" xfId="29897"/>
    <cellStyle name="Ae_마곡보완_광주공장 도급내역(변경03.1.07)" xfId="23730"/>
    <cellStyle name="Åë_마곡보완_광주공장 도급내역(변경03.1.07)" xfId="29898"/>
    <cellStyle name="Ae_마곡보완_광주공장 도급내역(변경03.1.07) 2" xfId="23731"/>
    <cellStyle name="Åë_마곡보완_광주공장 도급내역(변경03.1.07) 2" xfId="29899"/>
    <cellStyle name="Ae_마곡보완_광주공장 도급내역(변경03.1.21)" xfId="23732"/>
    <cellStyle name="Åë_마곡보완_광주공장 도급내역(변경03.1.21)" xfId="29900"/>
    <cellStyle name="Ae_마곡보완_광주공장 도급내역(변경03.1.21) 2" xfId="23733"/>
    <cellStyle name="Åë_마곡보완_광주공장 도급내역(변경03.1.21) 2" xfId="29901"/>
    <cellStyle name="Ae_마곡보완_광주공장(대비1218)" xfId="23734"/>
    <cellStyle name="Åë_마곡보완_광주공장(대비1218)" xfId="29902"/>
    <cellStyle name="Ae_마곡보완_광주공장(대비1218) 2" xfId="23735"/>
    <cellStyle name="Åë_마곡보완_광주공장(대비1218) 2" xfId="29903"/>
    <cellStyle name="Ae_마곡보완_기계실행(LFD광주공장.현설용)" xfId="23736"/>
    <cellStyle name="Åë_마곡보완_기계실행(LFD광주공장.현설용)" xfId="29904"/>
    <cellStyle name="Ae_마곡보완_기계실행(LFD광주공장.현설용) 2" xfId="23737"/>
    <cellStyle name="Åë_마곡보완_기계실행(LFD광주공장.현설용) 2" xfId="29905"/>
    <cellStyle name="Ae_마곡보완_동명삼화 현장설명(본사지급)" xfId="23738"/>
    <cellStyle name="Åë_마곡보완_동명삼화 현장설명(본사지급)" xfId="29906"/>
    <cellStyle name="Ae_마곡보완_동명삼화 현장설명(본사지급) 2" xfId="23739"/>
    <cellStyle name="Åë_마곡보완_동명삼화 현장설명(본사지급) 2" xfId="29907"/>
    <cellStyle name="Ae_마곡보완_동명삼화 현장설명(본사지급)_울산신정동수주검토(2003.01.21에어컨)" xfId="23740"/>
    <cellStyle name="Åë_마곡보완_동명삼화 현장설명(본사지급)_울산신정동수주검토(2003.01.21에어컨)" xfId="29908"/>
    <cellStyle name="Ae_마곡보완_동명삼화 현장설명(본사지급)_울산신정동수주검토(2003.01.21에어컨) 2" xfId="23741"/>
    <cellStyle name="Åë_마곡보완_동명삼화 현장설명(본사지급)_울산신정동수주검토(2003.01.21에어컨) 2" xfId="29909"/>
    <cellStyle name="Ae_마곡보완_동명삼화견본주택 기본안" xfId="23742"/>
    <cellStyle name="Åë_마곡보완_동명삼화견본주택 기본안" xfId="29910"/>
    <cellStyle name="Ae_마곡보완_동명삼화견본주택 기본안 2" xfId="23743"/>
    <cellStyle name="Åë_마곡보완_동명삼화견본주택 기본안 2" xfId="29911"/>
    <cellStyle name="Ae_마곡보완_동명삼화기계공사 물량집계" xfId="23744"/>
    <cellStyle name="Åë_마곡보완_동명삼화기계공사 물량집계" xfId="29912"/>
    <cellStyle name="Ae_마곡보완_동명삼화기계공사 물량집계 2" xfId="23745"/>
    <cellStyle name="Åë_마곡보완_동명삼화기계공사 물량집계 2" xfId="29913"/>
    <cellStyle name="Ae_마곡보완_동명삼화재건축아파트" xfId="23746"/>
    <cellStyle name="Åë_마곡보완_동명삼화재건축아파트" xfId="29914"/>
    <cellStyle name="Ae_마곡보완_동명삼화재건축아파트 2" xfId="23747"/>
    <cellStyle name="Åë_마곡보완_동명삼화재건축아파트 2" xfId="29915"/>
    <cellStyle name="Ae_마곡보완_동명실행예산-1" xfId="23748"/>
    <cellStyle name="Åë_마곡보완_동명실행예산-1" xfId="29916"/>
    <cellStyle name="Ae_마곡보완_동명실행예산-1 2" xfId="23749"/>
    <cellStyle name="Åë_마곡보완_동명실행예산-1 2" xfId="29917"/>
    <cellStyle name="Ae_마곡보완_롯데동명삼화평당단가비교" xfId="23750"/>
    <cellStyle name="Åë_마곡보완_롯데동명삼화평당단가비교" xfId="29918"/>
    <cellStyle name="Ae_마곡보완_롯데동명삼화평당단가비교 2" xfId="23751"/>
    <cellStyle name="Åë_마곡보완_롯데동명삼화평당단가비교 2" xfId="29919"/>
    <cellStyle name="Ae_마곡보완_부산덕천동 기계공사 단가대비표(2002.11.11)" xfId="23752"/>
    <cellStyle name="Åë_마곡보완_부산덕천동 기계공사 단가대비표(2002.11.11)" xfId="29920"/>
    <cellStyle name="Ae_마곡보완_부산덕천동 기계공사 단가대비표(2002.11.11) 2" xfId="23753"/>
    <cellStyle name="Åë_마곡보완_부산덕천동 기계공사 단가대비표(2002.11.11) 2" xfId="29921"/>
    <cellStyle name="Ae_마곡보완_부산덕천동롯데아파트(환경ENG)" xfId="23754"/>
    <cellStyle name="Åë_마곡보완_부산덕천동롯데아파트(환경ENG)" xfId="29922"/>
    <cellStyle name="Ae_마곡보완_부산덕천동롯데아파트(환경ENG) 2" xfId="23755"/>
    <cellStyle name="Åë_마곡보완_부산덕천동롯데아파트(환경ENG) 2" xfId="29923"/>
    <cellStyle name="Ae_마곡보완_부산덕천동아파트(세경엔지니어링)" xfId="23756"/>
    <cellStyle name="Åë_마곡보완_부산덕천동아파트(세경엔지니어링)" xfId="29924"/>
    <cellStyle name="Ae_마곡보완_부산덕천동아파트(세경엔지니어링) 2" xfId="23757"/>
    <cellStyle name="Åë_마곡보완_부산덕천동아파트(세경엔지니어링) 2" xfId="29925"/>
    <cellStyle name="Ae_마곡보완_실행검토_부산덕천" xfId="23758"/>
    <cellStyle name="Åë_마곡보완_실행검토_부산덕천" xfId="29926"/>
    <cellStyle name="Ae_마곡보완_실행검토_부산덕천 2" xfId="23759"/>
    <cellStyle name="Åë_마곡보완_실행검토_부산덕천 2" xfId="29927"/>
    <cellStyle name="Ae_마곡보완_아파트 평당단가 비교" xfId="23760"/>
    <cellStyle name="Åë_마곡보완_아파트 평당단가 비교" xfId="29928"/>
    <cellStyle name="Ae_마곡보완_아파트 평당단가 비교 2" xfId="23761"/>
    <cellStyle name="Åë_마곡보완_아파트 평당단가 비교 2" xfId="29929"/>
    <cellStyle name="Ae_마곡보완_안양석수점기계(도급내역)1" xfId="23762"/>
    <cellStyle name="Åë_마곡보완_안양석수점기계(도급내역)1" xfId="29930"/>
    <cellStyle name="Ae_마곡보완_안양석수점기계(도급내역)1 2" xfId="23763"/>
    <cellStyle name="Åë_마곡보완_안양석수점기계(도급내역)1 2" xfId="29931"/>
    <cellStyle name="Ae_마곡보완_안양석수점기계(도급내역)1_LLC견적및수주원가(설계변경)4차" xfId="23764"/>
    <cellStyle name="Åë_마곡보완_안양석수점기계(도급내역)1_LLC견적및수주원가(설계변경)4차" xfId="29932"/>
    <cellStyle name="Ae_마곡보완_안양석수점기계(도급내역)1_LLC견적및수주원가(설계변경)4차 2" xfId="23765"/>
    <cellStyle name="Åë_마곡보완_안양석수점기계(도급내역)1_LLC견적및수주원가(설계변경)4차 2" xfId="29933"/>
    <cellStyle name="Ae_마곡보완_여의도센터빌딩실행원가(020613)-2" xfId="23766"/>
    <cellStyle name="Åë_마곡보완_여의도센터빌딩실행원가(020613)-2" xfId="29934"/>
    <cellStyle name="Ae_마곡보완_여의도센터빌딩실행원가(020613)-2 2" xfId="23767"/>
    <cellStyle name="Åë_마곡보완_여의도센터빌딩실행원가(020613)-2 2" xfId="29935"/>
    <cellStyle name="Ae_마곡보완_울산신정동수주검토(2003.01.21에어컨)" xfId="23768"/>
    <cellStyle name="Åë_마곡보완_울산신정동수주검토(2003.01.21에어컨)" xfId="29936"/>
    <cellStyle name="Ae_마곡보완_울산신정동수주검토(2003.01.21에어컨) 2" xfId="23769"/>
    <cellStyle name="Åë_마곡보완_울산신정동수주검토(2003.01.21에어컨) 2" xfId="29937"/>
    <cellStyle name="Ae_마곡보완_의왕물류센타(기계도급내역설변1차)" xfId="23770"/>
    <cellStyle name="Åë_마곡보완_의왕물류센타(기계도급내역설변1차)" xfId="29938"/>
    <cellStyle name="Ae_마곡보완_의왕물류센타(기계도급내역설변1차) 2" xfId="23771"/>
    <cellStyle name="Åë_마곡보완_의왕물류센타(기계도급내역설변1차) 2" xfId="29939"/>
    <cellStyle name="Ae_마곡보완_의왕물류센타(기계도급내역설변1차)_제과충주영업소견적서" xfId="23772"/>
    <cellStyle name="Åë_마곡보완_의왕물류센타(기계도급내역설변1차)_제과충주영업소견적서" xfId="29940"/>
    <cellStyle name="Ae_마곡보완_의왕물류센타(기계도급내역설변1차)_제과충주영업소견적서 2" xfId="23773"/>
    <cellStyle name="Åë_마곡보완_의왕물류센타(기계도급내역설변1차)_제과충주영업소견적서 2" xfId="29941"/>
    <cellStyle name="Ae_마곡보완_제과의왕견적서(020415)" xfId="23774"/>
    <cellStyle name="Åë_마곡보완_제과의왕견적서(020415)" xfId="29942"/>
    <cellStyle name="Ae_마곡보완_제과의왕견적서(020415) 2" xfId="23775"/>
    <cellStyle name="Åë_마곡보완_제과의왕견적서(020415) 2" xfId="29943"/>
    <cellStyle name="Ae_마곡보완_제과의왕견적서(020415)_제과충주영업소견적서" xfId="23776"/>
    <cellStyle name="Åë_마곡보완_제과의왕견적서(020415)_제과충주영업소견적서" xfId="29944"/>
    <cellStyle name="Ae_마곡보완_제과의왕견적서(020415)_제과충주영업소견적서 2" xfId="23777"/>
    <cellStyle name="Åë_마곡보완_제과의왕견적서(020415)_제과충주영업소견적서 2" xfId="29945"/>
    <cellStyle name="Ae_마곡보완_제과의왕견적서(020429)송부" xfId="23778"/>
    <cellStyle name="Åë_마곡보완_제과의왕견적서(020429)송부" xfId="29946"/>
    <cellStyle name="Ae_마곡보완_제과의왕견적서(020429)송부 2" xfId="23779"/>
    <cellStyle name="Åë_마곡보완_제과의왕견적서(020429)송부 2" xfId="29947"/>
    <cellStyle name="Ae_마곡보완_제과의왕견적서(020429)송부_제과충주영업소견적서" xfId="23780"/>
    <cellStyle name="Åë_마곡보완_제과의왕견적서(020429)송부_제과충주영업소견적서" xfId="29948"/>
    <cellStyle name="Ae_마곡보완_제과의왕견적서(020429)송부_제과충주영업소견적서 2" xfId="23781"/>
    <cellStyle name="Åë_마곡보완_제과의왕견적서(020429)송부_제과충주영업소견적서 2" xfId="29949"/>
    <cellStyle name="Ae_마곡보완_제과의왕견적서(020513)2차변경NEGO(7550)" xfId="23782"/>
    <cellStyle name="Åë_마곡보완_제과의왕견적서(020513)2차변경NEGO(7550)" xfId="29950"/>
    <cellStyle name="Ae_마곡보완_제과의왕견적서(020513)2차변경NEGO(7550) 2" xfId="23783"/>
    <cellStyle name="Åë_마곡보완_제과의왕견적서(020513)2차변경NEGO(7550) 2" xfId="29951"/>
    <cellStyle name="Ae_마곡보완_제과의왕견적서7550(공무)" xfId="23784"/>
    <cellStyle name="Åë_마곡보완_제과의왕견적서7550(공무)" xfId="29952"/>
    <cellStyle name="Ae_마곡보완_제과의왕견적서7550(공무) 2" xfId="23785"/>
    <cellStyle name="Åë_마곡보완_제과의왕견적서7550(공무) 2" xfId="29953"/>
    <cellStyle name="Ae_마곡보완_제과의왕견적서7550(공무)_레몬영화egi내역서(13968천원)" xfId="23786"/>
    <cellStyle name="Åë_마곡보완_제과의왕견적서7550(공무)_레몬영화egi내역서(13968천원)" xfId="29954"/>
    <cellStyle name="Ae_마곡보완_제과의왕견적서7550(공무)_레몬영화egi내역서(13968천원) 2" xfId="23787"/>
    <cellStyle name="Åë_마곡보완_제과의왕견적서7550(공무)_레몬영화egi내역서(13968천원) 2" xfId="29955"/>
    <cellStyle name="Ae_마곡보완_제과충주영업소견적서" xfId="23788"/>
    <cellStyle name="Åë_마곡보완_제과충주영업소견적서" xfId="29956"/>
    <cellStyle name="Ae_마곡보완_제과충주영업소견적서 2" xfId="23789"/>
    <cellStyle name="Åë_마곡보완_제과충주영업소견적서 2" xfId="29957"/>
    <cellStyle name="Ae_마곡보완_충주영업소(기계실행)" xfId="23790"/>
    <cellStyle name="Åë_마곡보완_충주영업소(기계실행)" xfId="29958"/>
    <cellStyle name="Ae_마곡보완_충주영업소(기계실행) 2" xfId="23791"/>
    <cellStyle name="Åë_마곡보완_충주영업소(기계실행) 2" xfId="29959"/>
    <cellStyle name="Ae_마곡보완_충주영업소(기계실행)_레몬영화egi내역서(13968천원)" xfId="23792"/>
    <cellStyle name="Åë_마곡보완_충주영업소(기계실행)_레몬영화egi내역서(13968천원)" xfId="29960"/>
    <cellStyle name="Ae_마곡보완_충주영업소(기계실행)_레몬영화egi내역서(13968천원) 2" xfId="23793"/>
    <cellStyle name="Åë_마곡보완_충주영업소(기계실행)_레몬영화egi내역서(13968천원) 2" xfId="29961"/>
    <cellStyle name="Ae_마곡보완_현장경비신청안박성남" xfId="23794"/>
    <cellStyle name="Åë_마곡보완_현장경비신청안박성남" xfId="29962"/>
    <cellStyle name="Ae_마곡보완_현장경비신청안박성남 2" xfId="23795"/>
    <cellStyle name="Åë_마곡보완_현장경비신청안박성남 2" xfId="29963"/>
    <cellStyle name="Ae_마곡보완_현장설명(가스설비)" xfId="23796"/>
    <cellStyle name="Åë_마곡보완_현장설명(가스설비)" xfId="29964"/>
    <cellStyle name="Ae_마곡보완_현장설명(가스설비) 2" xfId="23797"/>
    <cellStyle name="Åë_마곡보완_현장설명(가스설비) 2" xfId="29965"/>
    <cellStyle name="Ae_마곡보완_현장설명(기계설비)" xfId="23798"/>
    <cellStyle name="Åë_마곡보완_현장설명(기계설비)" xfId="29966"/>
    <cellStyle name="Ae_마곡보완_현장설명(기계설비) 2" xfId="23799"/>
    <cellStyle name="Åë_마곡보완_현장설명(기계설비) 2" xfId="29967"/>
    <cellStyle name="Ae_부산덕천동 기계공사 단가대비표(2002.11.11)" xfId="23800"/>
    <cellStyle name="Åë_부산덕천동 기계공사 단가대비표(2002.11.11)" xfId="29968"/>
    <cellStyle name="Ae_부산덕천동 기계공사 단가대비표(2002.11.11) 2" xfId="23801"/>
    <cellStyle name="Åë_부산덕천동 기계공사 단가대비표(2002.11.11) 2" xfId="29969"/>
    <cellStyle name="Ae_부산덕천동롯데아파트(환경ENG)" xfId="23802"/>
    <cellStyle name="Åë_부산덕천동롯데아파트(환경ENG)" xfId="29970"/>
    <cellStyle name="Ae_부산덕천동롯데아파트(환경ENG) 2" xfId="23803"/>
    <cellStyle name="Åë_부산덕천동롯데아파트(환경ENG) 2" xfId="29971"/>
    <cellStyle name="Ae_부산덕천동아파트(세경엔지니어링)" xfId="23804"/>
    <cellStyle name="Åë_부산덕천동아파트(세경엔지니어링)" xfId="29972"/>
    <cellStyle name="Ae_부산덕천동아파트(세경엔지니어링) 2" xfId="23805"/>
    <cellStyle name="Åë_부산덕천동아파트(세경엔지니어링) 2" xfId="29973"/>
    <cellStyle name="Ae_실행검토_부산덕천" xfId="23806"/>
    <cellStyle name="Åë_실행검토_부산덕천" xfId="29974"/>
    <cellStyle name="Ae_실행검토_부산덕천 2" xfId="23807"/>
    <cellStyle name="Åë_실행검토_부산덕천 2" xfId="29975"/>
    <cellStyle name="Ae_아파트 평당단가 비교" xfId="23808"/>
    <cellStyle name="Åë_아파트 평당단가 비교" xfId="29976"/>
    <cellStyle name="Ae_아파트 평당단가 비교 2" xfId="23809"/>
    <cellStyle name="Åë_아파트 평당단가 비교 2" xfId="29977"/>
    <cellStyle name="Ae_안양석수점기계(도급내역)1" xfId="23810"/>
    <cellStyle name="Åë_안양석수점기계(도급내역)1" xfId="29978"/>
    <cellStyle name="Ae_안양석수점기계(도급내역)1 2" xfId="23811"/>
    <cellStyle name="Åë_안양석수점기계(도급내역)1 2" xfId="29979"/>
    <cellStyle name="Ae_안양석수점기계(도급내역)1_LLC견적및수주원가(설계변경)4차" xfId="23812"/>
    <cellStyle name="Åë_안양석수점기계(도급내역)1_LLC견적및수주원가(설계변경)4차" xfId="29980"/>
    <cellStyle name="Ae_안양석수점기계(도급내역)1_LLC견적및수주원가(설계변경)4차 2" xfId="23813"/>
    <cellStyle name="Åë_안양석수점기계(도급내역)1_LLC견적및수주원가(설계변경)4차 2" xfId="29981"/>
    <cellStyle name="Ae_여의도센터빌딩실행원가(020613)-2" xfId="23814"/>
    <cellStyle name="Åë_여의도센터빌딩실행원가(020613)-2" xfId="29982"/>
    <cellStyle name="Ae_여의도센터빌딩실행원가(020613)-2 2" xfId="23815"/>
    <cellStyle name="Åë_여의도센터빌딩실행원가(020613)-2 2" xfId="29983"/>
    <cellStyle name="Ae_울산신정동수주검토(2003.01.21에어컨)" xfId="23816"/>
    <cellStyle name="Åë_울산신정동수주검토(2003.01.21에어컨)" xfId="29984"/>
    <cellStyle name="Ae_울산신정동수주검토(2003.01.21에어컨) 2" xfId="23817"/>
    <cellStyle name="Åë_울산신정동수주검토(2003.01.21에어컨) 2" xfId="29985"/>
    <cellStyle name="Ae_의왕물류센타(기계도급내역설변1차)" xfId="23818"/>
    <cellStyle name="Åë_의왕물류센타(기계도급내역설변1차)" xfId="29986"/>
    <cellStyle name="Ae_의왕물류센타(기계도급내역설변1차) 2" xfId="23819"/>
    <cellStyle name="Åë_의왕물류센타(기계도급내역설변1차) 2" xfId="29987"/>
    <cellStyle name="Ae_의왕물류센타(기계도급내역설변1차)_제과충주영업소견적서" xfId="23820"/>
    <cellStyle name="Åë_의왕물류센타(기계도급내역설변1차)_제과충주영업소견적서" xfId="29988"/>
    <cellStyle name="Ae_의왕물류센타(기계도급내역설변1차)_제과충주영업소견적서 2" xfId="23821"/>
    <cellStyle name="Åë_의왕물류센타(기계도급내역설변1차)_제과충주영업소견적서 2" xfId="29989"/>
    <cellStyle name="Ae_제과의왕견적서(020415)" xfId="23822"/>
    <cellStyle name="Åë_제과의왕견적서(020415)" xfId="29990"/>
    <cellStyle name="Ae_제과의왕견적서(020415) 2" xfId="23823"/>
    <cellStyle name="Åë_제과의왕견적서(020415) 2" xfId="29991"/>
    <cellStyle name="Ae_제과의왕견적서(020415)_제과충주영업소견적서" xfId="23824"/>
    <cellStyle name="Åë_제과의왕견적서(020415)_제과충주영업소견적서" xfId="29992"/>
    <cellStyle name="Ae_제과의왕견적서(020415)_제과충주영업소견적서 2" xfId="23825"/>
    <cellStyle name="Åë_제과의왕견적서(020415)_제과충주영업소견적서 2" xfId="29993"/>
    <cellStyle name="Ae_제과의왕견적서(020429)송부" xfId="23826"/>
    <cellStyle name="Åë_제과의왕견적서(020429)송부" xfId="29994"/>
    <cellStyle name="Ae_제과의왕견적서(020429)송부 2" xfId="23827"/>
    <cellStyle name="Åë_제과의왕견적서(020429)송부 2" xfId="29995"/>
    <cellStyle name="Ae_제과의왕견적서(020429)송부_제과충주영업소견적서" xfId="23828"/>
    <cellStyle name="Åë_제과의왕견적서(020429)송부_제과충주영업소견적서" xfId="29996"/>
    <cellStyle name="Ae_제과의왕견적서(020429)송부_제과충주영업소견적서 2" xfId="23829"/>
    <cellStyle name="Åë_제과의왕견적서(020429)송부_제과충주영업소견적서 2" xfId="29997"/>
    <cellStyle name="Ae_제과의왕견적서(020513)2차변경NEGO(7550)" xfId="23830"/>
    <cellStyle name="Åë_제과의왕견적서(020513)2차변경NEGO(7550)" xfId="29998"/>
    <cellStyle name="Ae_제과의왕견적서(020513)2차변경NEGO(7550) 2" xfId="23831"/>
    <cellStyle name="Åë_제과의왕견적서(020513)2차변경NEGO(7550) 2" xfId="29999"/>
    <cellStyle name="Ae_제과의왕견적서7550(공무)" xfId="23832"/>
    <cellStyle name="Åë_제과의왕견적서7550(공무)" xfId="30000"/>
    <cellStyle name="Ae_제과의왕견적서7550(공무) 2" xfId="23833"/>
    <cellStyle name="Åë_제과의왕견적서7550(공무) 2" xfId="30001"/>
    <cellStyle name="Ae_제과의왕견적서7550(공무)_레몬영화egi내역서(13968천원)" xfId="23834"/>
    <cellStyle name="Åë_제과의왕견적서7550(공무)_레몬영화egi내역서(13968천원)" xfId="30002"/>
    <cellStyle name="Ae_제과의왕견적서7550(공무)_레몬영화egi내역서(13968천원) 2" xfId="23835"/>
    <cellStyle name="Åë_제과의왕견적서7550(공무)_레몬영화egi내역서(13968천원) 2" xfId="30003"/>
    <cellStyle name="Ae_제과충주영업소견적서" xfId="23836"/>
    <cellStyle name="Åë_제과충주영업소견적서" xfId="30004"/>
    <cellStyle name="Ae_제과충주영업소견적서 2" xfId="23837"/>
    <cellStyle name="Åë_제과충주영업소견적서 2" xfId="30005"/>
    <cellStyle name="Ae_충주영업소(기계실행)" xfId="23838"/>
    <cellStyle name="Åë_충주영업소(기계실행)" xfId="30006"/>
    <cellStyle name="Ae_충주영업소(기계실행) 2" xfId="23839"/>
    <cellStyle name="Åë_충주영업소(기계실행) 2" xfId="30007"/>
    <cellStyle name="Ae_충주영업소(기계실행)_레몬영화egi내역서(13968천원)" xfId="23840"/>
    <cellStyle name="Åë_충주영업소(기계실행)_레몬영화egi내역서(13968천원)" xfId="30008"/>
    <cellStyle name="Ae_충주영업소(기계실행)_레몬영화egi내역서(13968천원) 2" xfId="23841"/>
    <cellStyle name="Åë_충주영업소(기계실행)_레몬영화egi내역서(13968천원) 2" xfId="30009"/>
    <cellStyle name="Ae_현장경비신청안박성남" xfId="23842"/>
    <cellStyle name="Åë_현장경비신청안박성남" xfId="30010"/>
    <cellStyle name="Ae_현장경비신청안박성남 2" xfId="23843"/>
    <cellStyle name="Åë_현장경비신청안박성남 2" xfId="30011"/>
    <cellStyle name="Ae_현장설명(가스설비)" xfId="23844"/>
    <cellStyle name="Åë_현장설명(가스설비)" xfId="30012"/>
    <cellStyle name="Ae_현장설명(가스설비) 2" xfId="23845"/>
    <cellStyle name="Åë_현장설명(가스설비) 2" xfId="30013"/>
    <cellStyle name="Ae_현장설명(기계설비)" xfId="23846"/>
    <cellStyle name="Åë_현장설명(기계설비)" xfId="30014"/>
    <cellStyle name="Ae_현장설명(기계설비) 2" xfId="23847"/>
    <cellStyle name="Åë_현장설명(기계설비) 2" xfId="30015"/>
    <cellStyle name="Aee­" xfId="23878"/>
    <cellStyle name="Aee­ " xfId="23879"/>
    <cellStyle name="Aee­  10" xfId="23880"/>
    <cellStyle name="Aee­  11" xfId="23881"/>
    <cellStyle name="Aee­  12" xfId="23882"/>
    <cellStyle name="Aee­  13" xfId="23883"/>
    <cellStyle name="Aee­  13 2" xfId="23884"/>
    <cellStyle name="Aee­  2" xfId="23885"/>
    <cellStyle name="Aee­  2 2" xfId="23886"/>
    <cellStyle name="Aee­  2 2 2" xfId="23887"/>
    <cellStyle name="Aee­  2 3" xfId="23888"/>
    <cellStyle name="Aee­  2 3 2" xfId="23889"/>
    <cellStyle name="Aee­  2 4" xfId="23890"/>
    <cellStyle name="Aee­  2 4 2" xfId="23891"/>
    <cellStyle name="Aee­  2 5" xfId="23892"/>
    <cellStyle name="Aee­  2 5 2" xfId="23893"/>
    <cellStyle name="Aee­  2 6" xfId="23894"/>
    <cellStyle name="Aee­  2 6 2" xfId="23895"/>
    <cellStyle name="Aee­  2 7" xfId="23896"/>
    <cellStyle name="Aee­  2 7 2" xfId="23897"/>
    <cellStyle name="Aee­  3" xfId="23898"/>
    <cellStyle name="Aee­  3 2" xfId="23899"/>
    <cellStyle name="Aee­  3 2 2" xfId="23900"/>
    <cellStyle name="Aee­  3 3" xfId="23901"/>
    <cellStyle name="Aee­  3 3 2" xfId="23902"/>
    <cellStyle name="Aee­  3 4" xfId="23903"/>
    <cellStyle name="Aee­  3 4 2" xfId="23904"/>
    <cellStyle name="Aee­  3 5" xfId="23905"/>
    <cellStyle name="Aee­  3 5 2" xfId="23906"/>
    <cellStyle name="Aee­  3 6" xfId="23907"/>
    <cellStyle name="Aee­  3 6 2" xfId="23908"/>
    <cellStyle name="Aee­  3 7" xfId="23909"/>
    <cellStyle name="Aee­  3 7 2" xfId="23910"/>
    <cellStyle name="Aee­  4" xfId="23911"/>
    <cellStyle name="Aee­  4 2" xfId="23912"/>
    <cellStyle name="Aee­  5" xfId="23913"/>
    <cellStyle name="Aee­  5 2" xfId="23914"/>
    <cellStyle name="Aee­  6" xfId="23915"/>
    <cellStyle name="Aee­  6 2" xfId="23916"/>
    <cellStyle name="Aee­  7" xfId="23917"/>
    <cellStyle name="Aee­  7 2" xfId="23918"/>
    <cellStyle name="Aee­  8" xfId="23919"/>
    <cellStyle name="Aee­  9" xfId="23920"/>
    <cellStyle name="Aee­ [" xfId="23922"/>
    <cellStyle name="Åëè­ [" xfId="30059"/>
    <cellStyle name="Aee­ [ 2" xfId="23923"/>
    <cellStyle name="Åëè­ [ 2" xfId="30060"/>
    <cellStyle name="Aee­ [ 2 2" xfId="23924"/>
    <cellStyle name="Åëè­ [ 2 2" xfId="30061"/>
    <cellStyle name="Aee­ [ 3" xfId="23925"/>
    <cellStyle name="Åëè­ [ 3" xfId="30062"/>
    <cellStyle name="Aee­ [_Lemon 수원영화점 기계도급내역(최종보고)" xfId="23950"/>
    <cellStyle name="Åëè­ [_Lemon 수원영화점 기계도급내역(최종보고)" xfId="30063"/>
    <cellStyle name="Aee­ [_Lemon 수원영화점 기계도급내역(최종보고) 2" xfId="23951"/>
    <cellStyle name="Åëè­ [_Lemon 수원영화점 기계도급내역(최종보고) 2" xfId="30064"/>
    <cellStyle name="Aee­ [_Lemon 수원영화점(기계공사)" xfId="23952"/>
    <cellStyle name="Åëè­ [_Lemon 수원영화점(기계공사)" xfId="30065"/>
    <cellStyle name="Aee­ [_Lemon 수원영화점(기계공사) 2" xfId="23953"/>
    <cellStyle name="Åëè­ [_Lemon 수원영화점(기계공사) 2" xfId="30066"/>
    <cellStyle name="Aee­ [_LFD부산실행예산(020219)건축" xfId="23954"/>
    <cellStyle name="Åëè­ [_LFD부산실행예산(020219)건축" xfId="30067"/>
    <cellStyle name="Aee­ [_LFD부산실행예산(020219)건축 2" xfId="23955"/>
    <cellStyle name="Åëè­ [_LFD부산실행예산(020219)건축 2" xfId="30068"/>
    <cellStyle name="Aee­ [_LFD부산실행예산(020219)건축_경서실행(견적실)공무팀" xfId="23956"/>
    <cellStyle name="Åëè­ [_LFD부산실행예산(020219)건축_경서실행(견적실)공무팀" xfId="30069"/>
    <cellStyle name="Aee­ [_LFD부산실행예산(020219)건축_경서실행(견적실)공무팀 2" xfId="23957"/>
    <cellStyle name="Åëè­ [_LFD부산실행예산(020219)건축_경서실행(견적실)공무팀 2" xfId="30070"/>
    <cellStyle name="Aee­ [_LFD부산실행예산(020219)건축_골조공사견적가분석-1" xfId="23958"/>
    <cellStyle name="Åëè­ [_LFD부산실행예산(020219)건축_골조공사견적가분석-1" xfId="30071"/>
    <cellStyle name="Aee­ [_LFD부산실행예산(020219)건축_골조공사견적가분석-1 2" xfId="23959"/>
    <cellStyle name="Åëè­ [_LFD부산실행예산(020219)건축_골조공사견적가분석-1 2" xfId="30072"/>
    <cellStyle name="Aee­ [_LFD부산실행예산(020219)건축_골조공사공내역(송부)" xfId="23960"/>
    <cellStyle name="Åëè­ [_LFD부산실행예산(020219)건축_골조공사공내역(송부)" xfId="30073"/>
    <cellStyle name="Aee­ [_LFD부산실행예산(020219)건축_골조공사공내역(송부) 2" xfId="23961"/>
    <cellStyle name="Åëè­ [_LFD부산실행예산(020219)건축_골조공사공내역(송부) 2" xfId="30074"/>
    <cellStyle name="Aee­ [_LFD부산실행예산(020219)건축_골조공사공내역(장)" xfId="23962"/>
    <cellStyle name="Åëè­ [_LFD부산실행예산(020219)건축_골조공사공내역(장)" xfId="30075"/>
    <cellStyle name="Aee­ [_LFD부산실행예산(020219)건축_골조공사공내역(장) 2" xfId="23963"/>
    <cellStyle name="Åëè­ [_LFD부산실행예산(020219)건축_골조공사공내역(장) 2" xfId="30076"/>
    <cellStyle name="Aee­ [_LFD부산실행예산(020219)건축_골조공사실행예산품의" xfId="23964"/>
    <cellStyle name="Åëè­ [_LFD부산실행예산(020219)건축_골조공사실행예산품의" xfId="30077"/>
    <cellStyle name="Aee­ [_LFD부산실행예산(020219)건축_골조공사실행예산품의 2" xfId="23965"/>
    <cellStyle name="Åëè­ [_LFD부산실행예산(020219)건축_골조공사실행예산품의 2" xfId="30078"/>
    <cellStyle name="Aee­ [_LFD부산실행예산(020219)건축_동명2차실행예산(기초DATA)" xfId="23966"/>
    <cellStyle name="Åëè­ [_LFD부산실행예산(020219)건축_동명2차실행예산(기초DATA)" xfId="30079"/>
    <cellStyle name="Aee­ [_LFD부산실행예산(020219)건축_동명2차실행예산(기초DATA) 2" xfId="23967"/>
    <cellStyle name="Åëè­ [_LFD부산실행예산(020219)건축_동명2차실행예산(기초DATA) 2" xfId="30080"/>
    <cellStyle name="Aee­ [_LFD부산실행예산(020219)건축_동명본실행(수정)" xfId="23968"/>
    <cellStyle name="Åëè­ [_LFD부산실행예산(020219)건축_동명본실행(수정)" xfId="30081"/>
    <cellStyle name="Aee­ [_LFD부산실행예산(020219)건축_동명본실행(수정) 2" xfId="23969"/>
    <cellStyle name="Åëè­ [_LFD부산실행예산(020219)건축_동명본실행(수정) 2" xfId="30082"/>
    <cellStyle name="Aee­ [_LFD부산실행예산(020219)건축_동명삼화견본주택 기본안" xfId="23970"/>
    <cellStyle name="Åëè­ [_LFD부산실행예산(020219)건축_동명삼화견본주택 기본안" xfId="30083"/>
    <cellStyle name="Aee­ [_LFD부산실행예산(020219)건축_동명삼화견본주택 기본안 2" xfId="23971"/>
    <cellStyle name="Åëè­ [_LFD부산실행예산(020219)건축_동명삼화견본주택 기본안 2" xfId="30084"/>
    <cellStyle name="Aee­ [_LFD부산실행예산(020219)건축_부산덕천2차실행예산(기초DATA)" xfId="23972"/>
    <cellStyle name="Åëè­ [_LFD부산실행예산(020219)건축_부산덕천2차실행예산(기초DATA)" xfId="30085"/>
    <cellStyle name="Aee­ [_LFD부산실행예산(020219)건축_부산덕천2차실행예산(기초DATA) 2" xfId="23973"/>
    <cellStyle name="Åëè­ [_LFD부산실행예산(020219)건축_부산덕천2차실행예산(기초DATA) 2" xfId="30086"/>
    <cellStyle name="Aee­ [_LFD부산실행예산(020219)건축_부산덕천2차실행예산(기초DATA건설조정)" xfId="23974"/>
    <cellStyle name="Åëè­ [_LFD부산실행예산(020219)건축_부산덕천2차실행예산(기초DATA건설조정)" xfId="30087"/>
    <cellStyle name="Aee­ [_LFD부산실행예산(020219)건축_부산덕천2차실행예산(기초DATA건설조정) 2" xfId="23975"/>
    <cellStyle name="Åëè­ [_LFD부산실행예산(020219)건축_부산덕천2차실행예산(기초DATA건설조정) 2" xfId="30088"/>
    <cellStyle name="Aee­ [_LFD부산실행예산(020219)건축_부산덕천2차실행예산(기초DATA승인용)" xfId="23976"/>
    <cellStyle name="Åëè­ [_LFD부산실행예산(020219)건축_부산덕천2차실행예산(기초DATA승인용)" xfId="30089"/>
    <cellStyle name="Aee­ [_LFD부산실행예산(020219)건축_부산덕천2차실행예산(기초DATA승인용) 2" xfId="23977"/>
    <cellStyle name="Åëè­ [_LFD부산실행예산(020219)건축_부산덕천2차실행예산(기초DATA승인용) 2" xfId="30090"/>
    <cellStyle name="Aee­ [_LFD부산실행예산(020219)건축_부산덕천2차실행예산(기초DATA현장협의후)" xfId="23978"/>
    <cellStyle name="Åëè­ [_LFD부산실행예산(020219)건축_부산덕천2차실행예산(기초DATA현장협의후)" xfId="30091"/>
    <cellStyle name="Aee­ [_LFD부산실행예산(020219)건축_부산덕천2차실행예산(기초DATA현장협의후) 2" xfId="23979"/>
    <cellStyle name="Åëè­ [_LFD부산실행예산(020219)건축_부산덕천2차실행예산(기초DATA현장협의후) 2" xfId="30092"/>
    <cellStyle name="Aee­ [_LFD부산실행예산(020219)건축_실행검토_부산덕천" xfId="23980"/>
    <cellStyle name="Åëè­ [_LFD부산실행예산(020219)건축_실행검토_부산덕천" xfId="30093"/>
    <cellStyle name="Aee­ [_LFD부산실행예산(020219)건축_실행검토_부산덕천 2" xfId="23981"/>
    <cellStyle name="Åëè­ [_LFD부산실행예산(020219)건축_실행검토_부산덕천 2" xfId="30094"/>
    <cellStyle name="Aee­ [_LFD부산실행예산(020219)건축_여의도센터빌딩실행원가(020613)-2" xfId="23982"/>
    <cellStyle name="Åëè­ [_LFD부산실행예산(020219)건축_여의도센터빌딩실행원가(020613)-2" xfId="30095"/>
    <cellStyle name="Aee­ [_LFD부산실행예산(020219)건축_여의도센터빌딩실행원가(020613)-2 2" xfId="23983"/>
    <cellStyle name="Åëè­ [_LFD부산실행예산(020219)건축_여의도센터빌딩실행원가(020613)-2 2" xfId="30096"/>
    <cellStyle name="Aee­ [_LFD부산실행예산(020219)건축_제과충주영업소견적서" xfId="23984"/>
    <cellStyle name="Åëè­ [_LFD부산실행예산(020219)건축_제과충주영업소견적서" xfId="30097"/>
    <cellStyle name="Aee­ [_LFD부산실행예산(020219)건축_제과충주영업소견적서 2" xfId="23985"/>
    <cellStyle name="Åëè­ [_LFD부산실행예산(020219)건축_제과충주영업소견적서 2" xfId="30098"/>
    <cellStyle name="Aee­ [_LFD부산실행예산(020219)건축_현장경비신청안박성남" xfId="23986"/>
    <cellStyle name="Åëè­ [_LFD부산실행예산(020219)건축_현장경비신청안박성남" xfId="30099"/>
    <cellStyle name="Aee­ [_LFD부산실행예산(020219)건축_현장경비신청안박성남 2" xfId="23987"/>
    <cellStyle name="Åëè­ [_LFD부산실행예산(020219)건축_현장경비신청안박성남 2" xfId="30100"/>
    <cellStyle name="Aee­ [_LFD부산실행예산(020305)건축" xfId="23988"/>
    <cellStyle name="Åëè­ [_LFD부산실행예산(020305)건축" xfId="30101"/>
    <cellStyle name="Aee­ [_LFD부산실행예산(020305)건축 2" xfId="23989"/>
    <cellStyle name="Åëè­ [_LFD부산실행예산(020305)건축 2" xfId="30102"/>
    <cellStyle name="Aee­ [_LFD부산실행예산(020305)건축_경서실행(견적실)공무팀" xfId="23990"/>
    <cellStyle name="Åëè­ [_LFD부산실행예산(020305)건축_경서실행(견적실)공무팀" xfId="30103"/>
    <cellStyle name="Aee­ [_LFD부산실행예산(020305)건축_경서실행(견적실)공무팀 2" xfId="23991"/>
    <cellStyle name="Åëè­ [_LFD부산실행예산(020305)건축_경서실행(견적실)공무팀 2" xfId="30104"/>
    <cellStyle name="Aee­ [_LFD부산실행예산(020305)건축_골조공사견적가분석-1" xfId="23992"/>
    <cellStyle name="Åëè­ [_LFD부산실행예산(020305)건축_골조공사견적가분석-1" xfId="30105"/>
    <cellStyle name="Aee­ [_LFD부산실행예산(020305)건축_골조공사견적가분석-1 2" xfId="23993"/>
    <cellStyle name="Åëè­ [_LFD부산실행예산(020305)건축_골조공사견적가분석-1 2" xfId="30106"/>
    <cellStyle name="Aee­ [_LFD부산실행예산(020305)건축_골조공사공내역(송부)" xfId="23994"/>
    <cellStyle name="Åëè­ [_LFD부산실행예산(020305)건축_골조공사공내역(송부)" xfId="30107"/>
    <cellStyle name="Aee­ [_LFD부산실행예산(020305)건축_골조공사공내역(송부) 2" xfId="23995"/>
    <cellStyle name="Åëè­ [_LFD부산실행예산(020305)건축_골조공사공내역(송부) 2" xfId="30108"/>
    <cellStyle name="Aee­ [_LFD부산실행예산(020305)건축_골조공사공내역(장)" xfId="23996"/>
    <cellStyle name="Åëè­ [_LFD부산실행예산(020305)건축_골조공사공내역(장)" xfId="30109"/>
    <cellStyle name="Aee­ [_LFD부산실행예산(020305)건축_골조공사공내역(장) 2" xfId="23997"/>
    <cellStyle name="Åëè­ [_LFD부산실행예산(020305)건축_골조공사공내역(장) 2" xfId="30110"/>
    <cellStyle name="Aee­ [_LFD부산실행예산(020305)건축_골조공사실행예산품의" xfId="23998"/>
    <cellStyle name="Åëè­ [_LFD부산실행예산(020305)건축_골조공사실행예산품의" xfId="30111"/>
    <cellStyle name="Aee­ [_LFD부산실행예산(020305)건축_골조공사실행예산품의 2" xfId="23999"/>
    <cellStyle name="Åëè­ [_LFD부산실행예산(020305)건축_골조공사실행예산품의 2" xfId="30112"/>
    <cellStyle name="Aee­ [_LFD부산실행예산(020305)건축_동명2차실행예산(기초DATA)" xfId="24000"/>
    <cellStyle name="Åëè­ [_LFD부산실행예산(020305)건축_동명2차실행예산(기초DATA)" xfId="30113"/>
    <cellStyle name="Aee­ [_LFD부산실행예산(020305)건축_동명2차실행예산(기초DATA) 2" xfId="24001"/>
    <cellStyle name="Åëè­ [_LFD부산실행예산(020305)건축_동명2차실행예산(기초DATA) 2" xfId="30114"/>
    <cellStyle name="Aee­ [_LFD부산실행예산(020305)건축_동명본실행(수정)" xfId="24002"/>
    <cellStyle name="Åëè­ [_LFD부산실행예산(020305)건축_동명본실행(수정)" xfId="30115"/>
    <cellStyle name="Aee­ [_LFD부산실행예산(020305)건축_동명본실행(수정) 2" xfId="24003"/>
    <cellStyle name="Åëè­ [_LFD부산실행예산(020305)건축_동명본실행(수정) 2" xfId="30116"/>
    <cellStyle name="Aee­ [_LFD부산실행예산(020305)건축_부산덕천2차실행예산(기초DATA)" xfId="24004"/>
    <cellStyle name="Åëè­ [_LFD부산실행예산(020305)건축_부산덕천2차실행예산(기초DATA)" xfId="30117"/>
    <cellStyle name="Aee­ [_LFD부산실행예산(020305)건축_부산덕천2차실행예산(기초DATA) 2" xfId="24005"/>
    <cellStyle name="Åëè­ [_LFD부산실행예산(020305)건축_부산덕천2차실행예산(기초DATA) 2" xfId="30118"/>
    <cellStyle name="Aee­ [_LFD부산실행예산(020305)건축_부산덕천2차실행예산(기초DATA건설조정)" xfId="24006"/>
    <cellStyle name="Åëè­ [_LFD부산실행예산(020305)건축_부산덕천2차실행예산(기초DATA건설조정)" xfId="30119"/>
    <cellStyle name="Aee­ [_LFD부산실행예산(020305)건축_부산덕천2차실행예산(기초DATA건설조정) 2" xfId="24007"/>
    <cellStyle name="Åëè­ [_LFD부산실행예산(020305)건축_부산덕천2차실행예산(기초DATA건설조정) 2" xfId="30120"/>
    <cellStyle name="Aee­ [_LFD부산실행예산(020305)건축_부산덕천2차실행예산(기초DATA승인용)" xfId="24008"/>
    <cellStyle name="Åëè­ [_LFD부산실행예산(020305)건축_부산덕천2차실행예산(기초DATA승인용)" xfId="30121"/>
    <cellStyle name="Aee­ [_LFD부산실행예산(020305)건축_부산덕천2차실행예산(기초DATA승인용) 2" xfId="24009"/>
    <cellStyle name="Åëè­ [_LFD부산실행예산(020305)건축_부산덕천2차실행예산(기초DATA승인용) 2" xfId="30122"/>
    <cellStyle name="Aee­ [_LFD부산실행예산(020305)건축_부산덕천2차실행예산(기초DATA현장협의후)" xfId="24010"/>
    <cellStyle name="Åëè­ [_LFD부산실행예산(020305)건축_부산덕천2차실행예산(기초DATA현장협의후)" xfId="30123"/>
    <cellStyle name="Aee­ [_LFD부산실행예산(020305)건축_부산덕천2차실행예산(기초DATA현장협의후) 2" xfId="24011"/>
    <cellStyle name="Åëè­ [_LFD부산실행예산(020305)건축_부산덕천2차실행예산(기초DATA현장협의후) 2" xfId="30124"/>
    <cellStyle name="Aee­ [_LFD실행예산(020110)2855" xfId="24012"/>
    <cellStyle name="Åëè­ [_LFD실행예산(020110)2855" xfId="30125"/>
    <cellStyle name="Aee­ [_LFD실행예산(020110)2855 2" xfId="24013"/>
    <cellStyle name="Åëè­ [_LFD실행예산(020110)2855 2" xfId="30126"/>
    <cellStyle name="Aee­ [_LFD실행예산(020110)2855_LFD부산실행예산(020319)건축" xfId="24014"/>
    <cellStyle name="Åëè­ [_LFD실행예산(020110)2855_LFD부산실행예산(020319)건축" xfId="30127"/>
    <cellStyle name="Aee­ [_LFD실행예산(020110)2855_LFD부산실행예산(020319)건축 2" xfId="24015"/>
    <cellStyle name="Åëè­ [_LFD실행예산(020110)2855_LFD부산실행예산(020319)건축 2" xfId="30128"/>
    <cellStyle name="Aee­ [_LFD실행예산(020110)2855_경서실행(견적실)공무팀" xfId="24016"/>
    <cellStyle name="Åëè­ [_LFD실행예산(020110)2855_경서실행(견적실)공무팀" xfId="30129"/>
    <cellStyle name="Aee­ [_LFD실행예산(020110)2855_경서실행(견적실)공무팀 2" xfId="24017"/>
    <cellStyle name="Åëè­ [_LFD실행예산(020110)2855_경서실행(견적실)공무팀 2" xfId="30130"/>
    <cellStyle name="Aee­ [_LFD실행예산(020110)2855_골조공사견적가분석-1" xfId="24018"/>
    <cellStyle name="Åëè­ [_LFD실행예산(020110)2855_골조공사견적가분석-1" xfId="30131"/>
    <cellStyle name="Aee­ [_LFD실행예산(020110)2855_골조공사견적가분석-1 2" xfId="24019"/>
    <cellStyle name="Åëè­ [_LFD실행예산(020110)2855_골조공사견적가분석-1 2" xfId="30132"/>
    <cellStyle name="Aee­ [_LFD실행예산(020110)2855_골조공사공내역(송부)" xfId="24020"/>
    <cellStyle name="Åëè­ [_LFD실행예산(020110)2855_골조공사공내역(송부)" xfId="30133"/>
    <cellStyle name="Aee­ [_LFD실행예산(020110)2855_골조공사공내역(송부) 2" xfId="24021"/>
    <cellStyle name="Åëè­ [_LFD실행예산(020110)2855_골조공사공내역(송부) 2" xfId="30134"/>
    <cellStyle name="Aee­ [_LFD실행예산(020110)2855_골조공사공내역(장)" xfId="24022"/>
    <cellStyle name="Åëè­ [_LFD실행예산(020110)2855_골조공사공내역(장)" xfId="30135"/>
    <cellStyle name="Aee­ [_LFD실행예산(020110)2855_골조공사공내역(장) 2" xfId="24023"/>
    <cellStyle name="Åëè­ [_LFD실행예산(020110)2855_골조공사공내역(장) 2" xfId="30136"/>
    <cellStyle name="Aee­ [_LFD실행예산(020110)2855_골조공사실행예산품의" xfId="24024"/>
    <cellStyle name="Åëè­ [_LFD실행예산(020110)2855_골조공사실행예산품의" xfId="30137"/>
    <cellStyle name="Aee­ [_LFD실행예산(020110)2855_골조공사실행예산품의 2" xfId="24025"/>
    <cellStyle name="Åëè­ [_LFD실행예산(020110)2855_골조공사실행예산품의 2" xfId="30138"/>
    <cellStyle name="Aee­ [_LFD실행예산(020110)2855_동명2차실행예산(기초DATA)" xfId="24026"/>
    <cellStyle name="Åëè­ [_LFD실행예산(020110)2855_동명2차실행예산(기초DATA)" xfId="30139"/>
    <cellStyle name="Aee­ [_LFD실행예산(020110)2855_동명2차실행예산(기초DATA) 2" xfId="24027"/>
    <cellStyle name="Åëè­ [_LFD실행예산(020110)2855_동명2차실행예산(기초DATA) 2" xfId="30140"/>
    <cellStyle name="Aee­ [_LFD실행예산(020110)2855_동명본실행(수정)" xfId="24028"/>
    <cellStyle name="Åëè­ [_LFD실행예산(020110)2855_동명본실행(수정)" xfId="30141"/>
    <cellStyle name="Aee­ [_LFD실행예산(020110)2855_동명본실행(수정) 2" xfId="24029"/>
    <cellStyle name="Åëè­ [_LFD실행예산(020110)2855_동명본실행(수정) 2" xfId="30142"/>
    <cellStyle name="Aee­ [_LFD실행예산(020110)2855_동명삼화견본주택 기본안" xfId="24030"/>
    <cellStyle name="Åëè­ [_LFD실행예산(020110)2855_동명삼화견본주택 기본안" xfId="30143"/>
    <cellStyle name="Aee­ [_LFD실행예산(020110)2855_동명삼화견본주택 기본안 2" xfId="24031"/>
    <cellStyle name="Åëè­ [_LFD실행예산(020110)2855_동명삼화견본주택 기본안 2" xfId="30144"/>
    <cellStyle name="Aee­ [_LFD실행예산(020110)2855_동명실행예산-1" xfId="24032"/>
    <cellStyle name="Åëè­ [_LFD실행예산(020110)2855_동명실행예산-1" xfId="30145"/>
    <cellStyle name="Aee­ [_LFD실행예산(020110)2855_동명실행예산-1 2" xfId="24033"/>
    <cellStyle name="Åëè­ [_LFD실행예산(020110)2855_동명실행예산-1 2" xfId="30146"/>
    <cellStyle name="Aee­ [_LFD실행예산(020110)2855_부산덕천2차실행예산(기초DATA)" xfId="24034"/>
    <cellStyle name="Åëè­ [_LFD실행예산(020110)2855_부산덕천2차실행예산(기초DATA)" xfId="30147"/>
    <cellStyle name="Aee­ [_LFD실행예산(020110)2855_부산덕천2차실행예산(기초DATA) 2" xfId="24035"/>
    <cellStyle name="Åëè­ [_LFD실행예산(020110)2855_부산덕천2차실행예산(기초DATA) 2" xfId="30148"/>
    <cellStyle name="Aee­ [_LFD실행예산(020110)2855_부산덕천2차실행예산(기초DATA건설조정)" xfId="24036"/>
    <cellStyle name="Åëè­ [_LFD실행예산(020110)2855_부산덕천2차실행예산(기초DATA건설조정)" xfId="30149"/>
    <cellStyle name="Aee­ [_LFD실행예산(020110)2855_부산덕천2차실행예산(기초DATA건설조정) 2" xfId="24037"/>
    <cellStyle name="Åëè­ [_LFD실행예산(020110)2855_부산덕천2차실행예산(기초DATA건설조정) 2" xfId="30150"/>
    <cellStyle name="Aee­ [_LFD실행예산(020110)2855_부산덕천2차실행예산(기초DATA승인용)" xfId="24038"/>
    <cellStyle name="Åëè­ [_LFD실행예산(020110)2855_부산덕천2차실행예산(기초DATA승인용)" xfId="30151"/>
    <cellStyle name="Aee­ [_LFD실행예산(020110)2855_부산덕천2차실행예산(기초DATA승인용) 2" xfId="24039"/>
    <cellStyle name="Åëè­ [_LFD실행예산(020110)2855_부산덕천2차실행예산(기초DATA승인용) 2" xfId="30152"/>
    <cellStyle name="Aee­ [_LFD실행예산(020110)2855_부산덕천2차실행예산(기초DATA현장협의후)" xfId="24040"/>
    <cellStyle name="Åëè­ [_LFD실행예산(020110)2855_부산덕천2차실행예산(기초DATA현장협의후)" xfId="30153"/>
    <cellStyle name="Aee­ [_LFD실행예산(020110)2855_부산덕천2차실행예산(기초DATA현장협의후) 2" xfId="24041"/>
    <cellStyle name="Åëè­ [_LFD실행예산(020110)2855_부산덕천2차실행예산(기초DATA현장협의후) 2" xfId="30154"/>
    <cellStyle name="Aee­ [_LFD실행예산(020110)2855_실행검토_부산덕천" xfId="24042"/>
    <cellStyle name="Åëè­ [_LFD실행예산(020110)2855_실행검토_부산덕천" xfId="30155"/>
    <cellStyle name="Aee­ [_LFD실행예산(020110)2855_실행검토_부산덕천 2" xfId="24043"/>
    <cellStyle name="Åëè­ [_LFD실행예산(020110)2855_실행검토_부산덕천 2" xfId="30156"/>
    <cellStyle name="Aee­ [_LFD실행예산(020110)2855_여의도센터빌딩실행원가(020613)-2" xfId="24044"/>
    <cellStyle name="Åëè­ [_LFD실행예산(020110)2855_여의도센터빌딩실행원가(020613)-2" xfId="30157"/>
    <cellStyle name="Aee­ [_LFD실행예산(020110)2855_여의도센터빌딩실행원가(020613)-2 2" xfId="24045"/>
    <cellStyle name="Åëè­ [_LFD실행예산(020110)2855_여의도센터빌딩실행원가(020613)-2 2" xfId="30158"/>
    <cellStyle name="Aee­ [_LFD실행예산(020110)2855_제과충주영업소견적서" xfId="24046"/>
    <cellStyle name="Åëè­ [_LFD실행예산(020110)2855_제과충주영업소견적서" xfId="30159"/>
    <cellStyle name="Aee­ [_LFD실행예산(020110)2855_제과충주영업소견적서 2" xfId="24047"/>
    <cellStyle name="Åëè­ [_LFD실행예산(020110)2855_제과충주영업소견적서 2" xfId="30160"/>
    <cellStyle name="Aee­ [_LFD실행예산(020110)2855_현장경비신청안박성남" xfId="24048"/>
    <cellStyle name="Åëè­ [_LFD실행예산(020110)2855_현장경비신청안박성남" xfId="30161"/>
    <cellStyle name="Aee­ [_LFD실행예산(020110)2855_현장경비신청안박성남 2" xfId="24049"/>
    <cellStyle name="Åëè­ [_LFD실행예산(020110)2855_현장경비신청안박성남 2" xfId="30162"/>
    <cellStyle name="Aee­ [_경서실행(견적실)공무팀" xfId="24050"/>
    <cellStyle name="Åëè­ [_경서실행(견적실)공무팀" xfId="30163"/>
    <cellStyle name="Aee­ [_경서실행(견적실)공무팀 2" xfId="24051"/>
    <cellStyle name="Åëè­ [_경서실행(견적실)공무팀 2" xfId="30164"/>
    <cellStyle name="Aee­ [_경서실행(견적실)공무팀_1" xfId="24052"/>
    <cellStyle name="Åëè­ [_경서실행(견적실)공무팀_1" xfId="30165"/>
    <cellStyle name="Aee­ [_경서실행(견적실)공무팀_1 2" xfId="24053"/>
    <cellStyle name="Åëè­ [_경서실행(견적실)공무팀_1 2" xfId="30166"/>
    <cellStyle name="Aee­ [_경서실행(견적실)공무팀_1_레몬영화egi내역서(13968천원)" xfId="24054"/>
    <cellStyle name="Åëè­ [_경서실행(견적실)공무팀_1_레몬영화egi내역서(13968천원)" xfId="30167"/>
    <cellStyle name="Aee­ [_경서실행(견적실)공무팀_1_레몬영화egi내역서(13968천원) 2" xfId="24055"/>
    <cellStyle name="Åëè­ [_경서실행(견적실)공무팀_1_레몬영화egi내역서(13968천원) 2" xfId="30168"/>
    <cellStyle name="Aee­ [_광주공장 도급내역(변경03.1.07)" xfId="24056"/>
    <cellStyle name="Åëè­ [_광주공장 도급내역(변경03.1.07)" xfId="30169"/>
    <cellStyle name="Aee­ [_광주공장 도급내역(변경03.1.07) 2" xfId="24057"/>
    <cellStyle name="Åëè­ [_광주공장 도급내역(변경03.1.07) 2" xfId="30170"/>
    <cellStyle name="Aee­ [_광주공장 도급내역(변경03.1.21)" xfId="24058"/>
    <cellStyle name="Åëè­ [_광주공장 도급내역(변경03.1.21)" xfId="30171"/>
    <cellStyle name="Aee­ [_광주공장 도급내역(변경03.1.21) 2" xfId="24059"/>
    <cellStyle name="Åëè­ [_광주공장 도급내역(변경03.1.21) 2" xfId="30172"/>
    <cellStyle name="Aee­ [_광주공장(대비1218)" xfId="24060"/>
    <cellStyle name="Åëè­ [_광주공장(대비1218)" xfId="30173"/>
    <cellStyle name="Aee­ [_광주공장(대비1218) 2" xfId="24061"/>
    <cellStyle name="Åëè­ [_광주공장(대비1218) 2" xfId="30174"/>
    <cellStyle name="Aee­ [_기계실행(LFD광주공장.현설용)" xfId="24062"/>
    <cellStyle name="Åëè­ [_기계실행(LFD광주공장.현설용)" xfId="30175"/>
    <cellStyle name="Aee­ [_기계실행(LFD광주공장.현설용) 2" xfId="24063"/>
    <cellStyle name="Åëè­ [_기계실행(LFD광주공장.현설용) 2" xfId="30176"/>
    <cellStyle name="Aee­ [_동명삼화 현장설명(본사지급)" xfId="24064"/>
    <cellStyle name="Åëè­ [_동명삼화 현장설명(본사지급)" xfId="30177"/>
    <cellStyle name="Aee­ [_동명삼화 현장설명(본사지급) 2" xfId="24065"/>
    <cellStyle name="Åëè­ [_동명삼화 현장설명(본사지급) 2" xfId="30178"/>
    <cellStyle name="Aee­ [_동명삼화 현장설명(본사지급)_울산신정동수주검토(2003.01.21에어컨)" xfId="24066"/>
    <cellStyle name="Åëè­ [_동명삼화 현장설명(본사지급)_울산신정동수주검토(2003.01.21에어컨)" xfId="30179"/>
    <cellStyle name="Aee­ [_동명삼화 현장설명(본사지급)_울산신정동수주검토(2003.01.21에어컨) 2" xfId="24067"/>
    <cellStyle name="Åëè­ [_동명삼화 현장설명(본사지급)_울산신정동수주검토(2003.01.21에어컨) 2" xfId="30180"/>
    <cellStyle name="Aee­ [_동명삼화견본주택 기본안" xfId="24068"/>
    <cellStyle name="Åëè­ [_동명삼화견본주택 기본안" xfId="30181"/>
    <cellStyle name="Aee­ [_동명삼화견본주택 기본안 2" xfId="24069"/>
    <cellStyle name="Åëè­ [_동명삼화견본주택 기본안 2" xfId="30182"/>
    <cellStyle name="Aee­ [_동명삼화기계공사 물량집계" xfId="24070"/>
    <cellStyle name="Åëè­ [_동명삼화기계공사 물량집계" xfId="30183"/>
    <cellStyle name="Aee­ [_동명삼화기계공사 물량집계 2" xfId="24071"/>
    <cellStyle name="Åëè­ [_동명삼화기계공사 물량집계 2" xfId="30184"/>
    <cellStyle name="Aee­ [_동명삼화재건축아파트" xfId="24072"/>
    <cellStyle name="Åëè­ [_동명삼화재건축아파트" xfId="30185"/>
    <cellStyle name="Aee­ [_동명삼화재건축아파트 2" xfId="24073"/>
    <cellStyle name="Åëè­ [_동명삼화재건축아파트 2" xfId="30186"/>
    <cellStyle name="Aee­ [_동명실행예산-1" xfId="24074"/>
    <cellStyle name="Åëè­ [_동명실행예산-1" xfId="30187"/>
    <cellStyle name="Aee­ [_동명실행예산-1 2" xfId="24075"/>
    <cellStyle name="Åëè­ [_동명실행예산-1 2" xfId="30188"/>
    <cellStyle name="Aee­ [_롯데동명삼화평당단가비교" xfId="24076"/>
    <cellStyle name="Åëè­ [_롯데동명삼화평당단가비교" xfId="30189"/>
    <cellStyle name="Aee­ [_롯데동명삼화평당단가비교 2" xfId="24077"/>
    <cellStyle name="Åëè­ [_롯데동명삼화평당단가비교 2" xfId="30190"/>
    <cellStyle name="Aee­ [_마곡보완" xfId="24078"/>
    <cellStyle name="Åëè­ [_마곡보완" xfId="30191"/>
    <cellStyle name="Aee­ [_마곡보완 2" xfId="24079"/>
    <cellStyle name="Åëè­ [_마곡보완 2" xfId="30192"/>
    <cellStyle name="Aee­ [_마곡보완_Lemon 수원영화점 기계도급내역(최종보고)" xfId="24080"/>
    <cellStyle name="Åëè­ [_마곡보완_Lemon 수원영화점 기계도급내역(최종보고)" xfId="30193"/>
    <cellStyle name="Aee­ [_마곡보완_Lemon 수원영화점 기계도급내역(최종보고) 2" xfId="24081"/>
    <cellStyle name="Åëè­ [_마곡보완_Lemon 수원영화점 기계도급내역(최종보고) 2" xfId="30194"/>
    <cellStyle name="Aee­ [_마곡보완_Lemon 수원영화점(기계공사)" xfId="24082"/>
    <cellStyle name="Åëè­ [_마곡보완_Lemon 수원영화점(기계공사)" xfId="30195"/>
    <cellStyle name="Aee­ [_마곡보완_Lemon 수원영화점(기계공사) 2" xfId="24083"/>
    <cellStyle name="Åëè­ [_마곡보완_Lemon 수원영화점(기계공사) 2" xfId="30196"/>
    <cellStyle name="Aee­ [_마곡보완_LFD부산실행예산(020219)건축" xfId="24084"/>
    <cellStyle name="Åëè­ [_마곡보완_LFD부산실행예산(020219)건축" xfId="30197"/>
    <cellStyle name="Aee­ [_마곡보완_LFD부산실행예산(020219)건축 2" xfId="24085"/>
    <cellStyle name="Åëè­ [_마곡보완_LFD부산실행예산(020219)건축 2" xfId="30198"/>
    <cellStyle name="Aee­ [_마곡보완_LFD부산실행예산(020219)건축_경서실행(견적실)공무팀" xfId="24086"/>
    <cellStyle name="Åëè­ [_마곡보완_LFD부산실행예산(020219)건축_경서실행(견적실)공무팀" xfId="30199"/>
    <cellStyle name="Aee­ [_마곡보완_LFD부산실행예산(020219)건축_경서실행(견적실)공무팀 2" xfId="24087"/>
    <cellStyle name="Åëè­ [_마곡보완_LFD부산실행예산(020219)건축_경서실행(견적실)공무팀 2" xfId="30200"/>
    <cellStyle name="Aee­ [_마곡보완_LFD부산실행예산(020219)건축_골조공사견적가분석-1" xfId="24088"/>
    <cellStyle name="Åëè­ [_마곡보완_LFD부산실행예산(020219)건축_골조공사견적가분석-1" xfId="30201"/>
    <cellStyle name="Aee­ [_마곡보완_LFD부산실행예산(020219)건축_골조공사견적가분석-1 2" xfId="24089"/>
    <cellStyle name="Åëè­ [_마곡보완_LFD부산실행예산(020219)건축_골조공사견적가분석-1 2" xfId="30202"/>
    <cellStyle name="Aee­ [_마곡보완_LFD부산실행예산(020219)건축_골조공사공내역(송부)" xfId="24090"/>
    <cellStyle name="Åëè­ [_마곡보완_LFD부산실행예산(020219)건축_골조공사공내역(송부)" xfId="30203"/>
    <cellStyle name="Aee­ [_마곡보완_LFD부산실행예산(020219)건축_골조공사공내역(송부) 2" xfId="24091"/>
    <cellStyle name="Åëè­ [_마곡보완_LFD부산실행예산(020219)건축_골조공사공내역(송부) 2" xfId="30204"/>
    <cellStyle name="Aee­ [_마곡보완_LFD부산실행예산(020219)건축_골조공사공내역(장)" xfId="24092"/>
    <cellStyle name="Åëè­ [_마곡보완_LFD부산실행예산(020219)건축_골조공사공내역(장)" xfId="30205"/>
    <cellStyle name="Aee­ [_마곡보완_LFD부산실행예산(020219)건축_골조공사공내역(장) 2" xfId="24093"/>
    <cellStyle name="Åëè­ [_마곡보완_LFD부산실행예산(020219)건축_골조공사공내역(장) 2" xfId="30206"/>
    <cellStyle name="Aee­ [_마곡보완_LFD부산실행예산(020219)건축_골조공사실행예산품의" xfId="24094"/>
    <cellStyle name="Åëè­ [_마곡보완_LFD부산실행예산(020219)건축_골조공사실행예산품의" xfId="30207"/>
    <cellStyle name="Aee­ [_마곡보완_LFD부산실행예산(020219)건축_골조공사실행예산품의 2" xfId="24095"/>
    <cellStyle name="Åëè­ [_마곡보완_LFD부산실행예산(020219)건축_골조공사실행예산품의 2" xfId="30208"/>
    <cellStyle name="Aee­ [_마곡보완_LFD부산실행예산(020219)건축_동명2차실행예산(기초DATA)" xfId="24096"/>
    <cellStyle name="Åëè­ [_마곡보완_LFD부산실행예산(020219)건축_동명2차실행예산(기초DATA)" xfId="30209"/>
    <cellStyle name="Aee­ [_마곡보완_LFD부산실행예산(020219)건축_동명2차실행예산(기초DATA) 2" xfId="24097"/>
    <cellStyle name="Åëè­ [_마곡보완_LFD부산실행예산(020219)건축_동명2차실행예산(기초DATA) 2" xfId="30210"/>
    <cellStyle name="Aee­ [_마곡보완_LFD부산실행예산(020219)건축_동명본실행(수정)" xfId="24098"/>
    <cellStyle name="Åëè­ [_마곡보완_LFD부산실행예산(020219)건축_동명본실행(수정)" xfId="30211"/>
    <cellStyle name="Aee­ [_마곡보완_LFD부산실행예산(020219)건축_동명본실행(수정) 2" xfId="24099"/>
    <cellStyle name="Åëè­ [_마곡보완_LFD부산실행예산(020219)건축_동명본실행(수정) 2" xfId="30212"/>
    <cellStyle name="Aee­ [_마곡보완_LFD부산실행예산(020219)건축_동명삼화견본주택 기본안" xfId="24100"/>
    <cellStyle name="Åëè­ [_마곡보완_LFD부산실행예산(020219)건축_동명삼화견본주택 기본안" xfId="30213"/>
    <cellStyle name="Aee­ [_마곡보완_LFD부산실행예산(020219)건축_동명삼화견본주택 기본안 2" xfId="24101"/>
    <cellStyle name="Åëè­ [_마곡보완_LFD부산실행예산(020219)건축_동명삼화견본주택 기본안 2" xfId="30214"/>
    <cellStyle name="Aee­ [_마곡보완_LFD부산실행예산(020219)건축_부산덕천2차실행예산(기초DATA)" xfId="24102"/>
    <cellStyle name="Åëè­ [_마곡보완_LFD부산실행예산(020219)건축_부산덕천2차실행예산(기초DATA)" xfId="30215"/>
    <cellStyle name="Aee­ [_마곡보완_LFD부산실행예산(020219)건축_부산덕천2차실행예산(기초DATA) 2" xfId="24103"/>
    <cellStyle name="Åëè­ [_마곡보완_LFD부산실행예산(020219)건축_부산덕천2차실행예산(기초DATA) 2" xfId="30216"/>
    <cellStyle name="Aee­ [_마곡보완_LFD부산실행예산(020219)건축_부산덕천2차실행예산(기초DATA건설조정)" xfId="24104"/>
    <cellStyle name="Åëè­ [_마곡보완_LFD부산실행예산(020219)건축_부산덕천2차실행예산(기초DATA건설조정)" xfId="30217"/>
    <cellStyle name="Aee­ [_마곡보완_LFD부산실행예산(020219)건축_부산덕천2차실행예산(기초DATA건설조정) 2" xfId="24105"/>
    <cellStyle name="Åëè­ [_마곡보완_LFD부산실행예산(020219)건축_부산덕천2차실행예산(기초DATA건설조정) 2" xfId="30218"/>
    <cellStyle name="Aee­ [_마곡보완_LFD부산실행예산(020219)건축_부산덕천2차실행예산(기초DATA승인용)" xfId="24106"/>
    <cellStyle name="Åëè­ [_마곡보완_LFD부산실행예산(020219)건축_부산덕천2차실행예산(기초DATA승인용)" xfId="30219"/>
    <cellStyle name="Aee­ [_마곡보완_LFD부산실행예산(020219)건축_부산덕천2차실행예산(기초DATA승인용) 2" xfId="24107"/>
    <cellStyle name="Åëè­ [_마곡보완_LFD부산실행예산(020219)건축_부산덕천2차실행예산(기초DATA승인용) 2" xfId="30220"/>
    <cellStyle name="Aee­ [_마곡보완_LFD부산실행예산(020219)건축_부산덕천2차실행예산(기초DATA현장협의후)" xfId="24108"/>
    <cellStyle name="Åëè­ [_마곡보완_LFD부산실행예산(020219)건축_부산덕천2차실행예산(기초DATA현장협의후)" xfId="30221"/>
    <cellStyle name="Aee­ [_마곡보완_LFD부산실행예산(020219)건축_부산덕천2차실행예산(기초DATA현장협의후) 2" xfId="24109"/>
    <cellStyle name="Åëè­ [_마곡보완_LFD부산실행예산(020219)건축_부산덕천2차실행예산(기초DATA현장협의후) 2" xfId="30222"/>
    <cellStyle name="Aee­ [_마곡보완_LFD부산실행예산(020219)건축_실행검토_부산덕천" xfId="24110"/>
    <cellStyle name="Åëè­ [_마곡보완_LFD부산실행예산(020219)건축_실행검토_부산덕천" xfId="30223"/>
    <cellStyle name="Aee­ [_마곡보완_LFD부산실행예산(020219)건축_실행검토_부산덕천 2" xfId="24111"/>
    <cellStyle name="Åëè­ [_마곡보완_LFD부산실행예산(020219)건축_실행검토_부산덕천 2" xfId="30224"/>
    <cellStyle name="Aee­ [_마곡보완_LFD부산실행예산(020219)건축_여의도센터빌딩실행원가(020613)-2" xfId="24112"/>
    <cellStyle name="Åëè­ [_마곡보완_LFD부산실행예산(020219)건축_여의도센터빌딩실행원가(020613)-2" xfId="30225"/>
    <cellStyle name="Aee­ [_마곡보완_LFD부산실행예산(020219)건축_여의도센터빌딩실행원가(020613)-2 2" xfId="24113"/>
    <cellStyle name="Åëè­ [_마곡보완_LFD부산실행예산(020219)건축_여의도센터빌딩실행원가(020613)-2 2" xfId="30226"/>
    <cellStyle name="Aee­ [_마곡보완_LFD부산실행예산(020219)건축_제과충주영업소견적서" xfId="24114"/>
    <cellStyle name="Åëè­ [_마곡보완_LFD부산실행예산(020219)건축_제과충주영업소견적서" xfId="30227"/>
    <cellStyle name="Aee­ [_마곡보완_LFD부산실행예산(020219)건축_제과충주영업소견적서 2" xfId="24115"/>
    <cellStyle name="Åëè­ [_마곡보완_LFD부산실행예산(020219)건축_제과충주영업소견적서 2" xfId="30228"/>
    <cellStyle name="Aee­ [_마곡보완_LFD부산실행예산(020219)건축_현장경비신청안박성남" xfId="24116"/>
    <cellStyle name="Åëè­ [_마곡보완_LFD부산실행예산(020219)건축_현장경비신청안박성남" xfId="30229"/>
    <cellStyle name="Aee­ [_마곡보완_LFD부산실행예산(020219)건축_현장경비신청안박성남 2" xfId="24117"/>
    <cellStyle name="Åëè­ [_마곡보완_LFD부산실행예산(020219)건축_현장경비신청안박성남 2" xfId="30230"/>
    <cellStyle name="Aee­ [_마곡보완_LFD부산실행예산(020305)건축" xfId="24118"/>
    <cellStyle name="Åëè­ [_마곡보완_LFD부산실행예산(020305)건축" xfId="30231"/>
    <cellStyle name="Aee­ [_마곡보완_LFD부산실행예산(020305)건축 2" xfId="24119"/>
    <cellStyle name="Åëè­ [_마곡보완_LFD부산실행예산(020305)건축 2" xfId="30232"/>
    <cellStyle name="Aee­ [_마곡보완_LFD부산실행예산(020305)건축_경서실행(견적실)공무팀" xfId="24120"/>
    <cellStyle name="Åëè­ [_마곡보완_LFD부산실행예산(020305)건축_경서실행(견적실)공무팀" xfId="30233"/>
    <cellStyle name="Aee­ [_마곡보완_LFD부산실행예산(020305)건축_경서실행(견적실)공무팀 2" xfId="24121"/>
    <cellStyle name="Åëè­ [_마곡보완_LFD부산실행예산(020305)건축_경서실행(견적실)공무팀 2" xfId="30234"/>
    <cellStyle name="Aee­ [_마곡보완_LFD부산실행예산(020305)건축_골조공사견적가분석-1" xfId="24122"/>
    <cellStyle name="Åëè­ [_마곡보완_LFD부산실행예산(020305)건축_골조공사견적가분석-1" xfId="30235"/>
    <cellStyle name="Aee­ [_마곡보완_LFD부산실행예산(020305)건축_골조공사견적가분석-1 2" xfId="24123"/>
    <cellStyle name="Åëè­ [_마곡보완_LFD부산실행예산(020305)건축_골조공사견적가분석-1 2" xfId="30236"/>
    <cellStyle name="Aee­ [_마곡보완_LFD부산실행예산(020305)건축_골조공사공내역(송부)" xfId="24124"/>
    <cellStyle name="Åëè­ [_마곡보완_LFD부산실행예산(020305)건축_골조공사공내역(송부)" xfId="30237"/>
    <cellStyle name="Aee­ [_마곡보완_LFD부산실행예산(020305)건축_골조공사공내역(송부) 2" xfId="24125"/>
    <cellStyle name="Åëè­ [_마곡보완_LFD부산실행예산(020305)건축_골조공사공내역(송부) 2" xfId="30238"/>
    <cellStyle name="Aee­ [_마곡보완_LFD부산실행예산(020305)건축_골조공사공내역(장)" xfId="24126"/>
    <cellStyle name="Åëè­ [_마곡보완_LFD부산실행예산(020305)건축_골조공사공내역(장)" xfId="30239"/>
    <cellStyle name="Aee­ [_마곡보완_LFD부산실행예산(020305)건축_골조공사공내역(장) 2" xfId="24127"/>
    <cellStyle name="Åëè­ [_마곡보완_LFD부산실행예산(020305)건축_골조공사공내역(장) 2" xfId="30240"/>
    <cellStyle name="Aee­ [_마곡보완_LFD부산실행예산(020305)건축_골조공사실행예산품의" xfId="24128"/>
    <cellStyle name="Åëè­ [_마곡보완_LFD부산실행예산(020305)건축_골조공사실행예산품의" xfId="30241"/>
    <cellStyle name="Aee­ [_마곡보완_LFD부산실행예산(020305)건축_골조공사실행예산품의 2" xfId="24129"/>
    <cellStyle name="Åëè­ [_마곡보완_LFD부산실행예산(020305)건축_골조공사실행예산품의 2" xfId="30242"/>
    <cellStyle name="Aee­ [_마곡보완_LFD부산실행예산(020305)건축_동명2차실행예산(기초DATA)" xfId="24130"/>
    <cellStyle name="Åëè­ [_마곡보완_LFD부산실행예산(020305)건축_동명2차실행예산(기초DATA)" xfId="30243"/>
    <cellStyle name="Aee­ [_마곡보완_LFD부산실행예산(020305)건축_동명2차실행예산(기초DATA) 2" xfId="24131"/>
    <cellStyle name="Åëè­ [_마곡보완_LFD부산실행예산(020305)건축_동명2차실행예산(기초DATA) 2" xfId="30244"/>
    <cellStyle name="Aee­ [_마곡보완_LFD부산실행예산(020305)건축_동명본실행(수정)" xfId="24132"/>
    <cellStyle name="Åëè­ [_마곡보완_LFD부산실행예산(020305)건축_동명본실행(수정)" xfId="30245"/>
    <cellStyle name="Aee­ [_마곡보완_LFD부산실행예산(020305)건축_동명본실행(수정) 2" xfId="24133"/>
    <cellStyle name="Åëè­ [_마곡보완_LFD부산실행예산(020305)건축_동명본실행(수정) 2" xfId="30246"/>
    <cellStyle name="Aee­ [_마곡보완_LFD부산실행예산(020305)건축_부산덕천2차실행예산(기초DATA)" xfId="24134"/>
    <cellStyle name="Åëè­ [_마곡보완_LFD부산실행예산(020305)건축_부산덕천2차실행예산(기초DATA)" xfId="30247"/>
    <cellStyle name="Aee­ [_마곡보완_LFD부산실행예산(020305)건축_부산덕천2차실행예산(기초DATA) 2" xfId="24135"/>
    <cellStyle name="Åëè­ [_마곡보완_LFD부산실행예산(020305)건축_부산덕천2차실행예산(기초DATA) 2" xfId="30248"/>
    <cellStyle name="Aee­ [_마곡보완_LFD부산실행예산(020305)건축_부산덕천2차실행예산(기초DATA건설조정)" xfId="24136"/>
    <cellStyle name="Åëè­ [_마곡보완_LFD부산실행예산(020305)건축_부산덕천2차실행예산(기초DATA건설조정)" xfId="30249"/>
    <cellStyle name="Aee­ [_마곡보완_LFD부산실행예산(020305)건축_부산덕천2차실행예산(기초DATA건설조정) 2" xfId="24137"/>
    <cellStyle name="Åëè­ [_마곡보완_LFD부산실행예산(020305)건축_부산덕천2차실행예산(기초DATA건설조정) 2" xfId="30250"/>
    <cellStyle name="Aee­ [_마곡보완_LFD부산실행예산(020305)건축_부산덕천2차실행예산(기초DATA승인용)" xfId="24138"/>
    <cellStyle name="Åëè­ [_마곡보완_LFD부산실행예산(020305)건축_부산덕천2차실행예산(기초DATA승인용)" xfId="30251"/>
    <cellStyle name="Aee­ [_마곡보완_LFD부산실행예산(020305)건축_부산덕천2차실행예산(기초DATA승인용) 2" xfId="24139"/>
    <cellStyle name="Åëè­ [_마곡보완_LFD부산실행예산(020305)건축_부산덕천2차실행예산(기초DATA승인용) 2" xfId="30252"/>
    <cellStyle name="Aee­ [_마곡보완_LFD부산실행예산(020305)건축_부산덕천2차실행예산(기초DATA현장협의후)" xfId="24140"/>
    <cellStyle name="Åëè­ [_마곡보완_LFD부산실행예산(020305)건축_부산덕천2차실행예산(기초DATA현장협의후)" xfId="30253"/>
    <cellStyle name="Aee­ [_마곡보완_LFD부산실행예산(020305)건축_부산덕천2차실행예산(기초DATA현장협의후) 2" xfId="24141"/>
    <cellStyle name="Åëè­ [_마곡보완_LFD부산실행예산(020305)건축_부산덕천2차실행예산(기초DATA현장협의후) 2" xfId="30254"/>
    <cellStyle name="Aee­ [_마곡보완_LFD실행예산(020110)2855" xfId="24142"/>
    <cellStyle name="Åëè­ [_마곡보완_LFD실행예산(020110)2855" xfId="30255"/>
    <cellStyle name="Aee­ [_마곡보완_LFD실행예산(020110)2855 2" xfId="24143"/>
    <cellStyle name="Åëè­ [_마곡보완_LFD실행예산(020110)2855 2" xfId="30256"/>
    <cellStyle name="Aee­ [_마곡보완_LFD실행예산(020110)2855_LFD부산실행예산(020319)건축" xfId="24144"/>
    <cellStyle name="Åëè­ [_마곡보완_LFD실행예산(020110)2855_LFD부산실행예산(020319)건축" xfId="30257"/>
    <cellStyle name="Aee­ [_마곡보완_LFD실행예산(020110)2855_LFD부산실행예산(020319)건축 2" xfId="24145"/>
    <cellStyle name="Åëè­ [_마곡보완_LFD실행예산(020110)2855_LFD부산실행예산(020319)건축 2" xfId="30258"/>
    <cellStyle name="Aee­ [_마곡보완_LFD실행예산(020110)2855_경서실행(견적실)공무팀" xfId="24146"/>
    <cellStyle name="Åëè­ [_마곡보완_LFD실행예산(020110)2855_경서실행(견적실)공무팀" xfId="30259"/>
    <cellStyle name="Aee­ [_마곡보완_LFD실행예산(020110)2855_경서실행(견적실)공무팀 2" xfId="24147"/>
    <cellStyle name="Åëè­ [_마곡보완_LFD실행예산(020110)2855_경서실행(견적실)공무팀 2" xfId="30260"/>
    <cellStyle name="Aee­ [_마곡보완_LFD실행예산(020110)2855_골조공사견적가분석-1" xfId="24148"/>
    <cellStyle name="Åëè­ [_마곡보완_LFD실행예산(020110)2855_골조공사견적가분석-1" xfId="30261"/>
    <cellStyle name="Aee­ [_마곡보완_LFD실행예산(020110)2855_골조공사견적가분석-1 2" xfId="24149"/>
    <cellStyle name="Åëè­ [_마곡보완_LFD실행예산(020110)2855_골조공사견적가분석-1 2" xfId="30262"/>
    <cellStyle name="Aee­ [_마곡보완_LFD실행예산(020110)2855_골조공사공내역(송부)" xfId="24150"/>
    <cellStyle name="Åëè­ [_마곡보완_LFD실행예산(020110)2855_골조공사공내역(송부)" xfId="30263"/>
    <cellStyle name="Aee­ [_마곡보완_LFD실행예산(020110)2855_골조공사공내역(송부) 2" xfId="24151"/>
    <cellStyle name="Åëè­ [_마곡보완_LFD실행예산(020110)2855_골조공사공내역(송부) 2" xfId="30264"/>
    <cellStyle name="Aee­ [_마곡보완_LFD실행예산(020110)2855_골조공사공내역(장)" xfId="24152"/>
    <cellStyle name="Åëè­ [_마곡보완_LFD실행예산(020110)2855_골조공사공내역(장)" xfId="30265"/>
    <cellStyle name="Aee­ [_마곡보완_LFD실행예산(020110)2855_골조공사공내역(장) 2" xfId="24153"/>
    <cellStyle name="Åëè­ [_마곡보완_LFD실행예산(020110)2855_골조공사공내역(장) 2" xfId="30266"/>
    <cellStyle name="Aee­ [_마곡보완_LFD실행예산(020110)2855_골조공사실행예산품의" xfId="24154"/>
    <cellStyle name="Åëè­ [_마곡보완_LFD실행예산(020110)2855_골조공사실행예산품의" xfId="30267"/>
    <cellStyle name="Aee­ [_마곡보완_LFD실행예산(020110)2855_골조공사실행예산품의 2" xfId="24155"/>
    <cellStyle name="Åëè­ [_마곡보완_LFD실행예산(020110)2855_골조공사실행예산품의 2" xfId="30268"/>
    <cellStyle name="Aee­ [_마곡보완_LFD실행예산(020110)2855_동명2차실행예산(기초DATA)" xfId="24156"/>
    <cellStyle name="Åëè­ [_마곡보완_LFD실행예산(020110)2855_동명2차실행예산(기초DATA)" xfId="30269"/>
    <cellStyle name="Aee­ [_마곡보완_LFD실행예산(020110)2855_동명2차실행예산(기초DATA) 2" xfId="24157"/>
    <cellStyle name="Åëè­ [_마곡보완_LFD실행예산(020110)2855_동명2차실행예산(기초DATA) 2" xfId="30270"/>
    <cellStyle name="Aee­ [_마곡보완_LFD실행예산(020110)2855_동명본실행(수정)" xfId="24158"/>
    <cellStyle name="Åëè­ [_마곡보완_LFD실행예산(020110)2855_동명본실행(수정)" xfId="30271"/>
    <cellStyle name="Aee­ [_마곡보완_LFD실행예산(020110)2855_동명본실행(수정) 2" xfId="24159"/>
    <cellStyle name="Åëè­ [_마곡보완_LFD실행예산(020110)2855_동명본실행(수정) 2" xfId="30272"/>
    <cellStyle name="Aee­ [_마곡보완_LFD실행예산(020110)2855_동명삼화견본주택 기본안" xfId="24160"/>
    <cellStyle name="Åëè­ [_마곡보완_LFD실행예산(020110)2855_동명삼화견본주택 기본안" xfId="30273"/>
    <cellStyle name="Aee­ [_마곡보완_LFD실행예산(020110)2855_동명삼화견본주택 기본안 2" xfId="24161"/>
    <cellStyle name="Åëè­ [_마곡보완_LFD실행예산(020110)2855_동명삼화견본주택 기본안 2" xfId="30274"/>
    <cellStyle name="Aee­ [_마곡보완_LFD실행예산(020110)2855_동명실행예산-1" xfId="24162"/>
    <cellStyle name="Åëè­ [_마곡보완_LFD실행예산(020110)2855_동명실행예산-1" xfId="30275"/>
    <cellStyle name="Aee­ [_마곡보완_LFD실행예산(020110)2855_동명실행예산-1 2" xfId="24163"/>
    <cellStyle name="Åëè­ [_마곡보완_LFD실행예산(020110)2855_동명실행예산-1 2" xfId="30276"/>
    <cellStyle name="Aee­ [_마곡보완_LFD실행예산(020110)2855_부산덕천2차실행예산(기초DATA)" xfId="24164"/>
    <cellStyle name="Åëè­ [_마곡보완_LFD실행예산(020110)2855_부산덕천2차실행예산(기초DATA)" xfId="30277"/>
    <cellStyle name="Aee­ [_마곡보완_LFD실행예산(020110)2855_부산덕천2차실행예산(기초DATA) 2" xfId="24165"/>
    <cellStyle name="Åëè­ [_마곡보완_LFD실행예산(020110)2855_부산덕천2차실행예산(기초DATA) 2" xfId="30278"/>
    <cellStyle name="Aee­ [_마곡보완_LFD실행예산(020110)2855_부산덕천2차실행예산(기초DATA건설조정)" xfId="24166"/>
    <cellStyle name="Åëè­ [_마곡보완_LFD실행예산(020110)2855_부산덕천2차실행예산(기초DATA건설조정)" xfId="30279"/>
    <cellStyle name="Aee­ [_마곡보완_LFD실행예산(020110)2855_부산덕천2차실행예산(기초DATA건설조정) 2" xfId="24167"/>
    <cellStyle name="Åëè­ [_마곡보완_LFD실행예산(020110)2855_부산덕천2차실행예산(기초DATA건설조정) 2" xfId="30280"/>
    <cellStyle name="Aee­ [_마곡보완_LFD실행예산(020110)2855_부산덕천2차실행예산(기초DATA승인용)" xfId="24168"/>
    <cellStyle name="Åëè­ [_마곡보완_LFD실행예산(020110)2855_부산덕천2차실행예산(기초DATA승인용)" xfId="30281"/>
    <cellStyle name="Aee­ [_마곡보완_LFD실행예산(020110)2855_부산덕천2차실행예산(기초DATA승인용) 2" xfId="24169"/>
    <cellStyle name="Åëè­ [_마곡보완_LFD실행예산(020110)2855_부산덕천2차실행예산(기초DATA승인용) 2" xfId="30282"/>
    <cellStyle name="Aee­ [_마곡보완_LFD실행예산(020110)2855_부산덕천2차실행예산(기초DATA현장협의후)" xfId="24170"/>
    <cellStyle name="Åëè­ [_마곡보완_LFD실행예산(020110)2855_부산덕천2차실행예산(기초DATA현장협의후)" xfId="30283"/>
    <cellStyle name="Aee­ [_마곡보완_LFD실행예산(020110)2855_부산덕천2차실행예산(기초DATA현장협의후) 2" xfId="24171"/>
    <cellStyle name="Åëè­ [_마곡보완_LFD실행예산(020110)2855_부산덕천2차실행예산(기초DATA현장협의후) 2" xfId="30284"/>
    <cellStyle name="Aee­ [_마곡보완_LFD실행예산(020110)2855_실행검토_부산덕천" xfId="24172"/>
    <cellStyle name="Åëè­ [_마곡보완_LFD실행예산(020110)2855_실행검토_부산덕천" xfId="30285"/>
    <cellStyle name="Aee­ [_마곡보완_LFD실행예산(020110)2855_실행검토_부산덕천 2" xfId="24173"/>
    <cellStyle name="Åëè­ [_마곡보완_LFD실행예산(020110)2855_실행검토_부산덕천 2" xfId="30286"/>
    <cellStyle name="Aee­ [_마곡보완_LFD실행예산(020110)2855_여의도센터빌딩실행원가(020613)-2" xfId="24174"/>
    <cellStyle name="Åëè­ [_마곡보완_LFD실행예산(020110)2855_여의도센터빌딩실행원가(020613)-2" xfId="30287"/>
    <cellStyle name="Aee­ [_마곡보완_LFD실행예산(020110)2855_여의도센터빌딩실행원가(020613)-2 2" xfId="24175"/>
    <cellStyle name="Åëè­ [_마곡보완_LFD실행예산(020110)2855_여의도센터빌딩실행원가(020613)-2 2" xfId="30288"/>
    <cellStyle name="Aee­ [_마곡보완_LFD실행예산(020110)2855_제과충주영업소견적서" xfId="24176"/>
    <cellStyle name="Åëè­ [_마곡보완_LFD실행예산(020110)2855_제과충주영업소견적서" xfId="30289"/>
    <cellStyle name="Aee­ [_마곡보완_LFD실행예산(020110)2855_제과충주영업소견적서 2" xfId="24177"/>
    <cellStyle name="Åëè­ [_마곡보완_LFD실행예산(020110)2855_제과충주영업소견적서 2" xfId="30290"/>
    <cellStyle name="Aee­ [_마곡보완_LFD실행예산(020110)2855_현장경비신청안박성남" xfId="24178"/>
    <cellStyle name="Åëè­ [_마곡보완_LFD실행예산(020110)2855_현장경비신청안박성남" xfId="30291"/>
    <cellStyle name="Aee­ [_마곡보완_LFD실행예산(020110)2855_현장경비신청안박성남 2" xfId="24179"/>
    <cellStyle name="Åëè­ [_마곡보완_LFD실행예산(020110)2855_현장경비신청안박성남 2" xfId="30292"/>
    <cellStyle name="Aee­ [_마곡보완_경서실행(견적실)공무팀" xfId="24180"/>
    <cellStyle name="Åëè­ [_마곡보완_경서실행(견적실)공무팀" xfId="30293"/>
    <cellStyle name="Aee­ [_마곡보완_경서실행(견적실)공무팀 2" xfId="24181"/>
    <cellStyle name="Åëè­ [_마곡보완_경서실행(견적실)공무팀 2" xfId="30294"/>
    <cellStyle name="Aee­ [_마곡보완_경서실행(견적실)공무팀_1" xfId="24182"/>
    <cellStyle name="Åëè­ [_마곡보완_경서실행(견적실)공무팀_1" xfId="30295"/>
    <cellStyle name="Aee­ [_마곡보완_경서실행(견적실)공무팀_1 2" xfId="24183"/>
    <cellStyle name="Åëè­ [_마곡보완_경서실행(견적실)공무팀_1 2" xfId="30296"/>
    <cellStyle name="Aee­ [_마곡보완_경서실행(견적실)공무팀_1_레몬영화egi내역서(13968천원)" xfId="24184"/>
    <cellStyle name="Åëè­ [_마곡보완_경서실행(견적실)공무팀_1_레몬영화egi내역서(13968천원)" xfId="30297"/>
    <cellStyle name="Aee­ [_마곡보완_경서실행(견적실)공무팀_1_레몬영화egi내역서(13968천원) 2" xfId="24185"/>
    <cellStyle name="Åëè­ [_마곡보완_경서실행(견적실)공무팀_1_레몬영화egi내역서(13968천원) 2" xfId="30298"/>
    <cellStyle name="Aee­ [_마곡보완_광주공장 도급내역(변경03.1.07)" xfId="24186"/>
    <cellStyle name="Åëè­ [_마곡보완_광주공장 도급내역(변경03.1.07)" xfId="30299"/>
    <cellStyle name="Aee­ [_마곡보완_광주공장 도급내역(변경03.1.07) 2" xfId="24187"/>
    <cellStyle name="Åëè­ [_마곡보완_광주공장 도급내역(변경03.1.07) 2" xfId="30300"/>
    <cellStyle name="Aee­ [_마곡보완_광주공장 도급내역(변경03.1.21)" xfId="24188"/>
    <cellStyle name="Åëè­ [_마곡보완_광주공장 도급내역(변경03.1.21)" xfId="30301"/>
    <cellStyle name="Aee­ [_마곡보완_광주공장 도급내역(변경03.1.21) 2" xfId="24189"/>
    <cellStyle name="Åëè­ [_마곡보완_광주공장 도급내역(변경03.1.21) 2" xfId="30302"/>
    <cellStyle name="Aee­ [_마곡보완_광주공장(대비1218)" xfId="24190"/>
    <cellStyle name="Åëè­ [_마곡보완_광주공장(대비1218)" xfId="30303"/>
    <cellStyle name="Aee­ [_마곡보완_광주공장(대비1218) 2" xfId="24191"/>
    <cellStyle name="Åëè­ [_마곡보완_광주공장(대비1218) 2" xfId="30304"/>
    <cellStyle name="Aee­ [_마곡보완_기계실행(LFD광주공장.현설용)" xfId="24192"/>
    <cellStyle name="Åëè­ [_마곡보완_기계실행(LFD광주공장.현설용)" xfId="30305"/>
    <cellStyle name="Aee­ [_마곡보완_기계실행(LFD광주공장.현설용) 2" xfId="24193"/>
    <cellStyle name="Åëè­ [_마곡보완_기계실행(LFD광주공장.현설용) 2" xfId="30306"/>
    <cellStyle name="Aee­ [_마곡보완_동명삼화 현장설명(본사지급)" xfId="24194"/>
    <cellStyle name="Åëè­ [_마곡보완_동명삼화 현장설명(본사지급)" xfId="30307"/>
    <cellStyle name="Aee­ [_마곡보완_동명삼화 현장설명(본사지급) 2" xfId="24195"/>
    <cellStyle name="Åëè­ [_마곡보완_동명삼화 현장설명(본사지급) 2" xfId="30308"/>
    <cellStyle name="Aee­ [_마곡보완_동명삼화 현장설명(본사지급)_울산신정동수주검토(2003.01.21에어컨)" xfId="24196"/>
    <cellStyle name="Åëè­ [_마곡보완_동명삼화 현장설명(본사지급)_울산신정동수주검토(2003.01.21에어컨)" xfId="30309"/>
    <cellStyle name="Aee­ [_마곡보완_동명삼화 현장설명(본사지급)_울산신정동수주검토(2003.01.21에어컨) 2" xfId="24197"/>
    <cellStyle name="Åëè­ [_마곡보완_동명삼화 현장설명(본사지급)_울산신정동수주검토(2003.01.21에어컨) 2" xfId="30310"/>
    <cellStyle name="Aee­ [_마곡보완_동명삼화견본주택 기본안" xfId="24198"/>
    <cellStyle name="Åëè­ [_마곡보완_동명삼화견본주택 기본안" xfId="30311"/>
    <cellStyle name="Aee­ [_마곡보완_동명삼화견본주택 기본안 2" xfId="24199"/>
    <cellStyle name="Åëè­ [_마곡보완_동명삼화견본주택 기본안 2" xfId="30312"/>
    <cellStyle name="Aee­ [_마곡보완_동명삼화기계공사 물량집계" xfId="24200"/>
    <cellStyle name="Åëè­ [_마곡보완_동명삼화기계공사 물량집계" xfId="30313"/>
    <cellStyle name="Aee­ [_마곡보완_동명삼화기계공사 물량집계 2" xfId="24201"/>
    <cellStyle name="Åëè­ [_마곡보완_동명삼화기계공사 물량집계 2" xfId="30314"/>
    <cellStyle name="Aee­ [_마곡보완_동명삼화재건축아파트" xfId="24202"/>
    <cellStyle name="Åëè­ [_마곡보완_동명삼화재건축아파트" xfId="30315"/>
    <cellStyle name="Aee­ [_마곡보완_동명삼화재건축아파트 2" xfId="24203"/>
    <cellStyle name="Åëè­ [_마곡보완_동명삼화재건축아파트 2" xfId="30316"/>
    <cellStyle name="Aee­ [_마곡보완_동명실행예산-1" xfId="24204"/>
    <cellStyle name="Åëè­ [_마곡보완_동명실행예산-1" xfId="30317"/>
    <cellStyle name="Aee­ [_마곡보완_동명실행예산-1 2" xfId="24205"/>
    <cellStyle name="Åëè­ [_마곡보완_동명실행예산-1 2" xfId="30318"/>
    <cellStyle name="Aee­ [_마곡보완_롯데동명삼화평당단가비교" xfId="24206"/>
    <cellStyle name="Åëè­ [_마곡보완_롯데동명삼화평당단가비교" xfId="30319"/>
    <cellStyle name="Aee­ [_마곡보완_롯데동명삼화평당단가비교 2" xfId="24207"/>
    <cellStyle name="Åëè­ [_마곡보완_롯데동명삼화평당단가비교 2" xfId="30320"/>
    <cellStyle name="Aee­ [_마곡보완_부산덕천동 기계공사 단가대비표(2002.11.11)" xfId="24208"/>
    <cellStyle name="Åëè­ [_마곡보완_부산덕천동 기계공사 단가대비표(2002.11.11)" xfId="30321"/>
    <cellStyle name="Aee­ [_마곡보완_부산덕천동 기계공사 단가대비표(2002.11.11) 2" xfId="24209"/>
    <cellStyle name="Åëè­ [_마곡보완_부산덕천동 기계공사 단가대비표(2002.11.11) 2" xfId="30322"/>
    <cellStyle name="Aee­ [_마곡보완_부산덕천동롯데아파트(환경ENG)" xfId="24210"/>
    <cellStyle name="Åëè­ [_마곡보완_부산덕천동롯데아파트(환경ENG)" xfId="30323"/>
    <cellStyle name="Aee­ [_마곡보완_부산덕천동롯데아파트(환경ENG) 2" xfId="24211"/>
    <cellStyle name="Åëè­ [_마곡보완_부산덕천동롯데아파트(환경ENG) 2" xfId="30324"/>
    <cellStyle name="Aee­ [_마곡보완_부산덕천동아파트(세경엔지니어링)" xfId="24212"/>
    <cellStyle name="Åëè­ [_마곡보완_부산덕천동아파트(세경엔지니어링)" xfId="30325"/>
    <cellStyle name="Aee­ [_마곡보완_부산덕천동아파트(세경엔지니어링) 2" xfId="24213"/>
    <cellStyle name="Åëè­ [_마곡보완_부산덕천동아파트(세경엔지니어링) 2" xfId="30326"/>
    <cellStyle name="Aee­ [_마곡보완_실행검토_부산덕천" xfId="24214"/>
    <cellStyle name="Åëè­ [_마곡보완_실행검토_부산덕천" xfId="30327"/>
    <cellStyle name="Aee­ [_마곡보완_실행검토_부산덕천 2" xfId="24215"/>
    <cellStyle name="Åëè­ [_마곡보완_실행검토_부산덕천 2" xfId="30328"/>
    <cellStyle name="Aee­ [_마곡보완_아파트 평당단가 비교" xfId="24216"/>
    <cellStyle name="Åëè­ [_마곡보완_아파트 평당단가 비교" xfId="30329"/>
    <cellStyle name="Aee­ [_마곡보완_아파트 평당단가 비교 2" xfId="24217"/>
    <cellStyle name="Åëè­ [_마곡보완_아파트 평당단가 비교 2" xfId="30330"/>
    <cellStyle name="Aee­ [_마곡보완_안양석수점기계(도급내역)1" xfId="24218"/>
    <cellStyle name="Åëè­ [_마곡보완_안양석수점기계(도급내역)1" xfId="30331"/>
    <cellStyle name="Aee­ [_마곡보완_안양석수점기계(도급내역)1 2" xfId="24219"/>
    <cellStyle name="Åëè­ [_마곡보완_안양석수점기계(도급내역)1 2" xfId="30332"/>
    <cellStyle name="Aee­ [_마곡보완_안양석수점기계(도급내역)1_LLC견적및수주원가(설계변경)4차" xfId="24220"/>
    <cellStyle name="Åëè­ [_마곡보완_안양석수점기계(도급내역)1_LLC견적및수주원가(설계변경)4차" xfId="30333"/>
    <cellStyle name="Aee­ [_마곡보완_안양석수점기계(도급내역)1_LLC견적및수주원가(설계변경)4차 2" xfId="24221"/>
    <cellStyle name="Åëè­ [_마곡보완_안양석수점기계(도급내역)1_LLC견적및수주원가(설계변경)4차 2" xfId="30334"/>
    <cellStyle name="Aee­ [_마곡보완_여의도센터빌딩실행원가(020613)-2" xfId="24222"/>
    <cellStyle name="Åëè­ [_마곡보완_여의도센터빌딩실행원가(020613)-2" xfId="30335"/>
    <cellStyle name="Aee­ [_마곡보완_여의도센터빌딩실행원가(020613)-2 2" xfId="24223"/>
    <cellStyle name="Åëè­ [_마곡보완_여의도센터빌딩실행원가(020613)-2 2" xfId="30336"/>
    <cellStyle name="Aee­ [_마곡보완_울산신정동수주검토(2003.01.21에어컨)" xfId="24224"/>
    <cellStyle name="Åëè­ [_마곡보완_울산신정동수주검토(2003.01.21에어컨)" xfId="30337"/>
    <cellStyle name="Aee­ [_마곡보완_울산신정동수주검토(2003.01.21에어컨) 2" xfId="24225"/>
    <cellStyle name="Åëè­ [_마곡보완_울산신정동수주검토(2003.01.21에어컨) 2" xfId="30338"/>
    <cellStyle name="Aee­ [_마곡보완_의왕물류센타(기계도급내역설변1차)" xfId="24226"/>
    <cellStyle name="Åëè­ [_마곡보완_의왕물류센타(기계도급내역설변1차)" xfId="30339"/>
    <cellStyle name="Aee­ [_마곡보완_의왕물류센타(기계도급내역설변1차) 2" xfId="24227"/>
    <cellStyle name="Åëè­ [_마곡보완_의왕물류센타(기계도급내역설변1차) 2" xfId="30340"/>
    <cellStyle name="Aee­ [_마곡보완_의왕물류센타(기계도급내역설변1차)_제과충주영업소견적서" xfId="24228"/>
    <cellStyle name="Åëè­ [_마곡보완_의왕물류센타(기계도급내역설변1차)_제과충주영업소견적서" xfId="30341"/>
    <cellStyle name="Aee­ [_마곡보완_의왕물류센타(기계도급내역설변1차)_제과충주영업소견적서 2" xfId="24229"/>
    <cellStyle name="Åëè­ [_마곡보완_의왕물류센타(기계도급내역설변1차)_제과충주영업소견적서 2" xfId="30342"/>
    <cellStyle name="Aee­ [_마곡보완_제과의왕견적서(020415)" xfId="24230"/>
    <cellStyle name="Åëè­ [_마곡보완_제과의왕견적서(020415)" xfId="30343"/>
    <cellStyle name="Aee­ [_마곡보완_제과의왕견적서(020415) 2" xfId="24231"/>
    <cellStyle name="Åëè­ [_마곡보완_제과의왕견적서(020415) 2" xfId="30344"/>
    <cellStyle name="Aee­ [_마곡보완_제과의왕견적서(020415)_제과충주영업소견적서" xfId="24232"/>
    <cellStyle name="Åëè­ [_마곡보완_제과의왕견적서(020415)_제과충주영업소견적서" xfId="30345"/>
    <cellStyle name="Aee­ [_마곡보완_제과의왕견적서(020415)_제과충주영업소견적서 2" xfId="24233"/>
    <cellStyle name="Åëè­ [_마곡보완_제과의왕견적서(020415)_제과충주영업소견적서 2" xfId="30346"/>
    <cellStyle name="Aee­ [_마곡보완_제과의왕견적서(020429)송부" xfId="24234"/>
    <cellStyle name="Åëè­ [_마곡보완_제과의왕견적서(020429)송부" xfId="30347"/>
    <cellStyle name="Aee­ [_마곡보완_제과의왕견적서(020429)송부 2" xfId="24235"/>
    <cellStyle name="Åëè­ [_마곡보완_제과의왕견적서(020429)송부 2" xfId="30348"/>
    <cellStyle name="Aee­ [_마곡보완_제과의왕견적서(020429)송부_제과충주영업소견적서" xfId="24236"/>
    <cellStyle name="Åëè­ [_마곡보완_제과의왕견적서(020429)송부_제과충주영업소견적서" xfId="30349"/>
    <cellStyle name="Aee­ [_마곡보완_제과의왕견적서(020429)송부_제과충주영업소견적서 2" xfId="24237"/>
    <cellStyle name="Åëè­ [_마곡보완_제과의왕견적서(020429)송부_제과충주영업소견적서 2" xfId="30350"/>
    <cellStyle name="Aee­ [_마곡보완_제과의왕견적서(020513)2차변경NEGO(7550)" xfId="24238"/>
    <cellStyle name="Åëè­ [_마곡보완_제과의왕견적서(020513)2차변경NEGO(7550)" xfId="30351"/>
    <cellStyle name="Aee­ [_마곡보완_제과의왕견적서(020513)2차변경NEGO(7550) 2" xfId="24239"/>
    <cellStyle name="Åëè­ [_마곡보완_제과의왕견적서(020513)2차변경NEGO(7550) 2" xfId="30352"/>
    <cellStyle name="Aee­ [_마곡보완_제과의왕견적서7550(공무)" xfId="24240"/>
    <cellStyle name="Åëè­ [_마곡보완_제과의왕견적서7550(공무)" xfId="30353"/>
    <cellStyle name="Aee­ [_마곡보완_제과의왕견적서7550(공무) 2" xfId="24241"/>
    <cellStyle name="Åëè­ [_마곡보완_제과의왕견적서7550(공무) 2" xfId="30354"/>
    <cellStyle name="Aee­ [_마곡보완_제과의왕견적서7550(공무)_레몬영화egi내역서(13968천원)" xfId="24242"/>
    <cellStyle name="Åëè­ [_마곡보완_제과의왕견적서7550(공무)_레몬영화egi내역서(13968천원)" xfId="30355"/>
    <cellStyle name="Aee­ [_마곡보완_제과의왕견적서7550(공무)_레몬영화egi내역서(13968천원) 2" xfId="24243"/>
    <cellStyle name="Åëè­ [_마곡보완_제과의왕견적서7550(공무)_레몬영화egi내역서(13968천원) 2" xfId="30356"/>
    <cellStyle name="Aee­ [_마곡보완_제과충주영업소견적서" xfId="24244"/>
    <cellStyle name="Åëè­ [_마곡보완_제과충주영업소견적서" xfId="30357"/>
    <cellStyle name="Aee­ [_마곡보완_제과충주영업소견적서 2" xfId="24245"/>
    <cellStyle name="Åëè­ [_마곡보완_제과충주영업소견적서 2" xfId="30358"/>
    <cellStyle name="Aee­ [_마곡보완_충주영업소(기계실행)" xfId="24246"/>
    <cellStyle name="Åëè­ [_마곡보완_충주영업소(기계실행)" xfId="30359"/>
    <cellStyle name="Aee­ [_마곡보완_충주영업소(기계실행) 2" xfId="24247"/>
    <cellStyle name="Åëè­ [_마곡보완_충주영업소(기계실행) 2" xfId="30360"/>
    <cellStyle name="Aee­ [_마곡보완_충주영업소(기계실행)_레몬영화egi내역서(13968천원)" xfId="24248"/>
    <cellStyle name="Åëè­ [_마곡보완_충주영업소(기계실행)_레몬영화egi내역서(13968천원)" xfId="30361"/>
    <cellStyle name="Aee­ [_마곡보완_충주영업소(기계실행)_레몬영화egi내역서(13968천원) 2" xfId="24249"/>
    <cellStyle name="Åëè­ [_마곡보완_충주영업소(기계실행)_레몬영화egi내역서(13968천원) 2" xfId="30362"/>
    <cellStyle name="Aee­ [_마곡보완_현장경비신청안박성남" xfId="24250"/>
    <cellStyle name="Åëè­ [_마곡보완_현장경비신청안박성남" xfId="30363"/>
    <cellStyle name="Aee­ [_마곡보완_현장경비신청안박성남 2" xfId="24251"/>
    <cellStyle name="Åëè­ [_마곡보완_현장경비신청안박성남 2" xfId="30364"/>
    <cellStyle name="Aee­ [_마곡보완_현장설명(가스설비)" xfId="24252"/>
    <cellStyle name="Åëè­ [_마곡보완_현장설명(가스설비)" xfId="30365"/>
    <cellStyle name="Aee­ [_마곡보완_현장설명(가스설비) 2" xfId="24253"/>
    <cellStyle name="Åëè­ [_마곡보완_현장설명(가스설비) 2" xfId="30366"/>
    <cellStyle name="Aee­ [_마곡보완_현장설명(기계설비)" xfId="24254"/>
    <cellStyle name="Åëè­ [_마곡보완_현장설명(기계설비)" xfId="30367"/>
    <cellStyle name="Aee­ [_마곡보완_현장설명(기계설비) 2" xfId="24255"/>
    <cellStyle name="Åëè­ [_마곡보완_현장설명(기계설비) 2" xfId="30368"/>
    <cellStyle name="Aee­ [_부산덕천동 기계공사 단가대비표(2002.11.11)" xfId="24256"/>
    <cellStyle name="Åëè­ [_부산덕천동 기계공사 단가대비표(2002.11.11)" xfId="30369"/>
    <cellStyle name="Aee­ [_부산덕천동 기계공사 단가대비표(2002.11.11) 2" xfId="24257"/>
    <cellStyle name="Åëè­ [_부산덕천동 기계공사 단가대비표(2002.11.11) 2" xfId="30370"/>
    <cellStyle name="Aee­ [_부산덕천동롯데아파트(환경ENG)" xfId="24258"/>
    <cellStyle name="Åëè­ [_부산덕천동롯데아파트(환경ENG)" xfId="30371"/>
    <cellStyle name="Aee­ [_부산덕천동롯데아파트(환경ENG) 2" xfId="24259"/>
    <cellStyle name="Åëè­ [_부산덕천동롯데아파트(환경ENG) 2" xfId="30372"/>
    <cellStyle name="Aee­ [_부산덕천동아파트(세경엔지니어링)" xfId="24260"/>
    <cellStyle name="Åëè­ [_부산덕천동아파트(세경엔지니어링)" xfId="30373"/>
    <cellStyle name="Aee­ [_부산덕천동아파트(세경엔지니어링) 2" xfId="24261"/>
    <cellStyle name="Åëè­ [_부산덕천동아파트(세경엔지니어링) 2" xfId="30374"/>
    <cellStyle name="Aee­ [_실행검토_부산덕천" xfId="24262"/>
    <cellStyle name="Åëè­ [_실행검토_부산덕천" xfId="30375"/>
    <cellStyle name="Aee­ [_실행검토_부산덕천 2" xfId="24263"/>
    <cellStyle name="Åëè­ [_실행검토_부산덕천 2" xfId="30376"/>
    <cellStyle name="Aee­ [_아파트 평당단가 비교" xfId="24264"/>
    <cellStyle name="Åëè­ [_아파트 평당단가 비교" xfId="30377"/>
    <cellStyle name="Aee­ [_아파트 평당단가 비교 2" xfId="24265"/>
    <cellStyle name="Åëè­ [_아파트 평당단가 비교 2" xfId="30378"/>
    <cellStyle name="Aee­ [_안양석수점기계(도급내역)1" xfId="24266"/>
    <cellStyle name="Åëè­ [_안양석수점기계(도급내역)1" xfId="30379"/>
    <cellStyle name="Aee­ [_안양석수점기계(도급내역)1 2" xfId="24267"/>
    <cellStyle name="Åëè­ [_안양석수점기계(도급내역)1 2" xfId="30380"/>
    <cellStyle name="Aee­ [_안양석수점기계(도급내역)1_LLC견적및수주원가(설계변경)4차" xfId="24268"/>
    <cellStyle name="Åëè­ [_안양석수점기계(도급내역)1_LLC견적및수주원가(설계변경)4차" xfId="30381"/>
    <cellStyle name="Aee­ [_안양석수점기계(도급내역)1_LLC견적및수주원가(설계변경)4차 2" xfId="24269"/>
    <cellStyle name="Åëè­ [_안양석수점기계(도급내역)1_LLC견적및수주원가(설계변경)4차 2" xfId="30382"/>
    <cellStyle name="Aee­ [_여의도센터빌딩실행원가(020613)-2" xfId="24270"/>
    <cellStyle name="Åëè­ [_여의도센터빌딩실행원가(020613)-2" xfId="30383"/>
    <cellStyle name="Aee­ [_여의도센터빌딩실행원가(020613)-2 2" xfId="24271"/>
    <cellStyle name="Åëè­ [_여의도센터빌딩실행원가(020613)-2 2" xfId="30384"/>
    <cellStyle name="Aee­ [_울산신정동수주검토(2003.01.21에어컨)" xfId="24272"/>
    <cellStyle name="Åëè­ [_울산신정동수주검토(2003.01.21에어컨)" xfId="30385"/>
    <cellStyle name="Aee­ [_울산신정동수주검토(2003.01.21에어컨) 2" xfId="24273"/>
    <cellStyle name="Åëè­ [_울산신정동수주검토(2003.01.21에어컨) 2" xfId="30386"/>
    <cellStyle name="Aee­ [_의왕물류센타(기계도급내역설변1차)" xfId="24274"/>
    <cellStyle name="Åëè­ [_의왕물류센타(기계도급내역설변1차)" xfId="30387"/>
    <cellStyle name="Aee­ [_의왕물류센타(기계도급내역설변1차) 2" xfId="24275"/>
    <cellStyle name="Åëè­ [_의왕물류센타(기계도급내역설변1차) 2" xfId="30388"/>
    <cellStyle name="Aee­ [_의왕물류센타(기계도급내역설변1차)_제과충주영업소견적서" xfId="24276"/>
    <cellStyle name="Åëè­ [_의왕물류센타(기계도급내역설변1차)_제과충주영업소견적서" xfId="30389"/>
    <cellStyle name="Aee­ [_의왕물류센타(기계도급내역설변1차)_제과충주영업소견적서 2" xfId="24277"/>
    <cellStyle name="Åëè­ [_의왕물류센타(기계도급내역설변1차)_제과충주영업소견적서 2" xfId="30390"/>
    <cellStyle name="Aee­ [_제과의왕견적서(020415)" xfId="24278"/>
    <cellStyle name="Åëè­ [_제과의왕견적서(020415)" xfId="30391"/>
    <cellStyle name="Aee­ [_제과의왕견적서(020415) 2" xfId="24279"/>
    <cellStyle name="Åëè­ [_제과의왕견적서(020415) 2" xfId="30392"/>
    <cellStyle name="Aee­ [_제과의왕견적서(020415)_제과충주영업소견적서" xfId="24280"/>
    <cellStyle name="Åëè­ [_제과의왕견적서(020415)_제과충주영업소견적서" xfId="30393"/>
    <cellStyle name="Aee­ [_제과의왕견적서(020415)_제과충주영업소견적서 2" xfId="24281"/>
    <cellStyle name="Åëè­ [_제과의왕견적서(020415)_제과충주영업소견적서 2" xfId="30394"/>
    <cellStyle name="Aee­ [_제과의왕견적서(020429)송부" xfId="24282"/>
    <cellStyle name="Åëè­ [_제과의왕견적서(020429)송부" xfId="30395"/>
    <cellStyle name="Aee­ [_제과의왕견적서(020429)송부 2" xfId="24283"/>
    <cellStyle name="Åëè­ [_제과의왕견적서(020429)송부 2" xfId="30396"/>
    <cellStyle name="Aee­ [_제과의왕견적서(020429)송부_제과충주영업소견적서" xfId="24284"/>
    <cellStyle name="Åëè­ [_제과의왕견적서(020429)송부_제과충주영업소견적서" xfId="30397"/>
    <cellStyle name="Aee­ [_제과의왕견적서(020429)송부_제과충주영업소견적서 2" xfId="24285"/>
    <cellStyle name="Åëè­ [_제과의왕견적서(020429)송부_제과충주영업소견적서 2" xfId="30398"/>
    <cellStyle name="Aee­ [_제과의왕견적서(020513)2차변경NEGO(7550)" xfId="24286"/>
    <cellStyle name="Åëè­ [_제과의왕견적서(020513)2차변경NEGO(7550)" xfId="30399"/>
    <cellStyle name="Aee­ [_제과의왕견적서(020513)2차변경NEGO(7550) 2" xfId="24287"/>
    <cellStyle name="Åëè­ [_제과의왕견적서(020513)2차변경NEGO(7550) 2" xfId="30400"/>
    <cellStyle name="Aee­ [_제과의왕견적서7550(공무)" xfId="24288"/>
    <cellStyle name="Åëè­ [_제과의왕견적서7550(공무)" xfId="30401"/>
    <cellStyle name="Aee­ [_제과의왕견적서7550(공무) 2" xfId="24289"/>
    <cellStyle name="Åëè­ [_제과의왕견적서7550(공무) 2" xfId="30402"/>
    <cellStyle name="Aee­ [_제과의왕견적서7550(공무)_레몬영화egi내역서(13968천원)" xfId="24290"/>
    <cellStyle name="Åëè­ [_제과의왕견적서7550(공무)_레몬영화egi내역서(13968천원)" xfId="30403"/>
    <cellStyle name="Aee­ [_제과의왕견적서7550(공무)_레몬영화egi내역서(13968천원) 2" xfId="24291"/>
    <cellStyle name="Åëè­ [_제과의왕견적서7550(공무)_레몬영화egi내역서(13968천원) 2" xfId="30404"/>
    <cellStyle name="Aee­ [_제과충주영업소견적서" xfId="24292"/>
    <cellStyle name="Åëè­ [_제과충주영업소견적서" xfId="30405"/>
    <cellStyle name="Aee­ [_제과충주영업소견적서 2" xfId="24293"/>
    <cellStyle name="Åëè­ [_제과충주영업소견적서 2" xfId="30406"/>
    <cellStyle name="Aee­ [_충주영업소(기계실행)" xfId="24294"/>
    <cellStyle name="Åëè­ [_충주영업소(기계실행)" xfId="30407"/>
    <cellStyle name="Aee­ [_충주영업소(기계실행) 2" xfId="24295"/>
    <cellStyle name="Åëè­ [_충주영업소(기계실행) 2" xfId="30408"/>
    <cellStyle name="Aee­ [_충주영업소(기계실행)_레몬영화egi내역서(13968천원)" xfId="24296"/>
    <cellStyle name="Åëè­ [_충주영업소(기계실행)_레몬영화egi내역서(13968천원)" xfId="30409"/>
    <cellStyle name="Aee­ [_충주영업소(기계실행)_레몬영화egi내역서(13968천원) 2" xfId="24297"/>
    <cellStyle name="Åëè­ [_충주영업소(기계실행)_레몬영화egi내역서(13968천원) 2" xfId="30410"/>
    <cellStyle name="Aee­ [_현장경비신청안박성남" xfId="24298"/>
    <cellStyle name="Åëè­ [_현장경비신청안박성남" xfId="30411"/>
    <cellStyle name="Aee­ [_현장경비신청안박성남 2" xfId="24299"/>
    <cellStyle name="Åëè­ [_현장경비신청안박성남 2" xfId="30412"/>
    <cellStyle name="Aee­ [_현장설명(가스설비)" xfId="24300"/>
    <cellStyle name="Åëè­ [_현장설명(가스설비)" xfId="30413"/>
    <cellStyle name="Aee­ [_현장설명(가스설비) 2" xfId="24301"/>
    <cellStyle name="Åëè­ [_현장설명(가스설비) 2" xfId="30414"/>
    <cellStyle name="Aee­ [_현장설명(기계설비)" xfId="24302"/>
    <cellStyle name="Åëè­ [_현장설명(기계설비)" xfId="30415"/>
    <cellStyle name="Aee­ [_현장설명(기계설비) 2" xfId="24303"/>
    <cellStyle name="Åëè­ [_현장설명(기계설비) 2" xfId="30416"/>
    <cellStyle name="Aee­ [0]" xfId="23926"/>
    <cellStyle name="Aee­ [0] 2" xfId="23927"/>
    <cellStyle name="ÅëÈ­ [0]_¡Ú¾ÈÜ¬ Á¾ÇÕºñ±³ " xfId="30022"/>
    <cellStyle name="AeE­ [0]_´eAN°yC￥ " xfId="23941"/>
    <cellStyle name="ÅëÈ­ [0]_¸ðÇü¸·" xfId="30024"/>
    <cellStyle name="AeE­ [0]_¿­¸° INT" xfId="23949"/>
    <cellStyle name="ÅëÈ­ [0]_±â°è¼³ºñ-ÀÏÀ§¸ñ·Ï " xfId="30023"/>
    <cellStyle name="AeE­ [0]_°eE¹_11¿a½A " xfId="23940"/>
    <cellStyle name="ÅëÈ­ [0]_¼öÀÍ¼º " xfId="30026"/>
    <cellStyle name="AeE­ [0]_½A°￡°eE¹1 " xfId="23944"/>
    <cellStyle name="ÅëÈ­ [0]_½Ã°£°èÈ¹1 " xfId="30027"/>
    <cellStyle name="AeE­ [0]_½A°￡°eE¹1  2" xfId="23945"/>
    <cellStyle name="ÅëÈ­ [0]_½Ã°£°èÈ¹1  2" xfId="30028"/>
    <cellStyle name="AeE­ [0]_¾÷A¾º° " xfId="23947"/>
    <cellStyle name="ÅëÈ­ [0]_¾÷Á¾º° " xfId="30029"/>
    <cellStyle name="AeE­ [0]_¾÷A¾º°  2" xfId="23948"/>
    <cellStyle name="ÅëÈ­ [0]_¾÷Á¾º°  2" xfId="30030"/>
    <cellStyle name="AeE­ [0]_¾c½A " xfId="23946"/>
    <cellStyle name="ÅëÈ­ [0]_10¿ù2ÁÖ " xfId="30016"/>
    <cellStyle name="AeE­ [0]_¹y¸eº¸E￡ " xfId="23942"/>
    <cellStyle name="ÅëÈ­ [0]_2000¼ÕÈ® " xfId="30017"/>
    <cellStyle name="AeE­ [0]_A|A¶1ºI1°u CoE² " xfId="23929"/>
    <cellStyle name="ÅëÈ­ [0]_Á¦Á¶1ºÎ1°ú ÇöÈ² " xfId="30031"/>
    <cellStyle name="AeE­ [0]_A¾CO½A¼³ " xfId="23932"/>
    <cellStyle name="ÅëÈ­ [0]_Á¾ÇÕ½Å¼³ " xfId="30032"/>
    <cellStyle name="AeE­ [0]_A¾CO½A¼³  2" xfId="23933"/>
    <cellStyle name="ÅëÈ­ [0]_Á¾ÇÕ½Å¼³  2" xfId="30033"/>
    <cellStyle name="AeE­ [0]_A¾COA¶°AºÐ " xfId="23930"/>
    <cellStyle name="ÅëÈ­ [0]_Á¾ÇÕÃ¶°ÅºÐ " xfId="30034"/>
    <cellStyle name="AeE­ [0]_A¾COA¶°AºÐ  2" xfId="23931"/>
    <cellStyle name="ÅëÈ­ [0]_Á¾ÇÕÃ¶°ÅºÐ  2" xfId="30035"/>
    <cellStyle name="AeE­ [0]_AMT " xfId="23928"/>
    <cellStyle name="ÅëÈ­ [0]_ÅõÀÚÁý°èÇ¥ " xfId="30036"/>
    <cellStyle name="AeE­ [0]_C￥Ao_AoAUAy°eC￥ " xfId="23934"/>
    <cellStyle name="ÅëÈ­ [0]_Ç¥Áö_ÅõÀÚÁý°èÇ¥ " xfId="30037"/>
    <cellStyle name="AeE­ [0]_C￥Ao_AoAUAy°eC￥  2" xfId="23935"/>
    <cellStyle name="ÅëÈ­ [0]_Ç¥Áö_ÅõÀÚÁý°èÇ¥  2" xfId="30038"/>
    <cellStyle name="AeE­ [0]_INQUIRY ¿μ¾÷AßAø " xfId="23936"/>
    <cellStyle name="ÅëÈ­ [0]_laroux" xfId="30018"/>
    <cellStyle name="AeE­ [0]_º≫¼± ±æ¾i±uºI ¼o·R Ay°eC￥ " xfId="23943"/>
    <cellStyle name="ÅëÈ­ [0]_ºÙÀÓ2-1 " xfId="30025"/>
    <cellStyle name="AeE­ [0]_PERSONAL" xfId="23937"/>
    <cellStyle name="ÅëÈ­ [0]_T-100 ÀÏ¹ÝÁö¿ª TIMING " xfId="30019"/>
    <cellStyle name="AeE­ [0]_V10 VARIATION MODEL SOP TIMING " xfId="23938"/>
    <cellStyle name="ÅëÈ­ [0]_V10 VARIATION MODEL SOP TIMING " xfId="30020"/>
    <cellStyle name="AeE­ [0]_V10 VARIATION MODEL SOP TIMING  2" xfId="23939"/>
    <cellStyle name="ÅëÈ­ [0]_V10 VARIATION MODEL SOP TIMING  2" xfId="30021"/>
    <cellStyle name="Aee­ _021029여천여수실행" xfId="24304"/>
    <cellStyle name="Aee­ 2" xfId="23921"/>
    <cellStyle name="AeE?[0]_97 ?? " xfId="23856"/>
    <cellStyle name="AeE?97 ?? " xfId="23848"/>
    <cellStyle name="AeE?97 ??  2" xfId="23849"/>
    <cellStyle name="AeE?97?a?u? " xfId="23850"/>
    <cellStyle name="AeE?97?a?u?  2" xfId="23851"/>
    <cellStyle name="AeE?97Ae?A? " xfId="23852"/>
    <cellStyle name="AeE?97Ae?A?  2" xfId="23853"/>
    <cellStyle name="AeE?98Ae?A? " xfId="23854"/>
    <cellStyle name="AeE?98Ae?A?  2" xfId="23855"/>
    <cellStyle name="AeE?AoAUAy캿C? " xfId="23857"/>
    <cellStyle name="AeE?AoAUAy캿C?  2" xfId="23858"/>
    <cellStyle name="AeE?C?Ao_AoAUAy캿C? " xfId="23859"/>
    <cellStyle name="AeE?CASH FLOW " xfId="23860"/>
    <cellStyle name="AeE?CASH FLOW  2" xfId="23861"/>
    <cellStyle name="AeE­_  A¾  CO  " xfId="24305"/>
    <cellStyle name="ÅëÈ­_¸ðÇü¸·" xfId="30046"/>
    <cellStyle name="AeE­_¿­¸° INT" xfId="24323"/>
    <cellStyle name="ÅëÈ­_±â°è¼³ºñ-ÀÏÀ§¸ñ·Ï " xfId="30045"/>
    <cellStyle name="AeE­_≫c¾÷ºI ´ⓒ°e(¾i) " xfId="24324"/>
    <cellStyle name="ÅëÈ­_¼öÀÍ¼º " xfId="30048"/>
    <cellStyle name="AeE­_½A°￡°eE¹1 " xfId="24318"/>
    <cellStyle name="ÅëÈ­_½Ã°£°èÈ¹1 " xfId="30049"/>
    <cellStyle name="AeE­_½A°￡°eE¹1  2" xfId="24319"/>
    <cellStyle name="ÅëÈ­_½Ã°£°èÈ¹1  2" xfId="30050"/>
    <cellStyle name="AeE­_¾÷A¾º° " xfId="24321"/>
    <cellStyle name="ÅëÈ­_¾÷Á¾º° " xfId="30051"/>
    <cellStyle name="AeE­_¾÷A¾º°  2" xfId="24322"/>
    <cellStyle name="ÅëÈ­_¾÷Á¾º°  2" xfId="30052"/>
    <cellStyle name="AeE­_¾c½A " xfId="24320"/>
    <cellStyle name="ÅëÈ­_10¿ù2ÁÖ " xfId="30039"/>
    <cellStyle name="AeE­_¹y¸eº¸E￡ " xfId="24316"/>
    <cellStyle name="ÅëÈ­_2000¼ÕÈ® " xfId="30040"/>
    <cellStyle name="AeE­_A|A¶1ºI1°u CoE² " xfId="24307"/>
    <cellStyle name="ÅëÈ­_Á¦Á¶1ºÎ1°ú ÇöÈ² " xfId="30053"/>
    <cellStyle name="AeE­_A¾CO½A¼³ " xfId="24310"/>
    <cellStyle name="ÅëÈ­_Á¾ÇÕ½Å¼³ " xfId="30054"/>
    <cellStyle name="AeE­_A¾CO½A¼³  2" xfId="24311"/>
    <cellStyle name="ÅëÈ­_Á¾ÇÕ½Å¼³  2" xfId="30055"/>
    <cellStyle name="AeE­_A¾COA¶°AºÐ " xfId="24308"/>
    <cellStyle name="ÅëÈ­_Á¾ÇÕÃ¶°ÅºÐ " xfId="30056"/>
    <cellStyle name="AeE­_A¾COA¶°AºÐ  2" xfId="24309"/>
    <cellStyle name="ÅëÈ­_Á¾ÇÕÃ¶°ÅºÐ  2" xfId="30057"/>
    <cellStyle name="AeE­_AMT " xfId="24306"/>
    <cellStyle name="ÅëÈ­_Ç¥Áö_ÅõÀÚÁý°èÇ¥ " xfId="30058"/>
    <cellStyle name="AeE­_INQUIRY ¿μ¾÷AßAø " xfId="24312"/>
    <cellStyle name="ÅëÈ­_laroux" xfId="30041"/>
    <cellStyle name="AeE­_º≫¼± ±æ¾i±uºI ¼o·R Ay°eC￥ " xfId="24317"/>
    <cellStyle name="ÅëÈ­_ºÙÀÓ2-1 " xfId="30047"/>
    <cellStyle name="AeE­_PERSONAL" xfId="24313"/>
    <cellStyle name="ÅëÈ­_T-100 ÀÏ¹ÝÁö¿ª TIMING " xfId="30042"/>
    <cellStyle name="AeE­_V10 VARIATION MODEL SOP TIMING " xfId="24314"/>
    <cellStyle name="ÅëÈ­_V10 VARIATION MODEL SOP TIMING " xfId="30043"/>
    <cellStyle name="AeE­_V10 VARIATION MODEL SOP TIMING  2" xfId="24315"/>
    <cellStyle name="ÅëÈ­_V10 VARIATION MODEL SOP TIMING  2" xfId="30044"/>
    <cellStyle name="Aee¡" xfId="23862"/>
    <cellStyle name="Aee¡ 2" xfId="23863"/>
    <cellStyle name="Aee¡? " xfId="23864"/>
    <cellStyle name="Aee¡?  2" xfId="23865"/>
    <cellStyle name="AeE¡? [0]_INQUIRY ????¨?¡?A??A?ª " xfId="23866"/>
    <cellStyle name="AeE¡?_INQUIRY ????¨?¡?A??A?ª " xfId="23867"/>
    <cellStyle name="Aee¡© " xfId="23870"/>
    <cellStyle name="Aee¡©  2" xfId="23871"/>
    <cellStyle name="AeE¡© [0]_¨úc¨öA " xfId="23872"/>
    <cellStyle name="AeE¡©_¨úc¨öA " xfId="23873"/>
    <cellStyle name="Aee¡ⓒ " xfId="23874"/>
    <cellStyle name="Aee¡ⓒ  2" xfId="23875"/>
    <cellStyle name="AeE¡ⓒ [0]_ ¨￢n￠￢n¨￢¡Æ ￠?u¨￢¡Æ¡¾a¨uu " xfId="23876"/>
    <cellStyle name="AeE¡ⓒ_ ¨￢n￠￢n¨￢¡Æ ￠?u¨￢¡Æ¡¾a¨uu " xfId="23877"/>
    <cellStyle name="AeE¡ER¡§I [0]_INQUIRY ￠RE?￠RIi￠R¡×u¡ERAA¡§I￠Rⓒ­A¡§I¡§¡I " xfId="23868"/>
    <cellStyle name="AeE¡ER¡§I_INQUIRY ￠RE?￠RIi￠R¡×u¡ERAA¡§I￠Rⓒ­A¡§I¡§¡I " xfId="23869"/>
    <cellStyle name="AeE￠R¨I [0]_¡§uc¡§oA " xfId="24325"/>
    <cellStyle name="AeE￠R¨I_¡§uc¡§oA " xfId="24326"/>
    <cellStyle name="Æu¼ " xfId="30417"/>
    <cellStyle name="Æu¼  2" xfId="30418"/>
    <cellStyle name="Æu¼  2 2" xfId="30419"/>
    <cellStyle name="Æu¼  3" xfId="30420"/>
    <cellStyle name="Æu¼  3 2" xfId="30421"/>
    <cellStyle name="Æu¼  4" xfId="30422"/>
    <cellStyle name="Æu¼  4 2" xfId="30423"/>
    <cellStyle name="Æu¼  5" xfId="30424"/>
    <cellStyle name="Æu¼  5 2" xfId="30425"/>
    <cellStyle name="Æu¼  6" xfId="30426"/>
    <cellStyle name="Æu¼  6 2" xfId="30427"/>
    <cellStyle name="Æu¼  7" xfId="30428"/>
    <cellStyle name="Æu¼  7 2" xfId="30429"/>
    <cellStyle name="Æû¼¾æ®" xfId="30452"/>
    <cellStyle name="ÆÛ¼¾Æ® 10" xfId="30432"/>
    <cellStyle name="ÆÛ¼¾Æ® 10 2" xfId="30433"/>
    <cellStyle name="ÆÛ¼¾Æ® 11" xfId="30434"/>
    <cellStyle name="ÆÛ¼¾Æ® 11 2" xfId="30435"/>
    <cellStyle name="Æû¼¾æ® 12" xfId="30453"/>
    <cellStyle name="Æû¼¾æ® 12 2" xfId="30454"/>
    <cellStyle name="Æû¼¾æ® 13" xfId="30455"/>
    <cellStyle name="ÆÛ¼¾Æ® 2" xfId="30436"/>
    <cellStyle name="ÆÛ¼¾Æ® 2 2" xfId="30437"/>
    <cellStyle name="ÆÛ¼¾Æ® 3" xfId="30438"/>
    <cellStyle name="ÆÛ¼¾Æ® 3 2" xfId="30439"/>
    <cellStyle name="ÆÛ¼¾Æ® 4" xfId="30440"/>
    <cellStyle name="ÆÛ¼¾Æ® 4 2" xfId="30441"/>
    <cellStyle name="ÆÛ¼¾Æ® 5" xfId="30442"/>
    <cellStyle name="ÆÛ¼¾Æ® 5 2" xfId="30443"/>
    <cellStyle name="ÆÛ¼¾Æ® 6" xfId="30444"/>
    <cellStyle name="ÆÛ¼¾Æ® 6 2" xfId="30445"/>
    <cellStyle name="ÆÛ¼¾Æ® 7" xfId="30446"/>
    <cellStyle name="ÆÛ¼¾Æ® 7 2" xfId="30447"/>
    <cellStyle name="ÆÛ¼¾Æ® 8" xfId="30448"/>
    <cellStyle name="ÆÛ¼¾Æ® 8 2" xfId="30449"/>
    <cellStyle name="ÆÛ¼¾Æ® 9" xfId="30450"/>
    <cellStyle name="ÆÛ¼¾Æ® 9 2" xfId="30451"/>
    <cellStyle name="Æu¼¾æR" xfId="30430"/>
    <cellStyle name="Æu¼¾æR 2" xfId="30431"/>
    <cellStyle name="Afrundet valuta_PLDT" xfId="24327"/>
    <cellStyle name="ALIGNMENT" xfId="24328"/>
    <cellStyle name="ALIGNMENT 2" xfId="24329"/>
    <cellStyle name="AoA¤μCAo ¾EA½" xfId="24330"/>
    <cellStyle name="AoA¤μCAo ¾EA½ 2" xfId="24331"/>
    <cellStyle name="a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십시오.Mic" xfId="24332"/>
    <cellStyle name="args.style" xfId="24333"/>
    <cellStyle name="args.style 2" xfId="24334"/>
    <cellStyle name="arial12" xfId="24335"/>
    <cellStyle name="arial12 2" xfId="24336"/>
    <cellStyle name="arial14" xfId="24337"/>
    <cellStyle name="arial14 2" xfId="24338"/>
    <cellStyle name="Aþ" xfId="24432"/>
    <cellStyle name="Äþ" xfId="28942"/>
    <cellStyle name="Aþ 2" xfId="24433"/>
    <cellStyle name="Äþ 2" xfId="28943"/>
    <cellStyle name="Aþ 2 2" xfId="24434"/>
    <cellStyle name="Äþ 2 2" xfId="28944"/>
    <cellStyle name="Aþ 3" xfId="24435"/>
    <cellStyle name="Äþ 3" xfId="28945"/>
    <cellStyle name="Aþ_Lemon 수원영화점 기계도급내역(최종보고)" xfId="24436"/>
    <cellStyle name="Äþ_Lemon 수원영화점 기계도급내역(최종보고)" xfId="28946"/>
    <cellStyle name="Aþ_Lemon 수원영화점 기계도급내역(최종보고) 2" xfId="24437"/>
    <cellStyle name="Äþ_Lemon 수원영화점 기계도급내역(최종보고) 2" xfId="28947"/>
    <cellStyle name="Aþ_Lemon 수원영화점(기계공사)" xfId="24438"/>
    <cellStyle name="Äþ_Lemon 수원영화점(기계공사)" xfId="28948"/>
    <cellStyle name="Aþ_Lemon 수원영화점(기계공사) 2" xfId="24439"/>
    <cellStyle name="Äþ_Lemon 수원영화점(기계공사) 2" xfId="28949"/>
    <cellStyle name="Aþ_LFD부산실행예산(020219)건축" xfId="24440"/>
    <cellStyle name="Äþ_LFD부산실행예산(020219)건축" xfId="28950"/>
    <cellStyle name="Aþ_LFD부산실행예산(020219)건축 2" xfId="24441"/>
    <cellStyle name="Äþ_LFD부산실행예산(020219)건축 2" xfId="28951"/>
    <cellStyle name="Aþ_LFD부산실행예산(020219)건축_경서실행(견적실)공무팀" xfId="24442"/>
    <cellStyle name="Äþ_LFD부산실행예산(020219)건축_경서실행(견적실)공무팀" xfId="28952"/>
    <cellStyle name="Aþ_LFD부산실행예산(020219)건축_경서실행(견적실)공무팀 2" xfId="24443"/>
    <cellStyle name="Äþ_LFD부산실행예산(020219)건축_경서실행(견적실)공무팀 2" xfId="28953"/>
    <cellStyle name="Aþ_LFD부산실행예산(020219)건축_골조공사견적가분석-1" xfId="24444"/>
    <cellStyle name="Äþ_LFD부산실행예산(020219)건축_골조공사견적가분석-1" xfId="28954"/>
    <cellStyle name="Aþ_LFD부산실행예산(020219)건축_골조공사견적가분석-1 2" xfId="24445"/>
    <cellStyle name="Äþ_LFD부산실행예산(020219)건축_골조공사견적가분석-1 2" xfId="28955"/>
    <cellStyle name="Aþ_LFD부산실행예산(020219)건축_골조공사공내역(송부)" xfId="24446"/>
    <cellStyle name="Äþ_LFD부산실행예산(020219)건축_골조공사공내역(송부)" xfId="28956"/>
    <cellStyle name="Aþ_LFD부산실행예산(020219)건축_골조공사공내역(송부) 2" xfId="24447"/>
    <cellStyle name="Äþ_LFD부산실행예산(020219)건축_골조공사공내역(송부) 2" xfId="28957"/>
    <cellStyle name="Aþ_LFD부산실행예산(020219)건축_골조공사공내역(장)" xfId="24448"/>
    <cellStyle name="Äþ_LFD부산실행예산(020219)건축_골조공사공내역(장)" xfId="28958"/>
    <cellStyle name="Aþ_LFD부산실행예산(020219)건축_골조공사공내역(장) 2" xfId="24449"/>
    <cellStyle name="Äþ_LFD부산실행예산(020219)건축_골조공사공내역(장) 2" xfId="28959"/>
    <cellStyle name="Aþ_LFD부산실행예산(020219)건축_골조공사실행예산품의" xfId="24450"/>
    <cellStyle name="Äþ_LFD부산실행예산(020219)건축_골조공사실행예산품의" xfId="28960"/>
    <cellStyle name="Aþ_LFD부산실행예산(020219)건축_골조공사실행예산품의 2" xfId="24451"/>
    <cellStyle name="Äþ_LFD부산실행예산(020219)건축_골조공사실행예산품의 2" xfId="28961"/>
    <cellStyle name="Aþ_LFD부산실행예산(020219)건축_동명2차실행예산(기초DATA)" xfId="24452"/>
    <cellStyle name="Äþ_LFD부산실행예산(020219)건축_동명2차실행예산(기초DATA)" xfId="28962"/>
    <cellStyle name="Aþ_LFD부산실행예산(020219)건축_동명2차실행예산(기초DATA) 2" xfId="24453"/>
    <cellStyle name="Äþ_LFD부산실행예산(020219)건축_동명2차실행예산(기초DATA) 2" xfId="28963"/>
    <cellStyle name="Aþ_LFD부산실행예산(020219)건축_동명본실행(수정)" xfId="24454"/>
    <cellStyle name="Äþ_LFD부산실행예산(020219)건축_동명본실행(수정)" xfId="28964"/>
    <cellStyle name="Aþ_LFD부산실행예산(020219)건축_동명본실행(수정) 2" xfId="24455"/>
    <cellStyle name="Äþ_LFD부산실행예산(020219)건축_동명본실행(수정) 2" xfId="28965"/>
    <cellStyle name="Aþ_LFD부산실행예산(020219)건축_동명삼화견본주택 기본안" xfId="24456"/>
    <cellStyle name="Äþ_LFD부산실행예산(020219)건축_동명삼화견본주택 기본안" xfId="28966"/>
    <cellStyle name="Aþ_LFD부산실행예산(020219)건축_동명삼화견본주택 기본안 2" xfId="24457"/>
    <cellStyle name="Äþ_LFD부산실행예산(020219)건축_동명삼화견본주택 기본안 2" xfId="28967"/>
    <cellStyle name="Aþ_LFD부산실행예산(020219)건축_부산덕천2차실행예산(기초DATA)" xfId="24458"/>
    <cellStyle name="Äþ_LFD부산실행예산(020219)건축_부산덕천2차실행예산(기초DATA)" xfId="28968"/>
    <cellStyle name="Aþ_LFD부산실행예산(020219)건축_부산덕천2차실행예산(기초DATA) 2" xfId="24459"/>
    <cellStyle name="Äþ_LFD부산실행예산(020219)건축_부산덕천2차실행예산(기초DATA) 2" xfId="28969"/>
    <cellStyle name="Aþ_LFD부산실행예산(020219)건축_부산덕천2차실행예산(기초DATA건설조정)" xfId="24460"/>
    <cellStyle name="Äþ_LFD부산실행예산(020219)건축_부산덕천2차실행예산(기초DATA건설조정)" xfId="28970"/>
    <cellStyle name="Aþ_LFD부산실행예산(020219)건축_부산덕천2차실행예산(기초DATA건설조정) 2" xfId="24461"/>
    <cellStyle name="Äþ_LFD부산실행예산(020219)건축_부산덕천2차실행예산(기초DATA건설조정) 2" xfId="28971"/>
    <cellStyle name="Aþ_LFD부산실행예산(020219)건축_부산덕천2차실행예산(기초DATA승인용)" xfId="24462"/>
    <cellStyle name="Äþ_LFD부산실행예산(020219)건축_부산덕천2차실행예산(기초DATA승인용)" xfId="28972"/>
    <cellStyle name="Aþ_LFD부산실행예산(020219)건축_부산덕천2차실행예산(기초DATA승인용) 2" xfId="24463"/>
    <cellStyle name="Äþ_LFD부산실행예산(020219)건축_부산덕천2차실행예산(기초DATA승인용) 2" xfId="28973"/>
    <cellStyle name="Aþ_LFD부산실행예산(020219)건축_부산덕천2차실행예산(기초DATA현장협의후)" xfId="24464"/>
    <cellStyle name="Äþ_LFD부산실행예산(020219)건축_부산덕천2차실행예산(기초DATA현장협의후)" xfId="28974"/>
    <cellStyle name="Aþ_LFD부산실행예산(020219)건축_부산덕천2차실행예산(기초DATA현장협의후) 2" xfId="24465"/>
    <cellStyle name="Äþ_LFD부산실행예산(020219)건축_부산덕천2차실행예산(기초DATA현장협의후) 2" xfId="28975"/>
    <cellStyle name="Aþ_LFD부산실행예산(020219)건축_실행검토_부산덕천" xfId="24466"/>
    <cellStyle name="Äþ_LFD부산실행예산(020219)건축_실행검토_부산덕천" xfId="28976"/>
    <cellStyle name="Aþ_LFD부산실행예산(020219)건축_실행검토_부산덕천 2" xfId="24467"/>
    <cellStyle name="Äþ_LFD부산실행예산(020219)건축_실행검토_부산덕천 2" xfId="28977"/>
    <cellStyle name="Aþ_LFD부산실행예산(020219)건축_여의도센터빌딩실행원가(020613)-2" xfId="24468"/>
    <cellStyle name="Äþ_LFD부산실행예산(020219)건축_여의도센터빌딩실행원가(020613)-2" xfId="28978"/>
    <cellStyle name="Aþ_LFD부산실행예산(020219)건축_여의도센터빌딩실행원가(020613)-2 2" xfId="24469"/>
    <cellStyle name="Äþ_LFD부산실행예산(020219)건축_여의도센터빌딩실행원가(020613)-2 2" xfId="28979"/>
    <cellStyle name="Aþ_LFD부산실행예산(020219)건축_제과충주영업소견적서" xfId="24470"/>
    <cellStyle name="Äþ_LFD부산실행예산(020219)건축_제과충주영업소견적서" xfId="28980"/>
    <cellStyle name="Aþ_LFD부산실행예산(020219)건축_제과충주영업소견적서 2" xfId="24471"/>
    <cellStyle name="Äþ_LFD부산실행예산(020219)건축_제과충주영업소견적서 2" xfId="28981"/>
    <cellStyle name="Aþ_LFD부산실행예산(020219)건축_현장경비신청안박성남" xfId="24472"/>
    <cellStyle name="Äþ_LFD부산실행예산(020219)건축_현장경비신청안박성남" xfId="28982"/>
    <cellStyle name="Aþ_LFD부산실행예산(020219)건축_현장경비신청안박성남 2" xfId="24473"/>
    <cellStyle name="Äþ_LFD부산실행예산(020219)건축_현장경비신청안박성남 2" xfId="28983"/>
    <cellStyle name="Aþ_LFD부산실행예산(020305)건축" xfId="24474"/>
    <cellStyle name="Äþ_LFD부산실행예산(020305)건축" xfId="28984"/>
    <cellStyle name="Aþ_LFD부산실행예산(020305)건축 2" xfId="24475"/>
    <cellStyle name="Äþ_LFD부산실행예산(020305)건축 2" xfId="28985"/>
    <cellStyle name="Aþ_LFD부산실행예산(020305)건축_경서실행(견적실)공무팀" xfId="24476"/>
    <cellStyle name="Äþ_LFD부산실행예산(020305)건축_경서실행(견적실)공무팀" xfId="28986"/>
    <cellStyle name="Aþ_LFD부산실행예산(020305)건축_경서실행(견적실)공무팀 2" xfId="24477"/>
    <cellStyle name="Äþ_LFD부산실행예산(020305)건축_경서실행(견적실)공무팀 2" xfId="28987"/>
    <cellStyle name="Aþ_LFD부산실행예산(020305)건축_골조공사견적가분석-1" xfId="24478"/>
    <cellStyle name="Äþ_LFD부산실행예산(020305)건축_골조공사견적가분석-1" xfId="28988"/>
    <cellStyle name="Aþ_LFD부산실행예산(020305)건축_골조공사견적가분석-1 2" xfId="24479"/>
    <cellStyle name="Äþ_LFD부산실행예산(020305)건축_골조공사견적가분석-1 2" xfId="28989"/>
    <cellStyle name="Aþ_LFD부산실행예산(020305)건축_골조공사공내역(송부)" xfId="24480"/>
    <cellStyle name="Äþ_LFD부산실행예산(020305)건축_골조공사공내역(송부)" xfId="28990"/>
    <cellStyle name="Aþ_LFD부산실행예산(020305)건축_골조공사공내역(송부) 2" xfId="24481"/>
    <cellStyle name="Äþ_LFD부산실행예산(020305)건축_골조공사공내역(송부) 2" xfId="28991"/>
    <cellStyle name="Aþ_LFD부산실행예산(020305)건축_골조공사공내역(장)" xfId="24482"/>
    <cellStyle name="Äþ_LFD부산실행예산(020305)건축_골조공사공내역(장)" xfId="28992"/>
    <cellStyle name="Aþ_LFD부산실행예산(020305)건축_골조공사공내역(장) 2" xfId="24483"/>
    <cellStyle name="Äþ_LFD부산실행예산(020305)건축_골조공사공내역(장) 2" xfId="28993"/>
    <cellStyle name="Aþ_LFD부산실행예산(020305)건축_골조공사실행예산품의" xfId="24484"/>
    <cellStyle name="Äþ_LFD부산실행예산(020305)건축_골조공사실행예산품의" xfId="28994"/>
    <cellStyle name="Aþ_LFD부산실행예산(020305)건축_골조공사실행예산품의 2" xfId="24485"/>
    <cellStyle name="Äþ_LFD부산실행예산(020305)건축_골조공사실행예산품의 2" xfId="28995"/>
    <cellStyle name="Aþ_LFD부산실행예산(020305)건축_동명2차실행예산(기초DATA)" xfId="24486"/>
    <cellStyle name="Äþ_LFD부산실행예산(020305)건축_동명2차실행예산(기초DATA)" xfId="28996"/>
    <cellStyle name="Aþ_LFD부산실행예산(020305)건축_동명2차실행예산(기초DATA) 2" xfId="24487"/>
    <cellStyle name="Äþ_LFD부산실행예산(020305)건축_동명2차실행예산(기초DATA) 2" xfId="28997"/>
    <cellStyle name="Aþ_LFD부산실행예산(020305)건축_동명본실행(수정)" xfId="24488"/>
    <cellStyle name="Äþ_LFD부산실행예산(020305)건축_동명본실행(수정)" xfId="28998"/>
    <cellStyle name="Aþ_LFD부산실행예산(020305)건축_동명본실행(수정) 2" xfId="24489"/>
    <cellStyle name="Äþ_LFD부산실행예산(020305)건축_동명본실행(수정) 2" xfId="28999"/>
    <cellStyle name="Aþ_LFD부산실행예산(020305)건축_부산덕천2차실행예산(기초DATA)" xfId="24490"/>
    <cellStyle name="Äþ_LFD부산실행예산(020305)건축_부산덕천2차실행예산(기초DATA)" xfId="29000"/>
    <cellStyle name="Aþ_LFD부산실행예산(020305)건축_부산덕천2차실행예산(기초DATA) 2" xfId="24491"/>
    <cellStyle name="Äþ_LFD부산실행예산(020305)건축_부산덕천2차실행예산(기초DATA) 2" xfId="29001"/>
    <cellStyle name="Aþ_LFD부산실행예산(020305)건축_부산덕천2차실행예산(기초DATA건설조정)" xfId="24492"/>
    <cellStyle name="Äþ_LFD부산실행예산(020305)건축_부산덕천2차실행예산(기초DATA건설조정)" xfId="29002"/>
    <cellStyle name="Aþ_LFD부산실행예산(020305)건축_부산덕천2차실행예산(기초DATA건설조정) 2" xfId="24493"/>
    <cellStyle name="Äþ_LFD부산실행예산(020305)건축_부산덕천2차실행예산(기초DATA건설조정) 2" xfId="29003"/>
    <cellStyle name="Aþ_LFD부산실행예산(020305)건축_부산덕천2차실행예산(기초DATA승인용)" xfId="24494"/>
    <cellStyle name="Äþ_LFD부산실행예산(020305)건축_부산덕천2차실행예산(기초DATA승인용)" xfId="29004"/>
    <cellStyle name="Aþ_LFD부산실행예산(020305)건축_부산덕천2차실행예산(기초DATA승인용) 2" xfId="24495"/>
    <cellStyle name="Äþ_LFD부산실행예산(020305)건축_부산덕천2차실행예산(기초DATA승인용) 2" xfId="29005"/>
    <cellStyle name="Aþ_LFD부산실행예산(020305)건축_부산덕천2차실행예산(기초DATA현장협의후)" xfId="24496"/>
    <cellStyle name="Äþ_LFD부산실행예산(020305)건축_부산덕천2차실행예산(기초DATA현장협의후)" xfId="29006"/>
    <cellStyle name="Aþ_LFD부산실행예산(020305)건축_부산덕천2차실행예산(기초DATA현장협의후) 2" xfId="24497"/>
    <cellStyle name="Äþ_LFD부산실행예산(020305)건축_부산덕천2차실행예산(기초DATA현장협의후) 2" xfId="29007"/>
    <cellStyle name="Aþ_LFD실행예산(020110)2855" xfId="24498"/>
    <cellStyle name="Äþ_LFD실행예산(020110)2855" xfId="29008"/>
    <cellStyle name="Aþ_LFD실행예산(020110)2855 2" xfId="24499"/>
    <cellStyle name="Äþ_LFD실행예산(020110)2855 2" xfId="29009"/>
    <cellStyle name="Aþ_LFD실행예산(020110)2855_LFD부산실행예산(020319)건축" xfId="24500"/>
    <cellStyle name="Äþ_LFD실행예산(020110)2855_LFD부산실행예산(020319)건축" xfId="29010"/>
    <cellStyle name="Aþ_LFD실행예산(020110)2855_LFD부산실행예산(020319)건축 2" xfId="24501"/>
    <cellStyle name="Äþ_LFD실행예산(020110)2855_LFD부산실행예산(020319)건축 2" xfId="29011"/>
    <cellStyle name="Aþ_LFD실행예산(020110)2855_경서실행(견적실)공무팀" xfId="24502"/>
    <cellStyle name="Äþ_LFD실행예산(020110)2855_경서실행(견적실)공무팀" xfId="29012"/>
    <cellStyle name="Aþ_LFD실행예산(020110)2855_경서실행(견적실)공무팀 2" xfId="24503"/>
    <cellStyle name="Äþ_LFD실행예산(020110)2855_경서실행(견적실)공무팀 2" xfId="29013"/>
    <cellStyle name="Aþ_LFD실행예산(020110)2855_골조공사견적가분석-1" xfId="24504"/>
    <cellStyle name="Äþ_LFD실행예산(020110)2855_골조공사견적가분석-1" xfId="29014"/>
    <cellStyle name="Aþ_LFD실행예산(020110)2855_골조공사견적가분석-1 2" xfId="24505"/>
    <cellStyle name="Äþ_LFD실행예산(020110)2855_골조공사견적가분석-1 2" xfId="29015"/>
    <cellStyle name="Aþ_LFD실행예산(020110)2855_골조공사공내역(송부)" xfId="24506"/>
    <cellStyle name="Äþ_LFD실행예산(020110)2855_골조공사공내역(송부)" xfId="29016"/>
    <cellStyle name="Aþ_LFD실행예산(020110)2855_골조공사공내역(송부) 2" xfId="24507"/>
    <cellStyle name="Äþ_LFD실행예산(020110)2855_골조공사공내역(송부) 2" xfId="29017"/>
    <cellStyle name="Aþ_LFD실행예산(020110)2855_골조공사공내역(장)" xfId="24508"/>
    <cellStyle name="Äþ_LFD실행예산(020110)2855_골조공사공내역(장)" xfId="29018"/>
    <cellStyle name="Aþ_LFD실행예산(020110)2855_골조공사공내역(장) 2" xfId="24509"/>
    <cellStyle name="Äþ_LFD실행예산(020110)2855_골조공사공내역(장) 2" xfId="29019"/>
    <cellStyle name="Aþ_LFD실행예산(020110)2855_골조공사실행예산품의" xfId="24510"/>
    <cellStyle name="Äþ_LFD실행예산(020110)2855_골조공사실행예산품의" xfId="29020"/>
    <cellStyle name="Aþ_LFD실행예산(020110)2855_골조공사실행예산품의 2" xfId="24511"/>
    <cellStyle name="Äþ_LFD실행예산(020110)2855_골조공사실행예산품의 2" xfId="29021"/>
    <cellStyle name="Aþ_LFD실행예산(020110)2855_동명2차실행예산(기초DATA)" xfId="24512"/>
    <cellStyle name="Äþ_LFD실행예산(020110)2855_동명2차실행예산(기초DATA)" xfId="29022"/>
    <cellStyle name="Aþ_LFD실행예산(020110)2855_동명2차실행예산(기초DATA) 2" xfId="24513"/>
    <cellStyle name="Äþ_LFD실행예산(020110)2855_동명2차실행예산(기초DATA) 2" xfId="29023"/>
    <cellStyle name="Aþ_LFD실행예산(020110)2855_동명본실행(수정)" xfId="24514"/>
    <cellStyle name="Äþ_LFD실행예산(020110)2855_동명본실행(수정)" xfId="29024"/>
    <cellStyle name="Aþ_LFD실행예산(020110)2855_동명본실행(수정) 2" xfId="24515"/>
    <cellStyle name="Äþ_LFD실행예산(020110)2855_동명본실행(수정) 2" xfId="29025"/>
    <cellStyle name="Aþ_LFD실행예산(020110)2855_동명삼화견본주택 기본안" xfId="24516"/>
    <cellStyle name="Äþ_LFD실행예산(020110)2855_동명삼화견본주택 기본안" xfId="29026"/>
    <cellStyle name="Aþ_LFD실행예산(020110)2855_동명삼화견본주택 기본안 2" xfId="24517"/>
    <cellStyle name="Äþ_LFD실행예산(020110)2855_동명삼화견본주택 기본안 2" xfId="29027"/>
    <cellStyle name="Aþ_LFD실행예산(020110)2855_동명실행예산-1" xfId="24518"/>
    <cellStyle name="Äþ_LFD실행예산(020110)2855_동명실행예산-1" xfId="29028"/>
    <cellStyle name="Aþ_LFD실행예산(020110)2855_동명실행예산-1 2" xfId="24519"/>
    <cellStyle name="Äþ_LFD실행예산(020110)2855_동명실행예산-1 2" xfId="29029"/>
    <cellStyle name="Aþ_LFD실행예산(020110)2855_부산덕천2차실행예산(기초DATA)" xfId="24520"/>
    <cellStyle name="Äþ_LFD실행예산(020110)2855_부산덕천2차실행예산(기초DATA)" xfId="29030"/>
    <cellStyle name="Aþ_LFD실행예산(020110)2855_부산덕천2차실행예산(기초DATA) 2" xfId="24521"/>
    <cellStyle name="Äþ_LFD실행예산(020110)2855_부산덕천2차실행예산(기초DATA) 2" xfId="29031"/>
    <cellStyle name="Aþ_LFD실행예산(020110)2855_부산덕천2차실행예산(기초DATA건설조정)" xfId="24522"/>
    <cellStyle name="Äþ_LFD실행예산(020110)2855_부산덕천2차실행예산(기초DATA건설조정)" xfId="29032"/>
    <cellStyle name="Aþ_LFD실행예산(020110)2855_부산덕천2차실행예산(기초DATA건설조정) 2" xfId="24523"/>
    <cellStyle name="Äþ_LFD실행예산(020110)2855_부산덕천2차실행예산(기초DATA건설조정) 2" xfId="29033"/>
    <cellStyle name="Aþ_LFD실행예산(020110)2855_부산덕천2차실행예산(기초DATA승인용)" xfId="24524"/>
    <cellStyle name="Äþ_LFD실행예산(020110)2855_부산덕천2차실행예산(기초DATA승인용)" xfId="29034"/>
    <cellStyle name="Aþ_LFD실행예산(020110)2855_부산덕천2차실행예산(기초DATA승인용) 2" xfId="24525"/>
    <cellStyle name="Äþ_LFD실행예산(020110)2855_부산덕천2차실행예산(기초DATA승인용) 2" xfId="29035"/>
    <cellStyle name="Aþ_LFD실행예산(020110)2855_부산덕천2차실행예산(기초DATA현장협의후)" xfId="24526"/>
    <cellStyle name="Äþ_LFD실행예산(020110)2855_부산덕천2차실행예산(기초DATA현장협의후)" xfId="29036"/>
    <cellStyle name="Aþ_LFD실행예산(020110)2855_부산덕천2차실행예산(기초DATA현장협의후) 2" xfId="24527"/>
    <cellStyle name="Äþ_LFD실행예산(020110)2855_부산덕천2차실행예산(기초DATA현장협의후) 2" xfId="29037"/>
    <cellStyle name="Aþ_LFD실행예산(020110)2855_실행검토_부산덕천" xfId="24528"/>
    <cellStyle name="Äþ_LFD실행예산(020110)2855_실행검토_부산덕천" xfId="29038"/>
    <cellStyle name="Aþ_LFD실행예산(020110)2855_실행검토_부산덕천 2" xfId="24529"/>
    <cellStyle name="Äþ_LFD실행예산(020110)2855_실행검토_부산덕천 2" xfId="29039"/>
    <cellStyle name="Aþ_LFD실행예산(020110)2855_여의도센터빌딩실행원가(020613)-2" xfId="24530"/>
    <cellStyle name="Äþ_LFD실행예산(020110)2855_여의도센터빌딩실행원가(020613)-2" xfId="29040"/>
    <cellStyle name="Aþ_LFD실행예산(020110)2855_여의도센터빌딩실행원가(020613)-2 2" xfId="24531"/>
    <cellStyle name="Äþ_LFD실행예산(020110)2855_여의도센터빌딩실행원가(020613)-2 2" xfId="29041"/>
    <cellStyle name="Aþ_LFD실행예산(020110)2855_제과충주영업소견적서" xfId="24532"/>
    <cellStyle name="Äþ_LFD실행예산(020110)2855_제과충주영업소견적서" xfId="29042"/>
    <cellStyle name="Aþ_LFD실행예산(020110)2855_제과충주영업소견적서 2" xfId="24533"/>
    <cellStyle name="Äþ_LFD실행예산(020110)2855_제과충주영업소견적서 2" xfId="29043"/>
    <cellStyle name="Aþ_LFD실행예산(020110)2855_현장경비신청안박성남" xfId="24534"/>
    <cellStyle name="Äþ_LFD실행예산(020110)2855_현장경비신청안박성남" xfId="29044"/>
    <cellStyle name="Aþ_LFD실행예산(020110)2855_현장경비신청안박성남 2" xfId="24535"/>
    <cellStyle name="Äþ_LFD실행예산(020110)2855_현장경비신청안박성남 2" xfId="29045"/>
    <cellStyle name="Aþ_경서실행(견적실)공무팀" xfId="24536"/>
    <cellStyle name="Äþ_경서실행(견적실)공무팀" xfId="29046"/>
    <cellStyle name="Aþ_경서실행(견적실)공무팀 2" xfId="24537"/>
    <cellStyle name="Äþ_경서실행(견적실)공무팀 2" xfId="29047"/>
    <cellStyle name="Aþ_경서실행(견적실)공무팀_1" xfId="24538"/>
    <cellStyle name="Äþ_경서실행(견적실)공무팀_1" xfId="29048"/>
    <cellStyle name="Aþ_경서실행(견적실)공무팀_1 2" xfId="24539"/>
    <cellStyle name="Äþ_경서실행(견적실)공무팀_1 2" xfId="29049"/>
    <cellStyle name="Aþ_경서실행(견적실)공무팀_1_레몬영화egi내역서(13968천원)" xfId="24540"/>
    <cellStyle name="Äþ_경서실행(견적실)공무팀_1_레몬영화egi내역서(13968천원)" xfId="29050"/>
    <cellStyle name="Aþ_경서실행(견적실)공무팀_1_레몬영화egi내역서(13968천원) 2" xfId="24541"/>
    <cellStyle name="Äþ_경서실행(견적실)공무팀_1_레몬영화egi내역서(13968천원) 2" xfId="29051"/>
    <cellStyle name="Aþ_광주공장 도급내역(변경03.1.07)" xfId="24542"/>
    <cellStyle name="Äþ_광주공장 도급내역(변경03.1.07)" xfId="29052"/>
    <cellStyle name="Aþ_광주공장 도급내역(변경03.1.07) 2" xfId="24543"/>
    <cellStyle name="Äþ_광주공장 도급내역(변경03.1.07) 2" xfId="29053"/>
    <cellStyle name="Aþ_광주공장 도급내역(변경03.1.21)" xfId="24544"/>
    <cellStyle name="Äþ_광주공장 도급내역(변경03.1.21)" xfId="29054"/>
    <cellStyle name="Aþ_광주공장 도급내역(변경03.1.21) 2" xfId="24545"/>
    <cellStyle name="Äþ_광주공장 도급내역(변경03.1.21) 2" xfId="29055"/>
    <cellStyle name="Aþ_광주공장(대비1218)" xfId="24546"/>
    <cellStyle name="Äþ_광주공장(대비1218)" xfId="29056"/>
    <cellStyle name="Aþ_광주공장(대비1218) 2" xfId="24547"/>
    <cellStyle name="Äþ_광주공장(대비1218) 2" xfId="29057"/>
    <cellStyle name="Aþ_기계실행(LFD광주공장.현설용)" xfId="24548"/>
    <cellStyle name="Äþ_기계실행(LFD광주공장.현설용)" xfId="29058"/>
    <cellStyle name="Aþ_기계실행(LFD광주공장.현설용) 2" xfId="24549"/>
    <cellStyle name="Äþ_기계실행(LFD광주공장.현설용) 2" xfId="29059"/>
    <cellStyle name="Aþ_동명삼화 현장설명(본사지급)" xfId="24550"/>
    <cellStyle name="Äþ_동명삼화 현장설명(본사지급)" xfId="29060"/>
    <cellStyle name="Aþ_동명삼화 현장설명(본사지급) 2" xfId="24551"/>
    <cellStyle name="Äþ_동명삼화 현장설명(본사지급) 2" xfId="29061"/>
    <cellStyle name="Aþ_동명삼화 현장설명(본사지급)_울산신정동수주검토(2003.01.21에어컨)" xfId="24552"/>
    <cellStyle name="Äþ_동명삼화 현장설명(본사지급)_울산신정동수주검토(2003.01.21에어컨)" xfId="29062"/>
    <cellStyle name="Aþ_동명삼화 현장설명(본사지급)_울산신정동수주검토(2003.01.21에어컨) 2" xfId="24553"/>
    <cellStyle name="Äþ_동명삼화 현장설명(본사지급)_울산신정동수주검토(2003.01.21에어컨) 2" xfId="29063"/>
    <cellStyle name="Aþ_동명삼화견본주택 기본안" xfId="24554"/>
    <cellStyle name="Äþ_동명삼화견본주택 기본안" xfId="29064"/>
    <cellStyle name="Aþ_동명삼화견본주택 기본안 2" xfId="24555"/>
    <cellStyle name="Äþ_동명삼화견본주택 기본안 2" xfId="29065"/>
    <cellStyle name="Aþ_동명삼화기계공사 물량집계" xfId="24556"/>
    <cellStyle name="Äþ_동명삼화기계공사 물량집계" xfId="29066"/>
    <cellStyle name="Aþ_동명삼화기계공사 물량집계 2" xfId="24557"/>
    <cellStyle name="Äþ_동명삼화기계공사 물량집계 2" xfId="29067"/>
    <cellStyle name="Aþ_동명삼화재건축아파트" xfId="24558"/>
    <cellStyle name="Äþ_동명삼화재건축아파트" xfId="29068"/>
    <cellStyle name="Aþ_동명삼화재건축아파트 2" xfId="24559"/>
    <cellStyle name="Äþ_동명삼화재건축아파트 2" xfId="29069"/>
    <cellStyle name="Aþ_동명실행예산-1" xfId="24560"/>
    <cellStyle name="Äþ_동명실행예산-1" xfId="29070"/>
    <cellStyle name="Aþ_동명실행예산-1 2" xfId="24561"/>
    <cellStyle name="Äþ_동명실행예산-1 2" xfId="29071"/>
    <cellStyle name="Aþ_롯데동명삼화평당단가비교" xfId="24562"/>
    <cellStyle name="Äþ_롯데동명삼화평당단가비교" xfId="29072"/>
    <cellStyle name="Aþ_롯데동명삼화평당단가비교 2" xfId="24563"/>
    <cellStyle name="Äþ_롯데동명삼화평당단가비교 2" xfId="29073"/>
    <cellStyle name="Aþ_마곡보완" xfId="24564"/>
    <cellStyle name="Äþ_마곡보완" xfId="29074"/>
    <cellStyle name="Aþ_마곡보완 2" xfId="24565"/>
    <cellStyle name="Äþ_마곡보완 2" xfId="29075"/>
    <cellStyle name="Aþ_마곡보완_Lemon 수원영화점 기계도급내역(최종보고)" xfId="24566"/>
    <cellStyle name="Äþ_마곡보완_Lemon 수원영화점 기계도급내역(최종보고)" xfId="29076"/>
    <cellStyle name="Aþ_마곡보완_Lemon 수원영화점 기계도급내역(최종보고) 2" xfId="24567"/>
    <cellStyle name="Äþ_마곡보완_Lemon 수원영화점 기계도급내역(최종보고) 2" xfId="29077"/>
    <cellStyle name="Aþ_마곡보완_Lemon 수원영화점(기계공사)" xfId="24568"/>
    <cellStyle name="Äþ_마곡보완_Lemon 수원영화점(기계공사)" xfId="29078"/>
    <cellStyle name="Aþ_마곡보완_Lemon 수원영화점(기계공사) 2" xfId="24569"/>
    <cellStyle name="Äþ_마곡보완_Lemon 수원영화점(기계공사) 2" xfId="29079"/>
    <cellStyle name="Aþ_마곡보완_LFD부산실행예산(020219)건축" xfId="24570"/>
    <cellStyle name="Äþ_마곡보완_LFD부산실행예산(020219)건축" xfId="29080"/>
    <cellStyle name="Aþ_마곡보완_LFD부산실행예산(020219)건축 2" xfId="24571"/>
    <cellStyle name="Äþ_마곡보완_LFD부산실행예산(020219)건축 2" xfId="29081"/>
    <cellStyle name="Aþ_마곡보완_LFD부산실행예산(020219)건축_경서실행(견적실)공무팀" xfId="24572"/>
    <cellStyle name="Äþ_마곡보완_LFD부산실행예산(020219)건축_경서실행(견적실)공무팀" xfId="29082"/>
    <cellStyle name="Aþ_마곡보완_LFD부산실행예산(020219)건축_경서실행(견적실)공무팀 2" xfId="24573"/>
    <cellStyle name="Äþ_마곡보완_LFD부산실행예산(020219)건축_경서실행(견적실)공무팀 2" xfId="29083"/>
    <cellStyle name="Aþ_마곡보완_LFD부산실행예산(020219)건축_골조공사견적가분석-1" xfId="24574"/>
    <cellStyle name="Äþ_마곡보완_LFD부산실행예산(020219)건축_골조공사견적가분석-1" xfId="29084"/>
    <cellStyle name="Aþ_마곡보완_LFD부산실행예산(020219)건축_골조공사견적가분석-1 2" xfId="24575"/>
    <cellStyle name="Äþ_마곡보완_LFD부산실행예산(020219)건축_골조공사견적가분석-1 2" xfId="29085"/>
    <cellStyle name="Aþ_마곡보완_LFD부산실행예산(020219)건축_골조공사공내역(송부)" xfId="24576"/>
    <cellStyle name="Äþ_마곡보완_LFD부산실행예산(020219)건축_골조공사공내역(송부)" xfId="29086"/>
    <cellStyle name="Aþ_마곡보완_LFD부산실행예산(020219)건축_골조공사공내역(송부) 2" xfId="24577"/>
    <cellStyle name="Äþ_마곡보완_LFD부산실행예산(020219)건축_골조공사공내역(송부) 2" xfId="29087"/>
    <cellStyle name="Aþ_마곡보완_LFD부산실행예산(020219)건축_골조공사공내역(장)" xfId="24578"/>
    <cellStyle name="Äþ_마곡보완_LFD부산실행예산(020219)건축_골조공사공내역(장)" xfId="29088"/>
    <cellStyle name="Aþ_마곡보완_LFD부산실행예산(020219)건축_골조공사공내역(장) 2" xfId="24579"/>
    <cellStyle name="Äþ_마곡보완_LFD부산실행예산(020219)건축_골조공사공내역(장) 2" xfId="29089"/>
    <cellStyle name="Aþ_마곡보완_LFD부산실행예산(020219)건축_골조공사실행예산품의" xfId="24580"/>
    <cellStyle name="Äþ_마곡보완_LFD부산실행예산(020219)건축_골조공사실행예산품의" xfId="29090"/>
    <cellStyle name="Aþ_마곡보완_LFD부산실행예산(020219)건축_골조공사실행예산품의 2" xfId="24581"/>
    <cellStyle name="Äþ_마곡보완_LFD부산실행예산(020219)건축_골조공사실행예산품의 2" xfId="29091"/>
    <cellStyle name="Aþ_마곡보완_LFD부산실행예산(020219)건축_동명2차실행예산(기초DATA)" xfId="24582"/>
    <cellStyle name="Äþ_마곡보완_LFD부산실행예산(020219)건축_동명2차실행예산(기초DATA)" xfId="29092"/>
    <cellStyle name="Aþ_마곡보완_LFD부산실행예산(020219)건축_동명2차실행예산(기초DATA) 2" xfId="24583"/>
    <cellStyle name="Äþ_마곡보완_LFD부산실행예산(020219)건축_동명2차실행예산(기초DATA) 2" xfId="29093"/>
    <cellStyle name="Aþ_마곡보완_LFD부산실행예산(020219)건축_동명본실행(수정)" xfId="24584"/>
    <cellStyle name="Äþ_마곡보완_LFD부산실행예산(020219)건축_동명본실행(수정)" xfId="29094"/>
    <cellStyle name="Aþ_마곡보완_LFD부산실행예산(020219)건축_동명본실행(수정) 2" xfId="24585"/>
    <cellStyle name="Äþ_마곡보완_LFD부산실행예산(020219)건축_동명본실행(수정) 2" xfId="29095"/>
    <cellStyle name="Aþ_마곡보완_LFD부산실행예산(020219)건축_동명삼화견본주택 기본안" xfId="24586"/>
    <cellStyle name="Äþ_마곡보완_LFD부산실행예산(020219)건축_동명삼화견본주택 기본안" xfId="29096"/>
    <cellStyle name="Aþ_마곡보완_LFD부산실행예산(020219)건축_동명삼화견본주택 기본안 2" xfId="24587"/>
    <cellStyle name="Äþ_마곡보완_LFD부산실행예산(020219)건축_동명삼화견본주택 기본안 2" xfId="29097"/>
    <cellStyle name="Aþ_마곡보완_LFD부산실행예산(020219)건축_부산덕천2차실행예산(기초DATA)" xfId="24588"/>
    <cellStyle name="Äþ_마곡보완_LFD부산실행예산(020219)건축_부산덕천2차실행예산(기초DATA)" xfId="29098"/>
    <cellStyle name="Aþ_마곡보완_LFD부산실행예산(020219)건축_부산덕천2차실행예산(기초DATA) 2" xfId="24589"/>
    <cellStyle name="Äþ_마곡보완_LFD부산실행예산(020219)건축_부산덕천2차실행예산(기초DATA) 2" xfId="29099"/>
    <cellStyle name="Aþ_마곡보완_LFD부산실행예산(020219)건축_부산덕천2차실행예산(기초DATA건설조정)" xfId="24590"/>
    <cellStyle name="Äþ_마곡보완_LFD부산실행예산(020219)건축_부산덕천2차실행예산(기초DATA건설조정)" xfId="29100"/>
    <cellStyle name="Aþ_마곡보완_LFD부산실행예산(020219)건축_부산덕천2차실행예산(기초DATA건설조정) 2" xfId="24591"/>
    <cellStyle name="Äþ_마곡보완_LFD부산실행예산(020219)건축_부산덕천2차실행예산(기초DATA건설조정) 2" xfId="29101"/>
    <cellStyle name="Aþ_마곡보완_LFD부산실행예산(020219)건축_부산덕천2차실행예산(기초DATA승인용)" xfId="24592"/>
    <cellStyle name="Äþ_마곡보완_LFD부산실행예산(020219)건축_부산덕천2차실행예산(기초DATA승인용)" xfId="29102"/>
    <cellStyle name="Aþ_마곡보완_LFD부산실행예산(020219)건축_부산덕천2차실행예산(기초DATA승인용) 2" xfId="24593"/>
    <cellStyle name="Äþ_마곡보완_LFD부산실행예산(020219)건축_부산덕천2차실행예산(기초DATA승인용) 2" xfId="29103"/>
    <cellStyle name="Aþ_마곡보완_LFD부산실행예산(020219)건축_부산덕천2차실행예산(기초DATA현장협의후)" xfId="24594"/>
    <cellStyle name="Äþ_마곡보완_LFD부산실행예산(020219)건축_부산덕천2차실행예산(기초DATA현장협의후)" xfId="29104"/>
    <cellStyle name="Aþ_마곡보완_LFD부산실행예산(020219)건축_부산덕천2차실행예산(기초DATA현장협의후) 2" xfId="24595"/>
    <cellStyle name="Äþ_마곡보완_LFD부산실행예산(020219)건축_부산덕천2차실행예산(기초DATA현장협의후) 2" xfId="29105"/>
    <cellStyle name="Aþ_마곡보완_LFD부산실행예산(020219)건축_실행검토_부산덕천" xfId="24596"/>
    <cellStyle name="Äþ_마곡보완_LFD부산실행예산(020219)건축_실행검토_부산덕천" xfId="29106"/>
    <cellStyle name="Aþ_마곡보완_LFD부산실행예산(020219)건축_실행검토_부산덕천 2" xfId="24597"/>
    <cellStyle name="Äþ_마곡보완_LFD부산실행예산(020219)건축_실행검토_부산덕천 2" xfId="29107"/>
    <cellStyle name="Aþ_마곡보완_LFD부산실행예산(020219)건축_여의도센터빌딩실행원가(020613)-2" xfId="24598"/>
    <cellStyle name="Äþ_마곡보완_LFD부산실행예산(020219)건축_여의도센터빌딩실행원가(020613)-2" xfId="29108"/>
    <cellStyle name="Aþ_마곡보완_LFD부산실행예산(020219)건축_여의도센터빌딩실행원가(020613)-2 2" xfId="24599"/>
    <cellStyle name="Äþ_마곡보완_LFD부산실행예산(020219)건축_여의도센터빌딩실행원가(020613)-2 2" xfId="29109"/>
    <cellStyle name="Aþ_마곡보완_LFD부산실행예산(020219)건축_제과충주영업소견적서" xfId="24600"/>
    <cellStyle name="Äþ_마곡보완_LFD부산실행예산(020219)건축_제과충주영업소견적서" xfId="29110"/>
    <cellStyle name="Aþ_마곡보완_LFD부산실행예산(020219)건축_제과충주영업소견적서 2" xfId="24601"/>
    <cellStyle name="Äþ_마곡보완_LFD부산실행예산(020219)건축_제과충주영업소견적서 2" xfId="29111"/>
    <cellStyle name="Aþ_마곡보완_LFD부산실행예산(020219)건축_현장경비신청안박성남" xfId="24602"/>
    <cellStyle name="Äþ_마곡보완_LFD부산실행예산(020219)건축_현장경비신청안박성남" xfId="29112"/>
    <cellStyle name="Aþ_마곡보완_LFD부산실행예산(020219)건축_현장경비신청안박성남 2" xfId="24603"/>
    <cellStyle name="Äþ_마곡보완_LFD부산실행예산(020219)건축_현장경비신청안박성남 2" xfId="29113"/>
    <cellStyle name="Aþ_마곡보완_LFD부산실행예산(020305)건축" xfId="24604"/>
    <cellStyle name="Äþ_마곡보완_LFD부산실행예산(020305)건축" xfId="29114"/>
    <cellStyle name="Aþ_마곡보완_LFD부산실행예산(020305)건축 2" xfId="24605"/>
    <cellStyle name="Äþ_마곡보완_LFD부산실행예산(020305)건축 2" xfId="29115"/>
    <cellStyle name="Aþ_마곡보완_LFD부산실행예산(020305)건축_경서실행(견적실)공무팀" xfId="24606"/>
    <cellStyle name="Äþ_마곡보완_LFD부산실행예산(020305)건축_경서실행(견적실)공무팀" xfId="29116"/>
    <cellStyle name="Aþ_마곡보완_LFD부산실행예산(020305)건축_경서실행(견적실)공무팀 2" xfId="24607"/>
    <cellStyle name="Äþ_마곡보완_LFD부산실행예산(020305)건축_경서실행(견적실)공무팀 2" xfId="29117"/>
    <cellStyle name="Aþ_마곡보완_LFD부산실행예산(020305)건축_골조공사견적가분석-1" xfId="24608"/>
    <cellStyle name="Äþ_마곡보완_LFD부산실행예산(020305)건축_골조공사견적가분석-1" xfId="29118"/>
    <cellStyle name="Aþ_마곡보완_LFD부산실행예산(020305)건축_골조공사견적가분석-1 2" xfId="24609"/>
    <cellStyle name="Äþ_마곡보완_LFD부산실행예산(020305)건축_골조공사견적가분석-1 2" xfId="29119"/>
    <cellStyle name="Aþ_마곡보완_LFD부산실행예산(020305)건축_골조공사공내역(송부)" xfId="24610"/>
    <cellStyle name="Äþ_마곡보완_LFD부산실행예산(020305)건축_골조공사공내역(송부)" xfId="29120"/>
    <cellStyle name="Aþ_마곡보완_LFD부산실행예산(020305)건축_골조공사공내역(송부) 2" xfId="24611"/>
    <cellStyle name="Äþ_마곡보완_LFD부산실행예산(020305)건축_골조공사공내역(송부) 2" xfId="29121"/>
    <cellStyle name="Aþ_마곡보완_LFD부산실행예산(020305)건축_골조공사공내역(장)" xfId="24612"/>
    <cellStyle name="Äþ_마곡보완_LFD부산실행예산(020305)건축_골조공사공내역(장)" xfId="29122"/>
    <cellStyle name="Aþ_마곡보완_LFD부산실행예산(020305)건축_골조공사공내역(장) 2" xfId="24613"/>
    <cellStyle name="Äþ_마곡보완_LFD부산실행예산(020305)건축_골조공사공내역(장) 2" xfId="29123"/>
    <cellStyle name="Aþ_마곡보완_LFD부산실행예산(020305)건축_골조공사실행예산품의" xfId="24614"/>
    <cellStyle name="Äþ_마곡보완_LFD부산실행예산(020305)건축_골조공사실행예산품의" xfId="29124"/>
    <cellStyle name="Aþ_마곡보완_LFD부산실행예산(020305)건축_골조공사실행예산품의 2" xfId="24615"/>
    <cellStyle name="Äþ_마곡보완_LFD부산실행예산(020305)건축_골조공사실행예산품의 2" xfId="29125"/>
    <cellStyle name="Aþ_마곡보완_LFD부산실행예산(020305)건축_동명2차실행예산(기초DATA)" xfId="24616"/>
    <cellStyle name="Äþ_마곡보완_LFD부산실행예산(020305)건축_동명2차실행예산(기초DATA)" xfId="29126"/>
    <cellStyle name="Aþ_마곡보완_LFD부산실행예산(020305)건축_동명2차실행예산(기초DATA) 2" xfId="24617"/>
    <cellStyle name="Äþ_마곡보완_LFD부산실행예산(020305)건축_동명2차실행예산(기초DATA) 2" xfId="29127"/>
    <cellStyle name="Aþ_마곡보완_LFD부산실행예산(020305)건축_동명본실행(수정)" xfId="24618"/>
    <cellStyle name="Äþ_마곡보완_LFD부산실행예산(020305)건축_동명본실행(수정)" xfId="29128"/>
    <cellStyle name="Aþ_마곡보완_LFD부산실행예산(020305)건축_동명본실행(수정) 2" xfId="24619"/>
    <cellStyle name="Äþ_마곡보완_LFD부산실행예산(020305)건축_동명본실행(수정) 2" xfId="29129"/>
    <cellStyle name="Aþ_마곡보완_LFD부산실행예산(020305)건축_부산덕천2차실행예산(기초DATA)" xfId="24620"/>
    <cellStyle name="Äþ_마곡보완_LFD부산실행예산(020305)건축_부산덕천2차실행예산(기초DATA)" xfId="29130"/>
    <cellStyle name="Aþ_마곡보완_LFD부산실행예산(020305)건축_부산덕천2차실행예산(기초DATA) 2" xfId="24621"/>
    <cellStyle name="Äþ_마곡보완_LFD부산실행예산(020305)건축_부산덕천2차실행예산(기초DATA) 2" xfId="29131"/>
    <cellStyle name="Aþ_마곡보완_LFD부산실행예산(020305)건축_부산덕천2차실행예산(기초DATA건설조정)" xfId="24622"/>
    <cellStyle name="Äþ_마곡보완_LFD부산실행예산(020305)건축_부산덕천2차실행예산(기초DATA건설조정)" xfId="29132"/>
    <cellStyle name="Aþ_마곡보완_LFD부산실행예산(020305)건축_부산덕천2차실행예산(기초DATA건설조정) 2" xfId="24623"/>
    <cellStyle name="Äþ_마곡보완_LFD부산실행예산(020305)건축_부산덕천2차실행예산(기초DATA건설조정) 2" xfId="29133"/>
    <cellStyle name="Aþ_마곡보완_LFD부산실행예산(020305)건축_부산덕천2차실행예산(기초DATA승인용)" xfId="24624"/>
    <cellStyle name="Äþ_마곡보완_LFD부산실행예산(020305)건축_부산덕천2차실행예산(기초DATA승인용)" xfId="29134"/>
    <cellStyle name="Aþ_마곡보완_LFD부산실행예산(020305)건축_부산덕천2차실행예산(기초DATA승인용) 2" xfId="24625"/>
    <cellStyle name="Äþ_마곡보완_LFD부산실행예산(020305)건축_부산덕천2차실행예산(기초DATA승인용) 2" xfId="29135"/>
    <cellStyle name="Aþ_마곡보완_LFD부산실행예산(020305)건축_부산덕천2차실행예산(기초DATA현장협의후)" xfId="24626"/>
    <cellStyle name="Äþ_마곡보완_LFD부산실행예산(020305)건축_부산덕천2차실행예산(기초DATA현장협의후)" xfId="29136"/>
    <cellStyle name="Aþ_마곡보완_LFD부산실행예산(020305)건축_부산덕천2차실행예산(기초DATA현장협의후) 2" xfId="24627"/>
    <cellStyle name="Äþ_마곡보완_LFD부산실행예산(020305)건축_부산덕천2차실행예산(기초DATA현장협의후) 2" xfId="29137"/>
    <cellStyle name="Aþ_마곡보완_LFD실행예산(020110)2855" xfId="24628"/>
    <cellStyle name="Äþ_마곡보완_LFD실행예산(020110)2855" xfId="29138"/>
    <cellStyle name="Aþ_마곡보완_LFD실행예산(020110)2855 2" xfId="24629"/>
    <cellStyle name="Äþ_마곡보완_LFD실행예산(020110)2855 2" xfId="29139"/>
    <cellStyle name="Aþ_마곡보완_LFD실행예산(020110)2855_LFD부산실행예산(020319)건축" xfId="24630"/>
    <cellStyle name="Äþ_마곡보완_LFD실행예산(020110)2855_LFD부산실행예산(020319)건축" xfId="29140"/>
    <cellStyle name="Aþ_마곡보완_LFD실행예산(020110)2855_LFD부산실행예산(020319)건축 2" xfId="24631"/>
    <cellStyle name="Äþ_마곡보완_LFD실행예산(020110)2855_LFD부산실행예산(020319)건축 2" xfId="29141"/>
    <cellStyle name="Aþ_마곡보완_LFD실행예산(020110)2855_경서실행(견적실)공무팀" xfId="24632"/>
    <cellStyle name="Äþ_마곡보완_LFD실행예산(020110)2855_경서실행(견적실)공무팀" xfId="29142"/>
    <cellStyle name="Aþ_마곡보완_LFD실행예산(020110)2855_경서실행(견적실)공무팀 2" xfId="24633"/>
    <cellStyle name="Äþ_마곡보완_LFD실행예산(020110)2855_경서실행(견적실)공무팀 2" xfId="29143"/>
    <cellStyle name="Aþ_마곡보완_LFD실행예산(020110)2855_골조공사견적가분석-1" xfId="24634"/>
    <cellStyle name="Äþ_마곡보완_LFD실행예산(020110)2855_골조공사견적가분석-1" xfId="29144"/>
    <cellStyle name="Aþ_마곡보완_LFD실행예산(020110)2855_골조공사견적가분석-1 2" xfId="24635"/>
    <cellStyle name="Äþ_마곡보완_LFD실행예산(020110)2855_골조공사견적가분석-1 2" xfId="29145"/>
    <cellStyle name="Aþ_마곡보완_LFD실행예산(020110)2855_골조공사공내역(송부)" xfId="24636"/>
    <cellStyle name="Äþ_마곡보완_LFD실행예산(020110)2855_골조공사공내역(송부)" xfId="29146"/>
    <cellStyle name="Aþ_마곡보완_LFD실행예산(020110)2855_골조공사공내역(송부) 2" xfId="24637"/>
    <cellStyle name="Äþ_마곡보완_LFD실행예산(020110)2855_골조공사공내역(송부) 2" xfId="29147"/>
    <cellStyle name="Aþ_마곡보완_LFD실행예산(020110)2855_골조공사공내역(장)" xfId="24638"/>
    <cellStyle name="Äþ_마곡보완_LFD실행예산(020110)2855_골조공사공내역(장)" xfId="29148"/>
    <cellStyle name="Aþ_마곡보완_LFD실행예산(020110)2855_골조공사공내역(장) 2" xfId="24639"/>
    <cellStyle name="Äþ_마곡보완_LFD실행예산(020110)2855_골조공사공내역(장) 2" xfId="29149"/>
    <cellStyle name="Aþ_마곡보완_LFD실행예산(020110)2855_골조공사실행예산품의" xfId="24640"/>
    <cellStyle name="Äþ_마곡보완_LFD실행예산(020110)2855_골조공사실행예산품의" xfId="29150"/>
    <cellStyle name="Aþ_마곡보완_LFD실행예산(020110)2855_골조공사실행예산품의 2" xfId="24641"/>
    <cellStyle name="Äþ_마곡보완_LFD실행예산(020110)2855_골조공사실행예산품의 2" xfId="29151"/>
    <cellStyle name="Aþ_마곡보완_LFD실행예산(020110)2855_동명2차실행예산(기초DATA)" xfId="24642"/>
    <cellStyle name="Äþ_마곡보완_LFD실행예산(020110)2855_동명2차실행예산(기초DATA)" xfId="29152"/>
    <cellStyle name="Aþ_마곡보완_LFD실행예산(020110)2855_동명2차실행예산(기초DATA) 2" xfId="24643"/>
    <cellStyle name="Äþ_마곡보완_LFD실행예산(020110)2855_동명2차실행예산(기초DATA) 2" xfId="29153"/>
    <cellStyle name="Aþ_마곡보완_LFD실행예산(020110)2855_동명본실행(수정)" xfId="24644"/>
    <cellStyle name="Äþ_마곡보완_LFD실행예산(020110)2855_동명본실행(수정)" xfId="29154"/>
    <cellStyle name="Aþ_마곡보완_LFD실행예산(020110)2855_동명본실행(수정) 2" xfId="24645"/>
    <cellStyle name="Äþ_마곡보완_LFD실행예산(020110)2855_동명본실행(수정) 2" xfId="29155"/>
    <cellStyle name="Aþ_마곡보완_LFD실행예산(020110)2855_동명삼화견본주택 기본안" xfId="24646"/>
    <cellStyle name="Äþ_마곡보완_LFD실행예산(020110)2855_동명삼화견본주택 기본안" xfId="29156"/>
    <cellStyle name="Aþ_마곡보완_LFD실행예산(020110)2855_동명삼화견본주택 기본안 2" xfId="24647"/>
    <cellStyle name="Äþ_마곡보완_LFD실행예산(020110)2855_동명삼화견본주택 기본안 2" xfId="29157"/>
    <cellStyle name="Aþ_마곡보완_LFD실행예산(020110)2855_동명실행예산-1" xfId="24648"/>
    <cellStyle name="Äþ_마곡보완_LFD실행예산(020110)2855_동명실행예산-1" xfId="29158"/>
    <cellStyle name="Aþ_마곡보완_LFD실행예산(020110)2855_동명실행예산-1 2" xfId="24649"/>
    <cellStyle name="Äþ_마곡보완_LFD실행예산(020110)2855_동명실행예산-1 2" xfId="29159"/>
    <cellStyle name="Aþ_마곡보완_LFD실행예산(020110)2855_부산덕천2차실행예산(기초DATA)" xfId="24650"/>
    <cellStyle name="Äþ_마곡보완_LFD실행예산(020110)2855_부산덕천2차실행예산(기초DATA)" xfId="29160"/>
    <cellStyle name="Aþ_마곡보완_LFD실행예산(020110)2855_부산덕천2차실행예산(기초DATA) 2" xfId="24651"/>
    <cellStyle name="Äþ_마곡보완_LFD실행예산(020110)2855_부산덕천2차실행예산(기초DATA) 2" xfId="29161"/>
    <cellStyle name="Aþ_마곡보완_LFD실행예산(020110)2855_부산덕천2차실행예산(기초DATA건설조정)" xfId="24652"/>
    <cellStyle name="Äþ_마곡보완_LFD실행예산(020110)2855_부산덕천2차실행예산(기초DATA건설조정)" xfId="29162"/>
    <cellStyle name="Aþ_마곡보완_LFD실행예산(020110)2855_부산덕천2차실행예산(기초DATA건설조정) 2" xfId="24653"/>
    <cellStyle name="Äþ_마곡보완_LFD실행예산(020110)2855_부산덕천2차실행예산(기초DATA건설조정) 2" xfId="29163"/>
    <cellStyle name="Aþ_마곡보완_LFD실행예산(020110)2855_부산덕천2차실행예산(기초DATA승인용)" xfId="24654"/>
    <cellStyle name="Äþ_마곡보완_LFD실행예산(020110)2855_부산덕천2차실행예산(기초DATA승인용)" xfId="29164"/>
    <cellStyle name="Aþ_마곡보완_LFD실행예산(020110)2855_부산덕천2차실행예산(기초DATA승인용) 2" xfId="24655"/>
    <cellStyle name="Äþ_마곡보완_LFD실행예산(020110)2855_부산덕천2차실행예산(기초DATA승인용) 2" xfId="29165"/>
    <cellStyle name="Aþ_마곡보완_LFD실행예산(020110)2855_부산덕천2차실행예산(기초DATA현장협의후)" xfId="24656"/>
    <cellStyle name="Äþ_마곡보완_LFD실행예산(020110)2855_부산덕천2차실행예산(기초DATA현장협의후)" xfId="29166"/>
    <cellStyle name="Aþ_마곡보완_LFD실행예산(020110)2855_부산덕천2차실행예산(기초DATA현장협의후) 2" xfId="24657"/>
    <cellStyle name="Äþ_마곡보완_LFD실행예산(020110)2855_부산덕천2차실행예산(기초DATA현장협의후) 2" xfId="29167"/>
    <cellStyle name="Aþ_마곡보완_LFD실행예산(020110)2855_실행검토_부산덕천" xfId="24658"/>
    <cellStyle name="Äþ_마곡보완_LFD실행예산(020110)2855_실행검토_부산덕천" xfId="29168"/>
    <cellStyle name="Aþ_마곡보완_LFD실행예산(020110)2855_실행검토_부산덕천 2" xfId="24659"/>
    <cellStyle name="Äþ_마곡보완_LFD실행예산(020110)2855_실행검토_부산덕천 2" xfId="29169"/>
    <cellStyle name="Aþ_마곡보완_LFD실행예산(020110)2855_여의도센터빌딩실행원가(020613)-2" xfId="24660"/>
    <cellStyle name="Äþ_마곡보완_LFD실행예산(020110)2855_여의도센터빌딩실행원가(020613)-2" xfId="29170"/>
    <cellStyle name="Aþ_마곡보완_LFD실행예산(020110)2855_여의도센터빌딩실행원가(020613)-2 2" xfId="24661"/>
    <cellStyle name="Äþ_마곡보완_LFD실행예산(020110)2855_여의도센터빌딩실행원가(020613)-2 2" xfId="29171"/>
    <cellStyle name="Aþ_마곡보완_LFD실행예산(020110)2855_제과충주영업소견적서" xfId="24662"/>
    <cellStyle name="Äþ_마곡보완_LFD실행예산(020110)2855_제과충주영업소견적서" xfId="29172"/>
    <cellStyle name="Aþ_마곡보완_LFD실행예산(020110)2855_제과충주영업소견적서 2" xfId="24663"/>
    <cellStyle name="Äþ_마곡보완_LFD실행예산(020110)2855_제과충주영업소견적서 2" xfId="29173"/>
    <cellStyle name="Aþ_마곡보완_LFD실행예산(020110)2855_현장경비신청안박성남" xfId="24664"/>
    <cellStyle name="Äþ_마곡보완_LFD실행예산(020110)2855_현장경비신청안박성남" xfId="29174"/>
    <cellStyle name="Aþ_마곡보완_LFD실행예산(020110)2855_현장경비신청안박성남 2" xfId="24665"/>
    <cellStyle name="Äþ_마곡보완_LFD실행예산(020110)2855_현장경비신청안박성남 2" xfId="29175"/>
    <cellStyle name="Aþ_마곡보완_경서실행(견적실)공무팀" xfId="24666"/>
    <cellStyle name="Äþ_마곡보완_경서실행(견적실)공무팀" xfId="29176"/>
    <cellStyle name="Aþ_마곡보완_경서실행(견적실)공무팀 2" xfId="24667"/>
    <cellStyle name="Äþ_마곡보완_경서실행(견적실)공무팀 2" xfId="29177"/>
    <cellStyle name="Aþ_마곡보완_경서실행(견적실)공무팀_1" xfId="24668"/>
    <cellStyle name="Äþ_마곡보완_경서실행(견적실)공무팀_1" xfId="29178"/>
    <cellStyle name="Aþ_마곡보완_경서실행(견적실)공무팀_1 2" xfId="24669"/>
    <cellStyle name="Äþ_마곡보완_경서실행(견적실)공무팀_1 2" xfId="29179"/>
    <cellStyle name="Aþ_마곡보완_경서실행(견적실)공무팀_1_레몬영화egi내역서(13968천원)" xfId="24670"/>
    <cellStyle name="Äþ_마곡보완_경서실행(견적실)공무팀_1_레몬영화egi내역서(13968천원)" xfId="29180"/>
    <cellStyle name="Aþ_마곡보완_경서실행(견적실)공무팀_1_레몬영화egi내역서(13968천원) 2" xfId="24671"/>
    <cellStyle name="Äþ_마곡보완_경서실행(견적실)공무팀_1_레몬영화egi내역서(13968천원) 2" xfId="29181"/>
    <cellStyle name="Aþ_마곡보완_광주공장 도급내역(변경03.1.07)" xfId="24672"/>
    <cellStyle name="Äþ_마곡보완_광주공장 도급내역(변경03.1.07)" xfId="29182"/>
    <cellStyle name="Aþ_마곡보완_광주공장 도급내역(변경03.1.07) 2" xfId="24673"/>
    <cellStyle name="Äþ_마곡보완_광주공장 도급내역(변경03.1.07) 2" xfId="29183"/>
    <cellStyle name="Aþ_마곡보완_광주공장 도급내역(변경03.1.21)" xfId="24674"/>
    <cellStyle name="Äþ_마곡보완_광주공장 도급내역(변경03.1.21)" xfId="29184"/>
    <cellStyle name="Aþ_마곡보완_광주공장 도급내역(변경03.1.21) 2" xfId="24675"/>
    <cellStyle name="Äþ_마곡보완_광주공장 도급내역(변경03.1.21) 2" xfId="29185"/>
    <cellStyle name="Aþ_마곡보완_광주공장(대비1218)" xfId="24676"/>
    <cellStyle name="Äþ_마곡보완_광주공장(대비1218)" xfId="29186"/>
    <cellStyle name="Aþ_마곡보완_광주공장(대비1218) 2" xfId="24677"/>
    <cellStyle name="Äþ_마곡보완_광주공장(대비1218) 2" xfId="29187"/>
    <cellStyle name="Aþ_마곡보완_기계실행(LFD광주공장.현설용)" xfId="24678"/>
    <cellStyle name="Äþ_마곡보완_기계실행(LFD광주공장.현설용)" xfId="29188"/>
    <cellStyle name="Aþ_마곡보완_기계실행(LFD광주공장.현설용) 2" xfId="24679"/>
    <cellStyle name="Äþ_마곡보완_기계실행(LFD광주공장.현설용) 2" xfId="29189"/>
    <cellStyle name="Aþ_마곡보완_동명삼화 현장설명(본사지급)" xfId="24680"/>
    <cellStyle name="Äþ_마곡보완_동명삼화 현장설명(본사지급)" xfId="29190"/>
    <cellStyle name="Aþ_마곡보완_동명삼화 현장설명(본사지급) 2" xfId="24681"/>
    <cellStyle name="Äþ_마곡보완_동명삼화 현장설명(본사지급) 2" xfId="29191"/>
    <cellStyle name="Aþ_마곡보완_동명삼화 현장설명(본사지급)_울산신정동수주검토(2003.01.21에어컨)" xfId="24682"/>
    <cellStyle name="Äþ_마곡보완_동명삼화 현장설명(본사지급)_울산신정동수주검토(2003.01.21에어컨)" xfId="29192"/>
    <cellStyle name="Aþ_마곡보완_동명삼화 현장설명(본사지급)_울산신정동수주검토(2003.01.21에어컨) 2" xfId="24683"/>
    <cellStyle name="Äþ_마곡보완_동명삼화 현장설명(본사지급)_울산신정동수주검토(2003.01.21에어컨) 2" xfId="29193"/>
    <cellStyle name="Aþ_마곡보완_동명삼화견본주택 기본안" xfId="24684"/>
    <cellStyle name="Äþ_마곡보완_동명삼화견본주택 기본안" xfId="29194"/>
    <cellStyle name="Aþ_마곡보완_동명삼화견본주택 기본안 2" xfId="24685"/>
    <cellStyle name="Äþ_마곡보완_동명삼화견본주택 기본안 2" xfId="29195"/>
    <cellStyle name="Aþ_마곡보완_동명삼화기계공사 물량집계" xfId="24686"/>
    <cellStyle name="Äþ_마곡보완_동명삼화기계공사 물량집계" xfId="29196"/>
    <cellStyle name="Aþ_마곡보완_동명삼화기계공사 물량집계 2" xfId="24687"/>
    <cellStyle name="Äþ_마곡보완_동명삼화기계공사 물량집계 2" xfId="29197"/>
    <cellStyle name="Aþ_마곡보완_동명삼화재건축아파트" xfId="24688"/>
    <cellStyle name="Äþ_마곡보완_동명삼화재건축아파트" xfId="29198"/>
    <cellStyle name="Aþ_마곡보완_동명삼화재건축아파트 2" xfId="24689"/>
    <cellStyle name="Äþ_마곡보완_동명삼화재건축아파트 2" xfId="29199"/>
    <cellStyle name="Aþ_마곡보완_동명실행예산-1" xfId="24690"/>
    <cellStyle name="Äþ_마곡보완_동명실행예산-1" xfId="29200"/>
    <cellStyle name="Aþ_마곡보완_동명실행예산-1 2" xfId="24691"/>
    <cellStyle name="Äþ_마곡보완_동명실행예산-1 2" xfId="29201"/>
    <cellStyle name="Aþ_마곡보완_롯데동명삼화평당단가비교" xfId="24692"/>
    <cellStyle name="Äþ_마곡보완_롯데동명삼화평당단가비교" xfId="29202"/>
    <cellStyle name="Aþ_마곡보완_롯데동명삼화평당단가비교 2" xfId="24693"/>
    <cellStyle name="Äþ_마곡보완_롯데동명삼화평당단가비교 2" xfId="29203"/>
    <cellStyle name="Aþ_마곡보완_부산덕천동 기계공사 단가대비표(2002.11.11)" xfId="24694"/>
    <cellStyle name="Äþ_마곡보완_부산덕천동 기계공사 단가대비표(2002.11.11)" xfId="29204"/>
    <cellStyle name="Aþ_마곡보완_부산덕천동 기계공사 단가대비표(2002.11.11) 2" xfId="24695"/>
    <cellStyle name="Äþ_마곡보완_부산덕천동 기계공사 단가대비표(2002.11.11) 2" xfId="29205"/>
    <cellStyle name="Aþ_마곡보완_부산덕천동롯데아파트(환경ENG)" xfId="24696"/>
    <cellStyle name="Äþ_마곡보완_부산덕천동롯데아파트(환경ENG)" xfId="29206"/>
    <cellStyle name="Aþ_마곡보완_부산덕천동롯데아파트(환경ENG) 2" xfId="24697"/>
    <cellStyle name="Äþ_마곡보완_부산덕천동롯데아파트(환경ENG) 2" xfId="29207"/>
    <cellStyle name="Aþ_마곡보완_부산덕천동아파트(세경엔지니어링)" xfId="24698"/>
    <cellStyle name="Äþ_마곡보완_부산덕천동아파트(세경엔지니어링)" xfId="29208"/>
    <cellStyle name="Aþ_마곡보완_부산덕천동아파트(세경엔지니어링) 2" xfId="24699"/>
    <cellStyle name="Äþ_마곡보완_부산덕천동아파트(세경엔지니어링) 2" xfId="29209"/>
    <cellStyle name="Aþ_마곡보완_실행검토_부산덕천" xfId="24700"/>
    <cellStyle name="Äþ_마곡보완_실행검토_부산덕천" xfId="29210"/>
    <cellStyle name="Aþ_마곡보완_실행검토_부산덕천 2" xfId="24701"/>
    <cellStyle name="Äþ_마곡보완_실행검토_부산덕천 2" xfId="29211"/>
    <cellStyle name="Aþ_마곡보완_아파트 평당단가 비교" xfId="24702"/>
    <cellStyle name="Äþ_마곡보완_아파트 평당단가 비교" xfId="29212"/>
    <cellStyle name="Aþ_마곡보완_아파트 평당단가 비교 2" xfId="24703"/>
    <cellStyle name="Äþ_마곡보완_아파트 평당단가 비교 2" xfId="29213"/>
    <cellStyle name="Aþ_마곡보완_안양석수점기계(도급내역)1" xfId="24704"/>
    <cellStyle name="Äþ_마곡보완_안양석수점기계(도급내역)1" xfId="29214"/>
    <cellStyle name="Aþ_마곡보완_안양석수점기계(도급내역)1 2" xfId="24705"/>
    <cellStyle name="Äþ_마곡보완_안양석수점기계(도급내역)1 2" xfId="29215"/>
    <cellStyle name="Aþ_마곡보완_안양석수점기계(도급내역)1_LLC견적및수주원가(설계변경)4차" xfId="24706"/>
    <cellStyle name="Äþ_마곡보완_안양석수점기계(도급내역)1_LLC견적및수주원가(설계변경)4차" xfId="29216"/>
    <cellStyle name="Aþ_마곡보완_안양석수점기계(도급내역)1_LLC견적및수주원가(설계변경)4차 2" xfId="24707"/>
    <cellStyle name="Äþ_마곡보완_안양석수점기계(도급내역)1_LLC견적및수주원가(설계변경)4차 2" xfId="29217"/>
    <cellStyle name="Aþ_마곡보완_여의도센터빌딩실행원가(020613)-2" xfId="24708"/>
    <cellStyle name="Äþ_마곡보완_여의도센터빌딩실행원가(020613)-2" xfId="29218"/>
    <cellStyle name="Aþ_마곡보완_여의도센터빌딩실행원가(020613)-2 2" xfId="24709"/>
    <cellStyle name="Äþ_마곡보완_여의도센터빌딩실행원가(020613)-2 2" xfId="29219"/>
    <cellStyle name="Aþ_마곡보완_울산신정동수주검토(2003.01.21에어컨)" xfId="24710"/>
    <cellStyle name="Äþ_마곡보완_울산신정동수주검토(2003.01.21에어컨)" xfId="29220"/>
    <cellStyle name="Aþ_마곡보완_울산신정동수주검토(2003.01.21에어컨) 2" xfId="24711"/>
    <cellStyle name="Äþ_마곡보완_울산신정동수주검토(2003.01.21에어컨) 2" xfId="29221"/>
    <cellStyle name="Aþ_마곡보완_의왕물류센타(기계도급내역설변1차)" xfId="24712"/>
    <cellStyle name="Äþ_마곡보완_의왕물류센타(기계도급내역설변1차)" xfId="29222"/>
    <cellStyle name="Aþ_마곡보완_의왕물류센타(기계도급내역설변1차) 2" xfId="24713"/>
    <cellStyle name="Äþ_마곡보완_의왕물류센타(기계도급내역설변1차) 2" xfId="29223"/>
    <cellStyle name="Aþ_마곡보완_의왕물류센타(기계도급내역설변1차)_제과충주영업소견적서" xfId="24714"/>
    <cellStyle name="Äþ_마곡보완_의왕물류센타(기계도급내역설변1차)_제과충주영업소견적서" xfId="29224"/>
    <cellStyle name="Aþ_마곡보완_의왕물류센타(기계도급내역설변1차)_제과충주영업소견적서 2" xfId="24715"/>
    <cellStyle name="Äþ_마곡보완_의왕물류센타(기계도급내역설변1차)_제과충주영업소견적서 2" xfId="29225"/>
    <cellStyle name="Aþ_마곡보완_제과의왕견적서(020415)" xfId="24716"/>
    <cellStyle name="Äþ_마곡보완_제과의왕견적서(020415)" xfId="29226"/>
    <cellStyle name="Aþ_마곡보완_제과의왕견적서(020415) 2" xfId="24717"/>
    <cellStyle name="Äþ_마곡보완_제과의왕견적서(020415) 2" xfId="29227"/>
    <cellStyle name="Aþ_마곡보완_제과의왕견적서(020415)_제과충주영업소견적서" xfId="24718"/>
    <cellStyle name="Äþ_마곡보완_제과의왕견적서(020415)_제과충주영업소견적서" xfId="29228"/>
    <cellStyle name="Aþ_마곡보완_제과의왕견적서(020415)_제과충주영업소견적서 2" xfId="24719"/>
    <cellStyle name="Äþ_마곡보완_제과의왕견적서(020415)_제과충주영업소견적서 2" xfId="29229"/>
    <cellStyle name="Aþ_마곡보완_제과의왕견적서(020429)송부" xfId="24720"/>
    <cellStyle name="Äþ_마곡보완_제과의왕견적서(020429)송부" xfId="29230"/>
    <cellStyle name="Aþ_마곡보완_제과의왕견적서(020429)송부 2" xfId="24721"/>
    <cellStyle name="Äþ_마곡보완_제과의왕견적서(020429)송부 2" xfId="29231"/>
    <cellStyle name="Aþ_마곡보완_제과의왕견적서(020429)송부_제과충주영업소견적서" xfId="24722"/>
    <cellStyle name="Äþ_마곡보완_제과의왕견적서(020429)송부_제과충주영업소견적서" xfId="29232"/>
    <cellStyle name="Aþ_마곡보완_제과의왕견적서(020429)송부_제과충주영업소견적서 2" xfId="24723"/>
    <cellStyle name="Äþ_마곡보완_제과의왕견적서(020429)송부_제과충주영업소견적서 2" xfId="29233"/>
    <cellStyle name="Aþ_마곡보완_제과의왕견적서(020513)2차변경NEGO(7550)" xfId="24724"/>
    <cellStyle name="Äþ_마곡보완_제과의왕견적서(020513)2차변경NEGO(7550)" xfId="29234"/>
    <cellStyle name="Aþ_마곡보완_제과의왕견적서(020513)2차변경NEGO(7550) 2" xfId="24725"/>
    <cellStyle name="Äþ_마곡보완_제과의왕견적서(020513)2차변경NEGO(7550) 2" xfId="29235"/>
    <cellStyle name="Aþ_마곡보완_제과의왕견적서7550(공무)" xfId="24726"/>
    <cellStyle name="Äþ_마곡보완_제과의왕견적서7550(공무)" xfId="29236"/>
    <cellStyle name="Aþ_마곡보완_제과의왕견적서7550(공무) 2" xfId="24727"/>
    <cellStyle name="Äþ_마곡보완_제과의왕견적서7550(공무) 2" xfId="29237"/>
    <cellStyle name="Aþ_마곡보완_제과의왕견적서7550(공무)_레몬영화egi내역서(13968천원)" xfId="24728"/>
    <cellStyle name="Äþ_마곡보완_제과의왕견적서7550(공무)_레몬영화egi내역서(13968천원)" xfId="29238"/>
    <cellStyle name="Aþ_마곡보완_제과의왕견적서7550(공무)_레몬영화egi내역서(13968천원) 2" xfId="24729"/>
    <cellStyle name="Äþ_마곡보완_제과의왕견적서7550(공무)_레몬영화egi내역서(13968천원) 2" xfId="29239"/>
    <cellStyle name="Aþ_마곡보완_제과충주영업소견적서" xfId="24730"/>
    <cellStyle name="Äþ_마곡보완_제과충주영업소견적서" xfId="29240"/>
    <cellStyle name="Aþ_마곡보완_제과충주영업소견적서 2" xfId="24731"/>
    <cellStyle name="Äþ_마곡보완_제과충주영업소견적서 2" xfId="29241"/>
    <cellStyle name="Aþ_마곡보완_충주영업소(기계실행)" xfId="24732"/>
    <cellStyle name="Äþ_마곡보완_충주영업소(기계실행)" xfId="29242"/>
    <cellStyle name="Aþ_마곡보완_충주영업소(기계실행) 2" xfId="24733"/>
    <cellStyle name="Äþ_마곡보완_충주영업소(기계실행) 2" xfId="29243"/>
    <cellStyle name="Aþ_마곡보완_충주영업소(기계실행)_레몬영화egi내역서(13968천원)" xfId="24734"/>
    <cellStyle name="Äþ_마곡보완_충주영업소(기계실행)_레몬영화egi내역서(13968천원)" xfId="29244"/>
    <cellStyle name="Aþ_마곡보완_충주영업소(기계실행)_레몬영화egi내역서(13968천원) 2" xfId="24735"/>
    <cellStyle name="Äþ_마곡보완_충주영업소(기계실행)_레몬영화egi내역서(13968천원) 2" xfId="29245"/>
    <cellStyle name="Aþ_마곡보완_현장경비신청안박성남" xfId="24736"/>
    <cellStyle name="Äþ_마곡보완_현장경비신청안박성남" xfId="29246"/>
    <cellStyle name="Aþ_마곡보완_현장경비신청안박성남 2" xfId="24737"/>
    <cellStyle name="Äþ_마곡보완_현장경비신청안박성남 2" xfId="29247"/>
    <cellStyle name="Aþ_마곡보완_현장설명(가스설비)" xfId="24738"/>
    <cellStyle name="Äþ_마곡보완_현장설명(가스설비)" xfId="29248"/>
    <cellStyle name="Aþ_마곡보완_현장설명(가스설비) 2" xfId="24739"/>
    <cellStyle name="Äþ_마곡보완_현장설명(가스설비) 2" xfId="29249"/>
    <cellStyle name="Aþ_마곡보완_현장설명(기계설비)" xfId="24740"/>
    <cellStyle name="Äþ_마곡보완_현장설명(기계설비)" xfId="29250"/>
    <cellStyle name="Aþ_마곡보완_현장설명(기계설비) 2" xfId="24741"/>
    <cellStyle name="Äþ_마곡보완_현장설명(기계설비) 2" xfId="29251"/>
    <cellStyle name="Aþ_부산덕천동 기계공사 단가대비표(2002.11.11)" xfId="24742"/>
    <cellStyle name="Äþ_부산덕천동 기계공사 단가대비표(2002.11.11)" xfId="29252"/>
    <cellStyle name="Aþ_부산덕천동 기계공사 단가대비표(2002.11.11) 2" xfId="24743"/>
    <cellStyle name="Äþ_부산덕천동 기계공사 단가대비표(2002.11.11) 2" xfId="29253"/>
    <cellStyle name="Aþ_부산덕천동롯데아파트(환경ENG)" xfId="24744"/>
    <cellStyle name="Äþ_부산덕천동롯데아파트(환경ENG)" xfId="29254"/>
    <cellStyle name="Aþ_부산덕천동롯데아파트(환경ENG) 2" xfId="24745"/>
    <cellStyle name="Äþ_부산덕천동롯데아파트(환경ENG) 2" xfId="29255"/>
    <cellStyle name="Aþ_부산덕천동아파트(세경엔지니어링)" xfId="24746"/>
    <cellStyle name="Äþ_부산덕천동아파트(세경엔지니어링)" xfId="29256"/>
    <cellStyle name="Aþ_부산덕천동아파트(세경엔지니어링) 2" xfId="24747"/>
    <cellStyle name="Äþ_부산덕천동아파트(세경엔지니어링) 2" xfId="29257"/>
    <cellStyle name="Aþ_실행검토_부산덕천" xfId="24748"/>
    <cellStyle name="Äþ_실행검토_부산덕천" xfId="29258"/>
    <cellStyle name="Aþ_실행검토_부산덕천 2" xfId="24749"/>
    <cellStyle name="Äþ_실행검토_부산덕천 2" xfId="29259"/>
    <cellStyle name="Aþ_아파트 평당단가 비교" xfId="24750"/>
    <cellStyle name="Äþ_아파트 평당단가 비교" xfId="29260"/>
    <cellStyle name="Aþ_아파트 평당단가 비교 2" xfId="24751"/>
    <cellStyle name="Äþ_아파트 평당단가 비교 2" xfId="29261"/>
    <cellStyle name="Aþ_안양석수점기계(도급내역)1" xfId="24752"/>
    <cellStyle name="Äþ_안양석수점기계(도급내역)1" xfId="29262"/>
    <cellStyle name="Aþ_안양석수점기계(도급내역)1 2" xfId="24753"/>
    <cellStyle name="Äþ_안양석수점기계(도급내역)1 2" xfId="29263"/>
    <cellStyle name="Aþ_안양석수점기계(도급내역)1_LLC견적및수주원가(설계변경)4차" xfId="24754"/>
    <cellStyle name="Äþ_안양석수점기계(도급내역)1_LLC견적및수주원가(설계변경)4차" xfId="29264"/>
    <cellStyle name="Aþ_안양석수점기계(도급내역)1_LLC견적및수주원가(설계변경)4차 2" xfId="24755"/>
    <cellStyle name="Äþ_안양석수점기계(도급내역)1_LLC견적및수주원가(설계변경)4차 2" xfId="29265"/>
    <cellStyle name="Aþ_여의도센터빌딩실행원가(020613)-2" xfId="24756"/>
    <cellStyle name="Äþ_여의도센터빌딩실행원가(020613)-2" xfId="29266"/>
    <cellStyle name="Aþ_여의도센터빌딩실행원가(020613)-2 2" xfId="24757"/>
    <cellStyle name="Äþ_여의도센터빌딩실행원가(020613)-2 2" xfId="29267"/>
    <cellStyle name="Aþ_울산신정동수주검토(2003.01.21에어컨)" xfId="24758"/>
    <cellStyle name="Äþ_울산신정동수주검토(2003.01.21에어컨)" xfId="29268"/>
    <cellStyle name="Aþ_울산신정동수주검토(2003.01.21에어컨) 2" xfId="24759"/>
    <cellStyle name="Äþ_울산신정동수주검토(2003.01.21에어컨) 2" xfId="29269"/>
    <cellStyle name="Aþ_의왕물류센타(기계도급내역설변1차)" xfId="24760"/>
    <cellStyle name="Äþ_의왕물류센타(기계도급내역설변1차)" xfId="29270"/>
    <cellStyle name="Aþ_의왕물류센타(기계도급내역설변1차) 2" xfId="24761"/>
    <cellStyle name="Äþ_의왕물류센타(기계도급내역설변1차) 2" xfId="29271"/>
    <cellStyle name="Aþ_의왕물류센타(기계도급내역설변1차)_제과충주영업소견적서" xfId="24762"/>
    <cellStyle name="Äþ_의왕물류센타(기계도급내역설변1차)_제과충주영업소견적서" xfId="29272"/>
    <cellStyle name="Aþ_의왕물류센타(기계도급내역설변1차)_제과충주영업소견적서 2" xfId="24763"/>
    <cellStyle name="Äþ_의왕물류센타(기계도급내역설변1차)_제과충주영업소견적서 2" xfId="29273"/>
    <cellStyle name="Aþ_제과의왕견적서(020415)" xfId="24764"/>
    <cellStyle name="Äþ_제과의왕견적서(020415)" xfId="29274"/>
    <cellStyle name="Aþ_제과의왕견적서(020415) 2" xfId="24765"/>
    <cellStyle name="Äþ_제과의왕견적서(020415) 2" xfId="29275"/>
    <cellStyle name="Aþ_제과의왕견적서(020415)_제과충주영업소견적서" xfId="24766"/>
    <cellStyle name="Äþ_제과의왕견적서(020415)_제과충주영업소견적서" xfId="29276"/>
    <cellStyle name="Aþ_제과의왕견적서(020415)_제과충주영업소견적서 2" xfId="24767"/>
    <cellStyle name="Äþ_제과의왕견적서(020415)_제과충주영업소견적서 2" xfId="29277"/>
    <cellStyle name="Aþ_제과의왕견적서(020429)송부" xfId="24768"/>
    <cellStyle name="Äþ_제과의왕견적서(020429)송부" xfId="29278"/>
    <cellStyle name="Aþ_제과의왕견적서(020429)송부 2" xfId="24769"/>
    <cellStyle name="Äþ_제과의왕견적서(020429)송부 2" xfId="29279"/>
    <cellStyle name="Aþ_제과의왕견적서(020429)송부_제과충주영업소견적서" xfId="24770"/>
    <cellStyle name="Äþ_제과의왕견적서(020429)송부_제과충주영업소견적서" xfId="29280"/>
    <cellStyle name="Aþ_제과의왕견적서(020429)송부_제과충주영업소견적서 2" xfId="24771"/>
    <cellStyle name="Äþ_제과의왕견적서(020429)송부_제과충주영업소견적서 2" xfId="29281"/>
    <cellStyle name="Aþ_제과의왕견적서(020513)2차변경NEGO(7550)" xfId="24772"/>
    <cellStyle name="Äþ_제과의왕견적서(020513)2차변경NEGO(7550)" xfId="29282"/>
    <cellStyle name="Aþ_제과의왕견적서(020513)2차변경NEGO(7550) 2" xfId="24773"/>
    <cellStyle name="Äþ_제과의왕견적서(020513)2차변경NEGO(7550) 2" xfId="29283"/>
    <cellStyle name="Aþ_제과의왕견적서7550(공무)" xfId="24774"/>
    <cellStyle name="Äþ_제과의왕견적서7550(공무)" xfId="29284"/>
    <cellStyle name="Aþ_제과의왕견적서7550(공무) 2" xfId="24775"/>
    <cellStyle name="Äþ_제과의왕견적서7550(공무) 2" xfId="29285"/>
    <cellStyle name="Aþ_제과의왕견적서7550(공무)_레몬영화egi내역서(13968천원)" xfId="24776"/>
    <cellStyle name="Äþ_제과의왕견적서7550(공무)_레몬영화egi내역서(13968천원)" xfId="29286"/>
    <cellStyle name="Aþ_제과의왕견적서7550(공무)_레몬영화egi내역서(13968천원) 2" xfId="24777"/>
    <cellStyle name="Äþ_제과의왕견적서7550(공무)_레몬영화egi내역서(13968천원) 2" xfId="29287"/>
    <cellStyle name="Aþ_제과충주영업소견적서" xfId="24778"/>
    <cellStyle name="Äþ_제과충주영업소견적서" xfId="29288"/>
    <cellStyle name="Aþ_제과충주영업소견적서 2" xfId="24779"/>
    <cellStyle name="Äþ_제과충주영업소견적서 2" xfId="29289"/>
    <cellStyle name="Aþ_충주영업소(기계실행)" xfId="24780"/>
    <cellStyle name="Äþ_충주영업소(기계실행)" xfId="29290"/>
    <cellStyle name="Aþ_충주영업소(기계실행) 2" xfId="24781"/>
    <cellStyle name="Äþ_충주영업소(기계실행) 2" xfId="29291"/>
    <cellStyle name="Aþ_충주영업소(기계실행)_레몬영화egi내역서(13968천원)" xfId="24782"/>
    <cellStyle name="Äþ_충주영업소(기계실행)_레몬영화egi내역서(13968천원)" xfId="29292"/>
    <cellStyle name="Aþ_충주영업소(기계실행)_레몬영화egi내역서(13968천원) 2" xfId="24783"/>
    <cellStyle name="Äþ_충주영업소(기계실행)_레몬영화egi내역서(13968천원) 2" xfId="29293"/>
    <cellStyle name="Aþ_현장경비신청안박성남" xfId="24784"/>
    <cellStyle name="Äþ_현장경비신청안박성남" xfId="29294"/>
    <cellStyle name="Aþ_현장경비신청안박성남 2" xfId="24785"/>
    <cellStyle name="Äþ_현장경비신청안박성남 2" xfId="29295"/>
    <cellStyle name="Aþ_현장설명(가스설비)" xfId="24786"/>
    <cellStyle name="Äþ_현장설명(가스설비)" xfId="29296"/>
    <cellStyle name="Aþ_현장설명(가스설비) 2" xfId="24787"/>
    <cellStyle name="Äþ_현장설명(가스설비) 2" xfId="29297"/>
    <cellStyle name="Aþ_현장설명(기계설비)" xfId="24788"/>
    <cellStyle name="Äþ_현장설명(기계설비)" xfId="29298"/>
    <cellStyle name="Aþ_현장설명(기계설비) 2" xfId="24789"/>
    <cellStyle name="Äþ_현장설명(기계설비) 2" xfId="29299"/>
    <cellStyle name="Aþ¸" xfId="24790"/>
    <cellStyle name="Aþ¸ 2" xfId="24791"/>
    <cellStyle name="Aþ¸¶" xfId="24792"/>
    <cellStyle name="Aþ¸¶ [" xfId="24794"/>
    <cellStyle name="Äþ¸¶ [" xfId="29300"/>
    <cellStyle name="Aþ¸¶ [ 2" xfId="24795"/>
    <cellStyle name="Äþ¸¶ [ 2" xfId="29301"/>
    <cellStyle name="Aþ¸¶ [ 2 2" xfId="24796"/>
    <cellStyle name="Äþ¸¶ [ 2 2" xfId="29302"/>
    <cellStyle name="Aþ¸¶ [ 3" xfId="24797"/>
    <cellStyle name="Äþ¸¶ [ 3" xfId="29303"/>
    <cellStyle name="Aþ¸¶ [_Lemon 수원영화점 기계도급내역(최종보고)" xfId="24800"/>
    <cellStyle name="Äþ¸¶ [_Lemon 수원영화점 기계도급내역(최종보고)" xfId="29304"/>
    <cellStyle name="Aþ¸¶ [_Lemon 수원영화점 기계도급내역(최종보고) 2" xfId="24801"/>
    <cellStyle name="Äþ¸¶ [_Lemon 수원영화점 기계도급내역(최종보고) 2" xfId="29305"/>
    <cellStyle name="Aþ¸¶ [_Lemon 수원영화점(기계공사)" xfId="24802"/>
    <cellStyle name="Äþ¸¶ [_Lemon 수원영화점(기계공사)" xfId="29306"/>
    <cellStyle name="Aþ¸¶ [_Lemon 수원영화점(기계공사) 2" xfId="24803"/>
    <cellStyle name="Äþ¸¶ [_Lemon 수원영화점(기계공사) 2" xfId="29307"/>
    <cellStyle name="Aþ¸¶ [_LFD부산실행예산(020219)건축" xfId="24804"/>
    <cellStyle name="Äþ¸¶ [_LFD부산실행예산(020219)건축" xfId="29308"/>
    <cellStyle name="Aþ¸¶ [_LFD부산실행예산(020219)건축 2" xfId="24805"/>
    <cellStyle name="Äþ¸¶ [_LFD부산실행예산(020219)건축 2" xfId="29309"/>
    <cellStyle name="Aþ¸¶ [_LFD부산실행예산(020219)건축_경서실행(견적실)공무팀" xfId="24806"/>
    <cellStyle name="Äþ¸¶ [_LFD부산실행예산(020219)건축_경서실행(견적실)공무팀" xfId="29310"/>
    <cellStyle name="Aþ¸¶ [_LFD부산실행예산(020219)건축_경서실행(견적실)공무팀 2" xfId="24807"/>
    <cellStyle name="Äþ¸¶ [_LFD부산실행예산(020219)건축_경서실행(견적실)공무팀 2" xfId="29311"/>
    <cellStyle name="Aþ¸¶ [_LFD부산실행예산(020219)건축_골조공사견적가분석-1" xfId="24808"/>
    <cellStyle name="Äþ¸¶ [_LFD부산실행예산(020219)건축_골조공사견적가분석-1" xfId="29312"/>
    <cellStyle name="Aþ¸¶ [_LFD부산실행예산(020219)건축_골조공사견적가분석-1 2" xfId="24809"/>
    <cellStyle name="Äþ¸¶ [_LFD부산실행예산(020219)건축_골조공사견적가분석-1 2" xfId="29313"/>
    <cellStyle name="Aþ¸¶ [_LFD부산실행예산(020219)건축_골조공사공내역(송부)" xfId="24810"/>
    <cellStyle name="Äþ¸¶ [_LFD부산실행예산(020219)건축_골조공사공내역(송부)" xfId="29314"/>
    <cellStyle name="Aþ¸¶ [_LFD부산실행예산(020219)건축_골조공사공내역(송부) 2" xfId="24811"/>
    <cellStyle name="Äþ¸¶ [_LFD부산실행예산(020219)건축_골조공사공내역(송부) 2" xfId="29315"/>
    <cellStyle name="Aþ¸¶ [_LFD부산실행예산(020219)건축_골조공사공내역(장)" xfId="24812"/>
    <cellStyle name="Äþ¸¶ [_LFD부산실행예산(020219)건축_골조공사공내역(장)" xfId="29316"/>
    <cellStyle name="Aþ¸¶ [_LFD부산실행예산(020219)건축_골조공사공내역(장) 2" xfId="24813"/>
    <cellStyle name="Äþ¸¶ [_LFD부산실행예산(020219)건축_골조공사공내역(장) 2" xfId="29317"/>
    <cellStyle name="Aþ¸¶ [_LFD부산실행예산(020219)건축_골조공사실행예산품의" xfId="24814"/>
    <cellStyle name="Äþ¸¶ [_LFD부산실행예산(020219)건축_골조공사실행예산품의" xfId="29318"/>
    <cellStyle name="Aþ¸¶ [_LFD부산실행예산(020219)건축_골조공사실행예산품의 2" xfId="24815"/>
    <cellStyle name="Äþ¸¶ [_LFD부산실행예산(020219)건축_골조공사실행예산품의 2" xfId="29319"/>
    <cellStyle name="Aþ¸¶ [_LFD부산실행예산(020219)건축_동명2차실행예산(기초DATA)" xfId="24816"/>
    <cellStyle name="Äþ¸¶ [_LFD부산실행예산(020219)건축_동명2차실행예산(기초DATA)" xfId="29320"/>
    <cellStyle name="Aþ¸¶ [_LFD부산실행예산(020219)건축_동명2차실행예산(기초DATA) 2" xfId="24817"/>
    <cellStyle name="Äþ¸¶ [_LFD부산실행예산(020219)건축_동명2차실행예산(기초DATA) 2" xfId="29321"/>
    <cellStyle name="Aþ¸¶ [_LFD부산실행예산(020219)건축_동명본실행(수정)" xfId="24818"/>
    <cellStyle name="Äþ¸¶ [_LFD부산실행예산(020219)건축_동명본실행(수정)" xfId="29322"/>
    <cellStyle name="Aþ¸¶ [_LFD부산실행예산(020219)건축_동명본실행(수정) 2" xfId="24819"/>
    <cellStyle name="Äþ¸¶ [_LFD부산실행예산(020219)건축_동명본실행(수정) 2" xfId="29323"/>
    <cellStyle name="Aþ¸¶ [_LFD부산실행예산(020219)건축_동명삼화견본주택 기본안" xfId="24820"/>
    <cellStyle name="Äþ¸¶ [_LFD부산실행예산(020219)건축_동명삼화견본주택 기본안" xfId="29324"/>
    <cellStyle name="Aþ¸¶ [_LFD부산실행예산(020219)건축_동명삼화견본주택 기본안 2" xfId="24821"/>
    <cellStyle name="Äþ¸¶ [_LFD부산실행예산(020219)건축_동명삼화견본주택 기본안 2" xfId="29325"/>
    <cellStyle name="Aþ¸¶ [_LFD부산실행예산(020219)건축_부산덕천2차실행예산(기초DATA)" xfId="24822"/>
    <cellStyle name="Äþ¸¶ [_LFD부산실행예산(020219)건축_부산덕천2차실행예산(기초DATA)" xfId="29326"/>
    <cellStyle name="Aþ¸¶ [_LFD부산실행예산(020219)건축_부산덕천2차실행예산(기초DATA) 2" xfId="24823"/>
    <cellStyle name="Äþ¸¶ [_LFD부산실행예산(020219)건축_부산덕천2차실행예산(기초DATA) 2" xfId="29327"/>
    <cellStyle name="Aþ¸¶ [_LFD부산실행예산(020219)건축_부산덕천2차실행예산(기초DATA건설조정)" xfId="24824"/>
    <cellStyle name="Äþ¸¶ [_LFD부산실행예산(020219)건축_부산덕천2차실행예산(기초DATA건설조정)" xfId="29328"/>
    <cellStyle name="Aþ¸¶ [_LFD부산실행예산(020219)건축_부산덕천2차실행예산(기초DATA건설조정) 2" xfId="24825"/>
    <cellStyle name="Äþ¸¶ [_LFD부산실행예산(020219)건축_부산덕천2차실행예산(기초DATA건설조정) 2" xfId="29329"/>
    <cellStyle name="Aþ¸¶ [_LFD부산실행예산(020219)건축_부산덕천2차실행예산(기초DATA승인용)" xfId="24826"/>
    <cellStyle name="Äþ¸¶ [_LFD부산실행예산(020219)건축_부산덕천2차실행예산(기초DATA승인용)" xfId="29330"/>
    <cellStyle name="Aþ¸¶ [_LFD부산실행예산(020219)건축_부산덕천2차실행예산(기초DATA승인용) 2" xfId="24827"/>
    <cellStyle name="Äþ¸¶ [_LFD부산실행예산(020219)건축_부산덕천2차실행예산(기초DATA승인용) 2" xfId="29331"/>
    <cellStyle name="Aþ¸¶ [_LFD부산실행예산(020219)건축_부산덕천2차실행예산(기초DATA현장협의후)" xfId="24828"/>
    <cellStyle name="Äþ¸¶ [_LFD부산실행예산(020219)건축_부산덕천2차실행예산(기초DATA현장협의후)" xfId="29332"/>
    <cellStyle name="Aþ¸¶ [_LFD부산실행예산(020219)건축_부산덕천2차실행예산(기초DATA현장협의후) 2" xfId="24829"/>
    <cellStyle name="Äþ¸¶ [_LFD부산실행예산(020219)건축_부산덕천2차실행예산(기초DATA현장협의후) 2" xfId="29333"/>
    <cellStyle name="Aþ¸¶ [_LFD부산실행예산(020219)건축_실행검토_부산덕천" xfId="24830"/>
    <cellStyle name="Äþ¸¶ [_LFD부산실행예산(020219)건축_실행검토_부산덕천" xfId="29334"/>
    <cellStyle name="Aþ¸¶ [_LFD부산실행예산(020219)건축_실행검토_부산덕천 2" xfId="24831"/>
    <cellStyle name="Äþ¸¶ [_LFD부산실행예산(020219)건축_실행검토_부산덕천 2" xfId="29335"/>
    <cellStyle name="Aþ¸¶ [_LFD부산실행예산(020219)건축_여의도센터빌딩실행원가(020613)-2" xfId="24832"/>
    <cellStyle name="Äþ¸¶ [_LFD부산실행예산(020219)건축_여의도센터빌딩실행원가(020613)-2" xfId="29336"/>
    <cellStyle name="Aþ¸¶ [_LFD부산실행예산(020219)건축_여의도센터빌딩실행원가(020613)-2 2" xfId="24833"/>
    <cellStyle name="Äþ¸¶ [_LFD부산실행예산(020219)건축_여의도센터빌딩실행원가(020613)-2 2" xfId="29337"/>
    <cellStyle name="Aþ¸¶ [_LFD부산실행예산(020219)건축_제과충주영업소견적서" xfId="24834"/>
    <cellStyle name="Äþ¸¶ [_LFD부산실행예산(020219)건축_제과충주영업소견적서" xfId="29338"/>
    <cellStyle name="Aþ¸¶ [_LFD부산실행예산(020219)건축_제과충주영업소견적서 2" xfId="24835"/>
    <cellStyle name="Äþ¸¶ [_LFD부산실행예산(020219)건축_제과충주영업소견적서 2" xfId="29339"/>
    <cellStyle name="Aþ¸¶ [_LFD부산실행예산(020219)건축_현장경비신청안박성남" xfId="24836"/>
    <cellStyle name="Äþ¸¶ [_LFD부산실행예산(020219)건축_현장경비신청안박성남" xfId="29340"/>
    <cellStyle name="Aþ¸¶ [_LFD부산실행예산(020219)건축_현장경비신청안박성남 2" xfId="24837"/>
    <cellStyle name="Äþ¸¶ [_LFD부산실행예산(020219)건축_현장경비신청안박성남 2" xfId="29341"/>
    <cellStyle name="Aþ¸¶ [_LFD부산실행예산(020305)건축" xfId="24838"/>
    <cellStyle name="Äþ¸¶ [_LFD부산실행예산(020305)건축" xfId="29342"/>
    <cellStyle name="Aþ¸¶ [_LFD부산실행예산(020305)건축 2" xfId="24839"/>
    <cellStyle name="Äþ¸¶ [_LFD부산실행예산(020305)건축 2" xfId="29343"/>
    <cellStyle name="Aþ¸¶ [_LFD부산실행예산(020305)건축_경서실행(견적실)공무팀" xfId="24840"/>
    <cellStyle name="Äþ¸¶ [_LFD부산실행예산(020305)건축_경서실행(견적실)공무팀" xfId="29344"/>
    <cellStyle name="Aþ¸¶ [_LFD부산실행예산(020305)건축_경서실행(견적실)공무팀 2" xfId="24841"/>
    <cellStyle name="Äþ¸¶ [_LFD부산실행예산(020305)건축_경서실행(견적실)공무팀 2" xfId="29345"/>
    <cellStyle name="Aþ¸¶ [_LFD부산실행예산(020305)건축_골조공사견적가분석-1" xfId="24842"/>
    <cellStyle name="Äþ¸¶ [_LFD부산실행예산(020305)건축_골조공사견적가분석-1" xfId="29346"/>
    <cellStyle name="Aþ¸¶ [_LFD부산실행예산(020305)건축_골조공사견적가분석-1 2" xfId="24843"/>
    <cellStyle name="Äþ¸¶ [_LFD부산실행예산(020305)건축_골조공사견적가분석-1 2" xfId="29347"/>
    <cellStyle name="Aþ¸¶ [_LFD부산실행예산(020305)건축_골조공사공내역(송부)" xfId="24844"/>
    <cellStyle name="Äþ¸¶ [_LFD부산실행예산(020305)건축_골조공사공내역(송부)" xfId="29348"/>
    <cellStyle name="Aþ¸¶ [_LFD부산실행예산(020305)건축_골조공사공내역(송부) 2" xfId="24845"/>
    <cellStyle name="Äþ¸¶ [_LFD부산실행예산(020305)건축_골조공사공내역(송부) 2" xfId="29349"/>
    <cellStyle name="Aþ¸¶ [_LFD부산실행예산(020305)건축_골조공사공내역(장)" xfId="24846"/>
    <cellStyle name="Äþ¸¶ [_LFD부산실행예산(020305)건축_골조공사공내역(장)" xfId="29350"/>
    <cellStyle name="Aþ¸¶ [_LFD부산실행예산(020305)건축_골조공사공내역(장) 2" xfId="24847"/>
    <cellStyle name="Äþ¸¶ [_LFD부산실행예산(020305)건축_골조공사공내역(장) 2" xfId="29351"/>
    <cellStyle name="Aþ¸¶ [_LFD부산실행예산(020305)건축_골조공사실행예산품의" xfId="24848"/>
    <cellStyle name="Äþ¸¶ [_LFD부산실행예산(020305)건축_골조공사실행예산품의" xfId="29352"/>
    <cellStyle name="Aþ¸¶ [_LFD부산실행예산(020305)건축_골조공사실행예산품의 2" xfId="24849"/>
    <cellStyle name="Äþ¸¶ [_LFD부산실행예산(020305)건축_골조공사실행예산품의 2" xfId="29353"/>
    <cellStyle name="Aþ¸¶ [_LFD부산실행예산(020305)건축_동명2차실행예산(기초DATA)" xfId="24850"/>
    <cellStyle name="Äþ¸¶ [_LFD부산실행예산(020305)건축_동명2차실행예산(기초DATA)" xfId="29354"/>
    <cellStyle name="Aþ¸¶ [_LFD부산실행예산(020305)건축_동명2차실행예산(기초DATA) 2" xfId="24851"/>
    <cellStyle name="Äþ¸¶ [_LFD부산실행예산(020305)건축_동명2차실행예산(기초DATA) 2" xfId="29355"/>
    <cellStyle name="Aþ¸¶ [_LFD부산실행예산(020305)건축_동명본실행(수정)" xfId="24852"/>
    <cellStyle name="Äþ¸¶ [_LFD부산실행예산(020305)건축_동명본실행(수정)" xfId="29356"/>
    <cellStyle name="Aþ¸¶ [_LFD부산실행예산(020305)건축_동명본실행(수정) 2" xfId="24853"/>
    <cellStyle name="Äþ¸¶ [_LFD부산실행예산(020305)건축_동명본실행(수정) 2" xfId="29357"/>
    <cellStyle name="Aþ¸¶ [_LFD부산실행예산(020305)건축_부산덕천2차실행예산(기초DATA)" xfId="24854"/>
    <cellStyle name="Äþ¸¶ [_LFD부산실행예산(020305)건축_부산덕천2차실행예산(기초DATA)" xfId="29358"/>
    <cellStyle name="Aþ¸¶ [_LFD부산실행예산(020305)건축_부산덕천2차실행예산(기초DATA) 2" xfId="24855"/>
    <cellStyle name="Äþ¸¶ [_LFD부산실행예산(020305)건축_부산덕천2차실행예산(기초DATA) 2" xfId="29359"/>
    <cellStyle name="Aþ¸¶ [_LFD부산실행예산(020305)건축_부산덕천2차실행예산(기초DATA건설조정)" xfId="24856"/>
    <cellStyle name="Äþ¸¶ [_LFD부산실행예산(020305)건축_부산덕천2차실행예산(기초DATA건설조정)" xfId="29360"/>
    <cellStyle name="Aþ¸¶ [_LFD부산실행예산(020305)건축_부산덕천2차실행예산(기초DATA건설조정) 2" xfId="24857"/>
    <cellStyle name="Äþ¸¶ [_LFD부산실행예산(020305)건축_부산덕천2차실행예산(기초DATA건설조정) 2" xfId="29361"/>
    <cellStyle name="Aþ¸¶ [_LFD부산실행예산(020305)건축_부산덕천2차실행예산(기초DATA승인용)" xfId="24858"/>
    <cellStyle name="Äþ¸¶ [_LFD부산실행예산(020305)건축_부산덕천2차실행예산(기초DATA승인용)" xfId="29362"/>
    <cellStyle name="Aþ¸¶ [_LFD부산실행예산(020305)건축_부산덕천2차실행예산(기초DATA승인용) 2" xfId="24859"/>
    <cellStyle name="Äþ¸¶ [_LFD부산실행예산(020305)건축_부산덕천2차실행예산(기초DATA승인용) 2" xfId="29363"/>
    <cellStyle name="Aþ¸¶ [_LFD부산실행예산(020305)건축_부산덕천2차실행예산(기초DATA현장협의후)" xfId="24860"/>
    <cellStyle name="Äþ¸¶ [_LFD부산실행예산(020305)건축_부산덕천2차실행예산(기초DATA현장협의후)" xfId="29364"/>
    <cellStyle name="Aþ¸¶ [_LFD부산실행예산(020305)건축_부산덕천2차실행예산(기초DATA현장협의후) 2" xfId="24861"/>
    <cellStyle name="Äþ¸¶ [_LFD부산실행예산(020305)건축_부산덕천2차실행예산(기초DATA현장협의후) 2" xfId="29365"/>
    <cellStyle name="Aþ¸¶ [_LFD실행예산(020110)2855" xfId="24862"/>
    <cellStyle name="Äþ¸¶ [_LFD실행예산(020110)2855" xfId="29366"/>
    <cellStyle name="Aþ¸¶ [_LFD실행예산(020110)2855 2" xfId="24863"/>
    <cellStyle name="Äþ¸¶ [_LFD실행예산(020110)2855 2" xfId="29367"/>
    <cellStyle name="Aþ¸¶ [_LFD실행예산(020110)2855_LFD부산실행예산(020319)건축" xfId="24864"/>
    <cellStyle name="Äþ¸¶ [_LFD실행예산(020110)2855_LFD부산실행예산(020319)건축" xfId="29368"/>
    <cellStyle name="Aþ¸¶ [_LFD실행예산(020110)2855_LFD부산실행예산(020319)건축 2" xfId="24865"/>
    <cellStyle name="Äþ¸¶ [_LFD실행예산(020110)2855_LFD부산실행예산(020319)건축 2" xfId="29369"/>
    <cellStyle name="Aþ¸¶ [_LFD실행예산(020110)2855_경서실행(견적실)공무팀" xfId="24866"/>
    <cellStyle name="Äþ¸¶ [_LFD실행예산(020110)2855_경서실행(견적실)공무팀" xfId="29370"/>
    <cellStyle name="Aþ¸¶ [_LFD실행예산(020110)2855_경서실행(견적실)공무팀 2" xfId="24867"/>
    <cellStyle name="Äþ¸¶ [_LFD실행예산(020110)2855_경서실행(견적실)공무팀 2" xfId="29371"/>
    <cellStyle name="Aþ¸¶ [_LFD실행예산(020110)2855_골조공사견적가분석-1" xfId="24868"/>
    <cellStyle name="Äþ¸¶ [_LFD실행예산(020110)2855_골조공사견적가분석-1" xfId="29372"/>
    <cellStyle name="Aþ¸¶ [_LFD실행예산(020110)2855_골조공사견적가분석-1 2" xfId="24869"/>
    <cellStyle name="Äþ¸¶ [_LFD실행예산(020110)2855_골조공사견적가분석-1 2" xfId="29373"/>
    <cellStyle name="Aþ¸¶ [_LFD실행예산(020110)2855_골조공사공내역(송부)" xfId="24870"/>
    <cellStyle name="Äþ¸¶ [_LFD실행예산(020110)2855_골조공사공내역(송부)" xfId="29374"/>
    <cellStyle name="Aþ¸¶ [_LFD실행예산(020110)2855_골조공사공내역(송부) 2" xfId="24871"/>
    <cellStyle name="Äþ¸¶ [_LFD실행예산(020110)2855_골조공사공내역(송부) 2" xfId="29375"/>
    <cellStyle name="Aþ¸¶ [_LFD실행예산(020110)2855_골조공사공내역(장)" xfId="24872"/>
    <cellStyle name="Äþ¸¶ [_LFD실행예산(020110)2855_골조공사공내역(장)" xfId="29376"/>
    <cellStyle name="Aþ¸¶ [_LFD실행예산(020110)2855_골조공사공내역(장) 2" xfId="24873"/>
    <cellStyle name="Äþ¸¶ [_LFD실행예산(020110)2855_골조공사공내역(장) 2" xfId="29377"/>
    <cellStyle name="Aþ¸¶ [_LFD실행예산(020110)2855_골조공사실행예산품의" xfId="24874"/>
    <cellStyle name="Äþ¸¶ [_LFD실행예산(020110)2855_골조공사실행예산품의" xfId="29378"/>
    <cellStyle name="Aþ¸¶ [_LFD실행예산(020110)2855_골조공사실행예산품의 2" xfId="24875"/>
    <cellStyle name="Äþ¸¶ [_LFD실행예산(020110)2855_골조공사실행예산품의 2" xfId="29379"/>
    <cellStyle name="Aþ¸¶ [_LFD실행예산(020110)2855_동명2차실행예산(기초DATA)" xfId="24876"/>
    <cellStyle name="Äþ¸¶ [_LFD실행예산(020110)2855_동명2차실행예산(기초DATA)" xfId="29380"/>
    <cellStyle name="Aþ¸¶ [_LFD실행예산(020110)2855_동명2차실행예산(기초DATA) 2" xfId="24877"/>
    <cellStyle name="Äþ¸¶ [_LFD실행예산(020110)2855_동명2차실행예산(기초DATA) 2" xfId="29381"/>
    <cellStyle name="Aþ¸¶ [_LFD실행예산(020110)2855_동명본실행(수정)" xfId="24878"/>
    <cellStyle name="Äþ¸¶ [_LFD실행예산(020110)2855_동명본실행(수정)" xfId="29382"/>
    <cellStyle name="Aþ¸¶ [_LFD실행예산(020110)2855_동명본실행(수정) 2" xfId="24879"/>
    <cellStyle name="Äþ¸¶ [_LFD실행예산(020110)2855_동명본실행(수정) 2" xfId="29383"/>
    <cellStyle name="Aþ¸¶ [_LFD실행예산(020110)2855_동명삼화견본주택 기본안" xfId="24880"/>
    <cellStyle name="Äþ¸¶ [_LFD실행예산(020110)2855_동명삼화견본주택 기본안" xfId="29384"/>
    <cellStyle name="Aþ¸¶ [_LFD실행예산(020110)2855_동명삼화견본주택 기본안 2" xfId="24881"/>
    <cellStyle name="Äþ¸¶ [_LFD실행예산(020110)2855_동명삼화견본주택 기본안 2" xfId="29385"/>
    <cellStyle name="Aþ¸¶ [_LFD실행예산(020110)2855_동명실행예산-1" xfId="24882"/>
    <cellStyle name="Äþ¸¶ [_LFD실행예산(020110)2855_동명실행예산-1" xfId="29386"/>
    <cellStyle name="Aþ¸¶ [_LFD실행예산(020110)2855_동명실행예산-1 2" xfId="24883"/>
    <cellStyle name="Äþ¸¶ [_LFD실행예산(020110)2855_동명실행예산-1 2" xfId="29387"/>
    <cellStyle name="Aþ¸¶ [_LFD실행예산(020110)2855_부산덕천2차실행예산(기초DATA)" xfId="24884"/>
    <cellStyle name="Äþ¸¶ [_LFD실행예산(020110)2855_부산덕천2차실행예산(기초DATA)" xfId="29388"/>
    <cellStyle name="Aþ¸¶ [_LFD실행예산(020110)2855_부산덕천2차실행예산(기초DATA) 2" xfId="24885"/>
    <cellStyle name="Äþ¸¶ [_LFD실행예산(020110)2855_부산덕천2차실행예산(기초DATA) 2" xfId="29389"/>
    <cellStyle name="Aþ¸¶ [_LFD실행예산(020110)2855_부산덕천2차실행예산(기초DATA건설조정)" xfId="24886"/>
    <cellStyle name="Äþ¸¶ [_LFD실행예산(020110)2855_부산덕천2차실행예산(기초DATA건설조정)" xfId="29390"/>
    <cellStyle name="Aþ¸¶ [_LFD실행예산(020110)2855_부산덕천2차실행예산(기초DATA건설조정) 2" xfId="24887"/>
    <cellStyle name="Äþ¸¶ [_LFD실행예산(020110)2855_부산덕천2차실행예산(기초DATA건설조정) 2" xfId="29391"/>
    <cellStyle name="Aþ¸¶ [_LFD실행예산(020110)2855_부산덕천2차실행예산(기초DATA승인용)" xfId="24888"/>
    <cellStyle name="Äþ¸¶ [_LFD실행예산(020110)2855_부산덕천2차실행예산(기초DATA승인용)" xfId="29392"/>
    <cellStyle name="Aþ¸¶ [_LFD실행예산(020110)2855_부산덕천2차실행예산(기초DATA승인용) 2" xfId="24889"/>
    <cellStyle name="Äþ¸¶ [_LFD실행예산(020110)2855_부산덕천2차실행예산(기초DATA승인용) 2" xfId="29393"/>
    <cellStyle name="Aþ¸¶ [_LFD실행예산(020110)2855_부산덕천2차실행예산(기초DATA현장협의후)" xfId="24890"/>
    <cellStyle name="Äþ¸¶ [_LFD실행예산(020110)2855_부산덕천2차실행예산(기초DATA현장협의후)" xfId="29394"/>
    <cellStyle name="Aþ¸¶ [_LFD실행예산(020110)2855_부산덕천2차실행예산(기초DATA현장협의후) 2" xfId="24891"/>
    <cellStyle name="Äþ¸¶ [_LFD실행예산(020110)2855_부산덕천2차실행예산(기초DATA현장협의후) 2" xfId="29395"/>
    <cellStyle name="Aþ¸¶ [_LFD실행예산(020110)2855_실행검토_부산덕천" xfId="24892"/>
    <cellStyle name="Äþ¸¶ [_LFD실행예산(020110)2855_실행검토_부산덕천" xfId="29396"/>
    <cellStyle name="Aþ¸¶ [_LFD실행예산(020110)2855_실행검토_부산덕천 2" xfId="24893"/>
    <cellStyle name="Äþ¸¶ [_LFD실행예산(020110)2855_실행검토_부산덕천 2" xfId="29397"/>
    <cellStyle name="Aþ¸¶ [_LFD실행예산(020110)2855_여의도센터빌딩실행원가(020613)-2" xfId="24894"/>
    <cellStyle name="Äþ¸¶ [_LFD실행예산(020110)2855_여의도센터빌딩실행원가(020613)-2" xfId="29398"/>
    <cellStyle name="Aþ¸¶ [_LFD실행예산(020110)2855_여의도센터빌딩실행원가(020613)-2 2" xfId="24895"/>
    <cellStyle name="Äþ¸¶ [_LFD실행예산(020110)2855_여의도센터빌딩실행원가(020613)-2 2" xfId="29399"/>
    <cellStyle name="Aþ¸¶ [_LFD실행예산(020110)2855_제과충주영업소견적서" xfId="24896"/>
    <cellStyle name="Äþ¸¶ [_LFD실행예산(020110)2855_제과충주영업소견적서" xfId="29400"/>
    <cellStyle name="Aþ¸¶ [_LFD실행예산(020110)2855_제과충주영업소견적서 2" xfId="24897"/>
    <cellStyle name="Äþ¸¶ [_LFD실행예산(020110)2855_제과충주영업소견적서 2" xfId="29401"/>
    <cellStyle name="Aþ¸¶ [_LFD실행예산(020110)2855_현장경비신청안박성남" xfId="24898"/>
    <cellStyle name="Äþ¸¶ [_LFD실행예산(020110)2855_현장경비신청안박성남" xfId="29402"/>
    <cellStyle name="Aþ¸¶ [_LFD실행예산(020110)2855_현장경비신청안박성남 2" xfId="24899"/>
    <cellStyle name="Äþ¸¶ [_LFD실행예산(020110)2855_현장경비신청안박성남 2" xfId="29403"/>
    <cellStyle name="Aþ¸¶ [_경서실행(견적실)공무팀" xfId="24900"/>
    <cellStyle name="Äþ¸¶ [_경서실행(견적실)공무팀" xfId="29404"/>
    <cellStyle name="Aþ¸¶ [_경서실행(견적실)공무팀 2" xfId="24901"/>
    <cellStyle name="Äþ¸¶ [_경서실행(견적실)공무팀 2" xfId="29405"/>
    <cellStyle name="Aþ¸¶ [_경서실행(견적실)공무팀_1" xfId="24902"/>
    <cellStyle name="Äþ¸¶ [_경서실행(견적실)공무팀_1" xfId="29406"/>
    <cellStyle name="Aþ¸¶ [_경서실행(견적실)공무팀_1 2" xfId="24903"/>
    <cellStyle name="Äþ¸¶ [_경서실행(견적실)공무팀_1 2" xfId="29407"/>
    <cellStyle name="Aþ¸¶ [_경서실행(견적실)공무팀_1_레몬영화egi내역서(13968천원)" xfId="24904"/>
    <cellStyle name="Äþ¸¶ [_경서실행(견적실)공무팀_1_레몬영화egi내역서(13968천원)" xfId="29408"/>
    <cellStyle name="Aþ¸¶ [_경서실행(견적실)공무팀_1_레몬영화egi내역서(13968천원) 2" xfId="24905"/>
    <cellStyle name="Äþ¸¶ [_경서실행(견적실)공무팀_1_레몬영화egi내역서(13968천원) 2" xfId="29409"/>
    <cellStyle name="Aþ¸¶ [_광주공장 도급내역(변경03.1.07)" xfId="24906"/>
    <cellStyle name="Äþ¸¶ [_광주공장 도급내역(변경03.1.07)" xfId="29410"/>
    <cellStyle name="Aþ¸¶ [_광주공장 도급내역(변경03.1.07) 2" xfId="24907"/>
    <cellStyle name="Äþ¸¶ [_광주공장 도급내역(변경03.1.07) 2" xfId="29411"/>
    <cellStyle name="Aþ¸¶ [_광주공장 도급내역(변경03.1.21)" xfId="24908"/>
    <cellStyle name="Äþ¸¶ [_광주공장 도급내역(변경03.1.21)" xfId="29412"/>
    <cellStyle name="Aþ¸¶ [_광주공장 도급내역(변경03.1.21) 2" xfId="24909"/>
    <cellStyle name="Äþ¸¶ [_광주공장 도급내역(변경03.1.21) 2" xfId="29413"/>
    <cellStyle name="Aþ¸¶ [_광주공장(대비1218)" xfId="24910"/>
    <cellStyle name="Äþ¸¶ [_광주공장(대비1218)" xfId="29414"/>
    <cellStyle name="Aþ¸¶ [_광주공장(대비1218) 2" xfId="24911"/>
    <cellStyle name="Äþ¸¶ [_광주공장(대비1218) 2" xfId="29415"/>
    <cellStyle name="Aþ¸¶ [_기계실행(LFD광주공장.현설용)" xfId="24912"/>
    <cellStyle name="Äþ¸¶ [_기계실행(LFD광주공장.현설용)" xfId="29416"/>
    <cellStyle name="Aþ¸¶ [_기계실행(LFD광주공장.현설용) 2" xfId="24913"/>
    <cellStyle name="Äþ¸¶ [_기계실행(LFD광주공장.현설용) 2" xfId="29417"/>
    <cellStyle name="Aþ¸¶ [_동명삼화 현장설명(본사지급)" xfId="24914"/>
    <cellStyle name="Äþ¸¶ [_동명삼화 현장설명(본사지급)" xfId="29418"/>
    <cellStyle name="Aþ¸¶ [_동명삼화 현장설명(본사지급) 2" xfId="24915"/>
    <cellStyle name="Äþ¸¶ [_동명삼화 현장설명(본사지급) 2" xfId="29419"/>
    <cellStyle name="Aþ¸¶ [_동명삼화 현장설명(본사지급)_울산신정동수주검토(2003.01.21에어컨)" xfId="24916"/>
    <cellStyle name="Äþ¸¶ [_동명삼화 현장설명(본사지급)_울산신정동수주검토(2003.01.21에어컨)" xfId="29420"/>
    <cellStyle name="Aþ¸¶ [_동명삼화 현장설명(본사지급)_울산신정동수주검토(2003.01.21에어컨) 2" xfId="24917"/>
    <cellStyle name="Äþ¸¶ [_동명삼화 현장설명(본사지급)_울산신정동수주검토(2003.01.21에어컨) 2" xfId="29421"/>
    <cellStyle name="Aþ¸¶ [_동명삼화견본주택 기본안" xfId="24918"/>
    <cellStyle name="Äþ¸¶ [_동명삼화견본주택 기본안" xfId="29422"/>
    <cellStyle name="Aþ¸¶ [_동명삼화견본주택 기본안 2" xfId="24919"/>
    <cellStyle name="Äþ¸¶ [_동명삼화견본주택 기본안 2" xfId="29423"/>
    <cellStyle name="Aþ¸¶ [_동명삼화기계공사 물량집계" xfId="24920"/>
    <cellStyle name="Äþ¸¶ [_동명삼화기계공사 물량집계" xfId="29424"/>
    <cellStyle name="Aþ¸¶ [_동명삼화기계공사 물량집계 2" xfId="24921"/>
    <cellStyle name="Äþ¸¶ [_동명삼화기계공사 물량집계 2" xfId="29425"/>
    <cellStyle name="Aþ¸¶ [_동명삼화재건축아파트" xfId="24922"/>
    <cellStyle name="Äþ¸¶ [_동명삼화재건축아파트" xfId="29426"/>
    <cellStyle name="Aþ¸¶ [_동명삼화재건축아파트 2" xfId="24923"/>
    <cellStyle name="Äþ¸¶ [_동명삼화재건축아파트 2" xfId="29427"/>
    <cellStyle name="Aþ¸¶ [_동명실행예산-1" xfId="24924"/>
    <cellStyle name="Äþ¸¶ [_동명실행예산-1" xfId="29428"/>
    <cellStyle name="Aþ¸¶ [_동명실행예산-1 2" xfId="24925"/>
    <cellStyle name="Äþ¸¶ [_동명실행예산-1 2" xfId="29429"/>
    <cellStyle name="Aþ¸¶ [_롯데동명삼화평당단가비교" xfId="24926"/>
    <cellStyle name="Äþ¸¶ [_롯데동명삼화평당단가비교" xfId="29430"/>
    <cellStyle name="Aþ¸¶ [_롯데동명삼화평당단가비교 2" xfId="24927"/>
    <cellStyle name="Äþ¸¶ [_롯데동명삼화평당단가비교 2" xfId="29431"/>
    <cellStyle name="Aþ¸¶ [_마곡보완" xfId="24928"/>
    <cellStyle name="Äþ¸¶ [_마곡보완" xfId="29432"/>
    <cellStyle name="Aþ¸¶ [_마곡보완 2" xfId="24929"/>
    <cellStyle name="Äþ¸¶ [_마곡보완 2" xfId="29433"/>
    <cellStyle name="Aþ¸¶ [_마곡보완_Lemon 수원영화점 기계도급내역(최종보고)" xfId="24930"/>
    <cellStyle name="Äþ¸¶ [_마곡보완_Lemon 수원영화점 기계도급내역(최종보고)" xfId="29434"/>
    <cellStyle name="Aþ¸¶ [_마곡보완_Lemon 수원영화점 기계도급내역(최종보고) 2" xfId="24931"/>
    <cellStyle name="Äþ¸¶ [_마곡보완_Lemon 수원영화점 기계도급내역(최종보고) 2" xfId="29435"/>
    <cellStyle name="Aþ¸¶ [_마곡보완_Lemon 수원영화점(기계공사)" xfId="24932"/>
    <cellStyle name="Äþ¸¶ [_마곡보완_Lemon 수원영화점(기계공사)" xfId="29436"/>
    <cellStyle name="Aþ¸¶ [_마곡보완_Lemon 수원영화점(기계공사) 2" xfId="24933"/>
    <cellStyle name="Äþ¸¶ [_마곡보완_Lemon 수원영화점(기계공사) 2" xfId="29437"/>
    <cellStyle name="Aþ¸¶ [_마곡보완_LFD부산실행예산(020219)건축" xfId="24934"/>
    <cellStyle name="Äþ¸¶ [_마곡보완_LFD부산실행예산(020219)건축" xfId="29438"/>
    <cellStyle name="Aþ¸¶ [_마곡보완_LFD부산실행예산(020219)건축 2" xfId="24935"/>
    <cellStyle name="Äþ¸¶ [_마곡보완_LFD부산실행예산(020219)건축 2" xfId="29439"/>
    <cellStyle name="Aþ¸¶ [_마곡보완_LFD부산실행예산(020219)건축_경서실행(견적실)공무팀" xfId="24936"/>
    <cellStyle name="Äþ¸¶ [_마곡보완_LFD부산실행예산(020219)건축_경서실행(견적실)공무팀" xfId="29440"/>
    <cellStyle name="Aþ¸¶ [_마곡보완_LFD부산실행예산(020219)건축_경서실행(견적실)공무팀 2" xfId="24937"/>
    <cellStyle name="Äþ¸¶ [_마곡보완_LFD부산실행예산(020219)건축_경서실행(견적실)공무팀 2" xfId="29441"/>
    <cellStyle name="Aþ¸¶ [_마곡보완_LFD부산실행예산(020219)건축_골조공사견적가분석-1" xfId="24938"/>
    <cellStyle name="Äþ¸¶ [_마곡보완_LFD부산실행예산(020219)건축_골조공사견적가분석-1" xfId="29442"/>
    <cellStyle name="Aþ¸¶ [_마곡보완_LFD부산실행예산(020219)건축_골조공사견적가분석-1 2" xfId="24939"/>
    <cellStyle name="Äþ¸¶ [_마곡보완_LFD부산실행예산(020219)건축_골조공사견적가분석-1 2" xfId="29443"/>
    <cellStyle name="Aþ¸¶ [_마곡보완_LFD부산실행예산(020219)건축_골조공사공내역(송부)" xfId="24940"/>
    <cellStyle name="Äþ¸¶ [_마곡보완_LFD부산실행예산(020219)건축_골조공사공내역(송부)" xfId="29444"/>
    <cellStyle name="Aþ¸¶ [_마곡보완_LFD부산실행예산(020219)건축_골조공사공내역(송부) 2" xfId="24941"/>
    <cellStyle name="Äþ¸¶ [_마곡보완_LFD부산실행예산(020219)건축_골조공사공내역(송부) 2" xfId="29445"/>
    <cellStyle name="Aþ¸¶ [_마곡보완_LFD부산실행예산(020219)건축_골조공사공내역(장)" xfId="24942"/>
    <cellStyle name="Äþ¸¶ [_마곡보완_LFD부산실행예산(020219)건축_골조공사공내역(장)" xfId="29446"/>
    <cellStyle name="Aþ¸¶ [_마곡보완_LFD부산실행예산(020219)건축_골조공사공내역(장) 2" xfId="24943"/>
    <cellStyle name="Äþ¸¶ [_마곡보완_LFD부산실행예산(020219)건축_골조공사공내역(장) 2" xfId="29447"/>
    <cellStyle name="Aþ¸¶ [_마곡보완_LFD부산실행예산(020219)건축_골조공사실행예산품의" xfId="24944"/>
    <cellStyle name="Äþ¸¶ [_마곡보완_LFD부산실행예산(020219)건축_골조공사실행예산품의" xfId="29448"/>
    <cellStyle name="Aþ¸¶ [_마곡보완_LFD부산실행예산(020219)건축_골조공사실행예산품의 2" xfId="24945"/>
    <cellStyle name="Äþ¸¶ [_마곡보완_LFD부산실행예산(020219)건축_골조공사실행예산품의 2" xfId="29449"/>
    <cellStyle name="Aþ¸¶ [_마곡보완_LFD부산실행예산(020219)건축_동명2차실행예산(기초DATA)" xfId="24946"/>
    <cellStyle name="Äþ¸¶ [_마곡보완_LFD부산실행예산(020219)건축_동명2차실행예산(기초DATA)" xfId="29450"/>
    <cellStyle name="Aþ¸¶ [_마곡보완_LFD부산실행예산(020219)건축_동명2차실행예산(기초DATA) 2" xfId="24947"/>
    <cellStyle name="Äþ¸¶ [_마곡보완_LFD부산실행예산(020219)건축_동명2차실행예산(기초DATA) 2" xfId="29451"/>
    <cellStyle name="Aþ¸¶ [_마곡보완_LFD부산실행예산(020219)건축_동명본실행(수정)" xfId="24948"/>
    <cellStyle name="Äþ¸¶ [_마곡보완_LFD부산실행예산(020219)건축_동명본실행(수정)" xfId="29452"/>
    <cellStyle name="Aþ¸¶ [_마곡보완_LFD부산실행예산(020219)건축_동명본실행(수정) 2" xfId="24949"/>
    <cellStyle name="Äþ¸¶ [_마곡보완_LFD부산실행예산(020219)건축_동명본실행(수정) 2" xfId="29453"/>
    <cellStyle name="Aþ¸¶ [_마곡보완_LFD부산실행예산(020219)건축_동명삼화견본주택 기본안" xfId="24950"/>
    <cellStyle name="Äþ¸¶ [_마곡보완_LFD부산실행예산(020219)건축_동명삼화견본주택 기본안" xfId="29454"/>
    <cellStyle name="Aþ¸¶ [_마곡보완_LFD부산실행예산(020219)건축_동명삼화견본주택 기본안 2" xfId="24951"/>
    <cellStyle name="Äþ¸¶ [_마곡보완_LFD부산실행예산(020219)건축_동명삼화견본주택 기본안 2" xfId="29455"/>
    <cellStyle name="Aþ¸¶ [_마곡보완_LFD부산실행예산(020219)건축_부산덕천2차실행예산(기초DATA)" xfId="24952"/>
    <cellStyle name="Äþ¸¶ [_마곡보완_LFD부산실행예산(020219)건축_부산덕천2차실행예산(기초DATA)" xfId="29456"/>
    <cellStyle name="Aþ¸¶ [_마곡보완_LFD부산실행예산(020219)건축_부산덕천2차실행예산(기초DATA) 2" xfId="24953"/>
    <cellStyle name="Äþ¸¶ [_마곡보완_LFD부산실행예산(020219)건축_부산덕천2차실행예산(기초DATA) 2" xfId="29457"/>
    <cellStyle name="Aþ¸¶ [_마곡보완_LFD부산실행예산(020219)건축_부산덕천2차실행예산(기초DATA건설조정)" xfId="24954"/>
    <cellStyle name="Äþ¸¶ [_마곡보완_LFD부산실행예산(020219)건축_부산덕천2차실행예산(기초DATA건설조정)" xfId="29458"/>
    <cellStyle name="Aþ¸¶ [_마곡보완_LFD부산실행예산(020219)건축_부산덕천2차실행예산(기초DATA건설조정) 2" xfId="24955"/>
    <cellStyle name="Äþ¸¶ [_마곡보완_LFD부산실행예산(020219)건축_부산덕천2차실행예산(기초DATA건설조정) 2" xfId="29459"/>
    <cellStyle name="Aþ¸¶ [_마곡보완_LFD부산실행예산(020219)건축_부산덕천2차실행예산(기초DATA승인용)" xfId="24956"/>
    <cellStyle name="Äþ¸¶ [_마곡보완_LFD부산실행예산(020219)건축_부산덕천2차실행예산(기초DATA승인용)" xfId="29460"/>
    <cellStyle name="Aþ¸¶ [_마곡보완_LFD부산실행예산(020219)건축_부산덕천2차실행예산(기초DATA승인용) 2" xfId="24957"/>
    <cellStyle name="Äþ¸¶ [_마곡보완_LFD부산실행예산(020219)건축_부산덕천2차실행예산(기초DATA승인용) 2" xfId="29461"/>
    <cellStyle name="Aþ¸¶ [_마곡보완_LFD부산실행예산(020219)건축_부산덕천2차실행예산(기초DATA현장협의후)" xfId="24958"/>
    <cellStyle name="Äþ¸¶ [_마곡보완_LFD부산실행예산(020219)건축_부산덕천2차실행예산(기초DATA현장협의후)" xfId="29462"/>
    <cellStyle name="Aþ¸¶ [_마곡보완_LFD부산실행예산(020219)건축_부산덕천2차실행예산(기초DATA현장협의후) 2" xfId="24959"/>
    <cellStyle name="Äþ¸¶ [_마곡보완_LFD부산실행예산(020219)건축_부산덕천2차실행예산(기초DATA현장협의후) 2" xfId="29463"/>
    <cellStyle name="Aþ¸¶ [_마곡보완_LFD부산실행예산(020219)건축_실행검토_부산덕천" xfId="24960"/>
    <cellStyle name="Äþ¸¶ [_마곡보완_LFD부산실행예산(020219)건축_실행검토_부산덕천" xfId="29464"/>
    <cellStyle name="Aþ¸¶ [_마곡보완_LFD부산실행예산(020219)건축_실행검토_부산덕천 2" xfId="24961"/>
    <cellStyle name="Äþ¸¶ [_마곡보완_LFD부산실행예산(020219)건축_실행검토_부산덕천 2" xfId="29465"/>
    <cellStyle name="Aþ¸¶ [_마곡보완_LFD부산실행예산(020219)건축_여의도센터빌딩실행원가(020613)-2" xfId="24962"/>
    <cellStyle name="Äþ¸¶ [_마곡보완_LFD부산실행예산(020219)건축_여의도센터빌딩실행원가(020613)-2" xfId="29466"/>
    <cellStyle name="Aþ¸¶ [_마곡보완_LFD부산실행예산(020219)건축_여의도센터빌딩실행원가(020613)-2 2" xfId="24963"/>
    <cellStyle name="Äþ¸¶ [_마곡보완_LFD부산실행예산(020219)건축_여의도센터빌딩실행원가(020613)-2 2" xfId="29467"/>
    <cellStyle name="Aþ¸¶ [_마곡보완_LFD부산실행예산(020219)건축_제과충주영업소견적서" xfId="24964"/>
    <cellStyle name="Äþ¸¶ [_마곡보완_LFD부산실행예산(020219)건축_제과충주영업소견적서" xfId="29468"/>
    <cellStyle name="Aþ¸¶ [_마곡보완_LFD부산실행예산(020219)건축_제과충주영업소견적서 2" xfId="24965"/>
    <cellStyle name="Äþ¸¶ [_마곡보완_LFD부산실행예산(020219)건축_제과충주영업소견적서 2" xfId="29469"/>
    <cellStyle name="Aþ¸¶ [_마곡보완_LFD부산실행예산(020219)건축_현장경비신청안박성남" xfId="24966"/>
    <cellStyle name="Äþ¸¶ [_마곡보완_LFD부산실행예산(020219)건축_현장경비신청안박성남" xfId="29470"/>
    <cellStyle name="Aþ¸¶ [_마곡보완_LFD부산실행예산(020219)건축_현장경비신청안박성남 2" xfId="24967"/>
    <cellStyle name="Äþ¸¶ [_마곡보완_LFD부산실행예산(020219)건축_현장경비신청안박성남 2" xfId="29471"/>
    <cellStyle name="Aþ¸¶ [_마곡보완_LFD부산실행예산(020305)건축" xfId="24968"/>
    <cellStyle name="Äþ¸¶ [_마곡보완_LFD부산실행예산(020305)건축" xfId="29472"/>
    <cellStyle name="Aþ¸¶ [_마곡보완_LFD부산실행예산(020305)건축 2" xfId="24969"/>
    <cellStyle name="Äþ¸¶ [_마곡보완_LFD부산실행예산(020305)건축 2" xfId="29473"/>
    <cellStyle name="Aþ¸¶ [_마곡보완_LFD부산실행예산(020305)건축_경서실행(견적실)공무팀" xfId="24970"/>
    <cellStyle name="Äþ¸¶ [_마곡보완_LFD부산실행예산(020305)건축_경서실행(견적실)공무팀" xfId="29474"/>
    <cellStyle name="Aþ¸¶ [_마곡보완_LFD부산실행예산(020305)건축_경서실행(견적실)공무팀 2" xfId="24971"/>
    <cellStyle name="Äþ¸¶ [_마곡보완_LFD부산실행예산(020305)건축_경서실행(견적실)공무팀 2" xfId="29475"/>
    <cellStyle name="Aþ¸¶ [_마곡보완_LFD부산실행예산(020305)건축_골조공사견적가분석-1" xfId="24972"/>
    <cellStyle name="Äþ¸¶ [_마곡보완_LFD부산실행예산(020305)건축_골조공사견적가분석-1" xfId="29476"/>
    <cellStyle name="Aþ¸¶ [_마곡보완_LFD부산실행예산(020305)건축_골조공사견적가분석-1 2" xfId="24973"/>
    <cellStyle name="Äþ¸¶ [_마곡보완_LFD부산실행예산(020305)건축_골조공사견적가분석-1 2" xfId="29477"/>
    <cellStyle name="Aþ¸¶ [_마곡보완_LFD부산실행예산(020305)건축_골조공사공내역(송부)" xfId="24974"/>
    <cellStyle name="Äþ¸¶ [_마곡보완_LFD부산실행예산(020305)건축_골조공사공내역(송부)" xfId="29478"/>
    <cellStyle name="Aþ¸¶ [_마곡보완_LFD부산실행예산(020305)건축_골조공사공내역(송부) 2" xfId="24975"/>
    <cellStyle name="Äþ¸¶ [_마곡보완_LFD부산실행예산(020305)건축_골조공사공내역(송부) 2" xfId="29479"/>
    <cellStyle name="Aþ¸¶ [_마곡보완_LFD부산실행예산(020305)건축_골조공사공내역(장)" xfId="24976"/>
    <cellStyle name="Äþ¸¶ [_마곡보완_LFD부산실행예산(020305)건축_골조공사공내역(장)" xfId="29480"/>
    <cellStyle name="Aþ¸¶ [_마곡보완_LFD부산실행예산(020305)건축_골조공사공내역(장) 2" xfId="24977"/>
    <cellStyle name="Äþ¸¶ [_마곡보완_LFD부산실행예산(020305)건축_골조공사공내역(장) 2" xfId="29481"/>
    <cellStyle name="Aþ¸¶ [_마곡보완_LFD부산실행예산(020305)건축_골조공사실행예산품의" xfId="24978"/>
    <cellStyle name="Äþ¸¶ [_마곡보완_LFD부산실행예산(020305)건축_골조공사실행예산품의" xfId="29482"/>
    <cellStyle name="Aþ¸¶ [_마곡보완_LFD부산실행예산(020305)건축_골조공사실행예산품의 2" xfId="24979"/>
    <cellStyle name="Äþ¸¶ [_마곡보완_LFD부산실행예산(020305)건축_골조공사실행예산품의 2" xfId="29483"/>
    <cellStyle name="Aþ¸¶ [_마곡보완_LFD부산실행예산(020305)건축_동명2차실행예산(기초DATA)" xfId="24980"/>
    <cellStyle name="Äþ¸¶ [_마곡보완_LFD부산실행예산(020305)건축_동명2차실행예산(기초DATA)" xfId="29484"/>
    <cellStyle name="Aþ¸¶ [_마곡보완_LFD부산실행예산(020305)건축_동명2차실행예산(기초DATA) 2" xfId="24981"/>
    <cellStyle name="Äþ¸¶ [_마곡보완_LFD부산실행예산(020305)건축_동명2차실행예산(기초DATA) 2" xfId="29485"/>
    <cellStyle name="Aþ¸¶ [_마곡보완_LFD부산실행예산(020305)건축_동명본실행(수정)" xfId="24982"/>
    <cellStyle name="Äþ¸¶ [_마곡보완_LFD부산실행예산(020305)건축_동명본실행(수정)" xfId="29486"/>
    <cellStyle name="Aþ¸¶ [_마곡보완_LFD부산실행예산(020305)건축_동명본실행(수정) 2" xfId="24983"/>
    <cellStyle name="Äþ¸¶ [_마곡보완_LFD부산실행예산(020305)건축_동명본실행(수정) 2" xfId="29487"/>
    <cellStyle name="Aþ¸¶ [_마곡보완_LFD부산실행예산(020305)건축_부산덕천2차실행예산(기초DATA)" xfId="24984"/>
    <cellStyle name="Äþ¸¶ [_마곡보완_LFD부산실행예산(020305)건축_부산덕천2차실행예산(기초DATA)" xfId="29488"/>
    <cellStyle name="Aþ¸¶ [_마곡보완_LFD부산실행예산(020305)건축_부산덕천2차실행예산(기초DATA) 2" xfId="24985"/>
    <cellStyle name="Äþ¸¶ [_마곡보완_LFD부산실행예산(020305)건축_부산덕천2차실행예산(기초DATA) 2" xfId="29489"/>
    <cellStyle name="Aþ¸¶ [_마곡보완_LFD부산실행예산(020305)건축_부산덕천2차실행예산(기초DATA건설조정)" xfId="24986"/>
    <cellStyle name="Äþ¸¶ [_마곡보완_LFD부산실행예산(020305)건축_부산덕천2차실행예산(기초DATA건설조정)" xfId="29490"/>
    <cellStyle name="Aþ¸¶ [_마곡보완_LFD부산실행예산(020305)건축_부산덕천2차실행예산(기초DATA건설조정) 2" xfId="24987"/>
    <cellStyle name="Äþ¸¶ [_마곡보완_LFD부산실행예산(020305)건축_부산덕천2차실행예산(기초DATA건설조정) 2" xfId="29491"/>
    <cellStyle name="Aþ¸¶ [_마곡보완_LFD부산실행예산(020305)건축_부산덕천2차실행예산(기초DATA승인용)" xfId="24988"/>
    <cellStyle name="Äþ¸¶ [_마곡보완_LFD부산실행예산(020305)건축_부산덕천2차실행예산(기초DATA승인용)" xfId="29492"/>
    <cellStyle name="Aþ¸¶ [_마곡보완_LFD부산실행예산(020305)건축_부산덕천2차실행예산(기초DATA승인용) 2" xfId="24989"/>
    <cellStyle name="Äþ¸¶ [_마곡보완_LFD부산실행예산(020305)건축_부산덕천2차실행예산(기초DATA승인용) 2" xfId="29493"/>
    <cellStyle name="Aþ¸¶ [_마곡보완_LFD부산실행예산(020305)건축_부산덕천2차실행예산(기초DATA현장협의후)" xfId="24990"/>
    <cellStyle name="Äþ¸¶ [_마곡보완_LFD부산실행예산(020305)건축_부산덕천2차실행예산(기초DATA현장협의후)" xfId="29494"/>
    <cellStyle name="Aþ¸¶ [_마곡보완_LFD부산실행예산(020305)건축_부산덕천2차실행예산(기초DATA현장협의후) 2" xfId="24991"/>
    <cellStyle name="Äþ¸¶ [_마곡보완_LFD부산실행예산(020305)건축_부산덕천2차실행예산(기초DATA현장협의후) 2" xfId="29495"/>
    <cellStyle name="Aþ¸¶ [_마곡보완_LFD실행예산(020110)2855" xfId="24992"/>
    <cellStyle name="Äþ¸¶ [_마곡보완_LFD실행예산(020110)2855" xfId="29496"/>
    <cellStyle name="Aþ¸¶ [_마곡보완_LFD실행예산(020110)2855 2" xfId="24993"/>
    <cellStyle name="Äþ¸¶ [_마곡보완_LFD실행예산(020110)2855 2" xfId="29497"/>
    <cellStyle name="Aþ¸¶ [_마곡보완_LFD실행예산(020110)2855_LFD부산실행예산(020319)건축" xfId="24994"/>
    <cellStyle name="Äþ¸¶ [_마곡보완_LFD실행예산(020110)2855_LFD부산실행예산(020319)건축" xfId="29498"/>
    <cellStyle name="Aþ¸¶ [_마곡보완_LFD실행예산(020110)2855_LFD부산실행예산(020319)건축 2" xfId="24995"/>
    <cellStyle name="Äþ¸¶ [_마곡보완_LFD실행예산(020110)2855_LFD부산실행예산(020319)건축 2" xfId="29499"/>
    <cellStyle name="Aþ¸¶ [_마곡보완_LFD실행예산(020110)2855_경서실행(견적실)공무팀" xfId="24996"/>
    <cellStyle name="Äþ¸¶ [_마곡보완_LFD실행예산(020110)2855_경서실행(견적실)공무팀" xfId="29500"/>
    <cellStyle name="Aþ¸¶ [_마곡보완_LFD실행예산(020110)2855_경서실행(견적실)공무팀 2" xfId="24997"/>
    <cellStyle name="Äþ¸¶ [_마곡보완_LFD실행예산(020110)2855_경서실행(견적실)공무팀 2" xfId="29501"/>
    <cellStyle name="Aþ¸¶ [_마곡보완_LFD실행예산(020110)2855_골조공사견적가분석-1" xfId="24998"/>
    <cellStyle name="Äþ¸¶ [_마곡보완_LFD실행예산(020110)2855_골조공사견적가분석-1" xfId="29502"/>
    <cellStyle name="Aþ¸¶ [_마곡보완_LFD실행예산(020110)2855_골조공사견적가분석-1 2" xfId="24999"/>
    <cellStyle name="Äþ¸¶ [_마곡보완_LFD실행예산(020110)2855_골조공사견적가분석-1 2" xfId="29503"/>
    <cellStyle name="Aþ¸¶ [_마곡보완_LFD실행예산(020110)2855_골조공사공내역(송부)" xfId="25000"/>
    <cellStyle name="Äþ¸¶ [_마곡보완_LFD실행예산(020110)2855_골조공사공내역(송부)" xfId="29504"/>
    <cellStyle name="Aþ¸¶ [_마곡보완_LFD실행예산(020110)2855_골조공사공내역(송부) 2" xfId="25001"/>
    <cellStyle name="Äþ¸¶ [_마곡보완_LFD실행예산(020110)2855_골조공사공내역(송부) 2" xfId="29505"/>
    <cellStyle name="Aþ¸¶ [_마곡보완_LFD실행예산(020110)2855_골조공사공내역(장)" xfId="25002"/>
    <cellStyle name="Äþ¸¶ [_마곡보완_LFD실행예산(020110)2855_골조공사공내역(장)" xfId="29506"/>
    <cellStyle name="Aþ¸¶ [_마곡보완_LFD실행예산(020110)2855_골조공사공내역(장) 2" xfId="25003"/>
    <cellStyle name="Äþ¸¶ [_마곡보완_LFD실행예산(020110)2855_골조공사공내역(장) 2" xfId="29507"/>
    <cellStyle name="Aþ¸¶ [_마곡보완_LFD실행예산(020110)2855_골조공사실행예산품의" xfId="25004"/>
    <cellStyle name="Äþ¸¶ [_마곡보완_LFD실행예산(020110)2855_골조공사실행예산품의" xfId="29508"/>
    <cellStyle name="Aþ¸¶ [_마곡보완_LFD실행예산(020110)2855_골조공사실행예산품의 2" xfId="25005"/>
    <cellStyle name="Äþ¸¶ [_마곡보완_LFD실행예산(020110)2855_골조공사실행예산품의 2" xfId="29509"/>
    <cellStyle name="Aþ¸¶ [_마곡보완_LFD실행예산(020110)2855_동명2차실행예산(기초DATA)" xfId="25006"/>
    <cellStyle name="Äþ¸¶ [_마곡보완_LFD실행예산(020110)2855_동명2차실행예산(기초DATA)" xfId="29510"/>
    <cellStyle name="Aþ¸¶ [_마곡보완_LFD실행예산(020110)2855_동명2차실행예산(기초DATA) 2" xfId="25007"/>
    <cellStyle name="Äþ¸¶ [_마곡보완_LFD실행예산(020110)2855_동명2차실행예산(기초DATA) 2" xfId="29511"/>
    <cellStyle name="Aþ¸¶ [_마곡보완_LFD실행예산(020110)2855_동명본실행(수정)" xfId="25008"/>
    <cellStyle name="Äþ¸¶ [_마곡보완_LFD실행예산(020110)2855_동명본실행(수정)" xfId="29512"/>
    <cellStyle name="Aþ¸¶ [_마곡보완_LFD실행예산(020110)2855_동명본실행(수정) 2" xfId="25009"/>
    <cellStyle name="Äþ¸¶ [_마곡보완_LFD실행예산(020110)2855_동명본실행(수정) 2" xfId="29513"/>
    <cellStyle name="Aþ¸¶ [_마곡보완_LFD실행예산(020110)2855_동명삼화견본주택 기본안" xfId="25010"/>
    <cellStyle name="Äþ¸¶ [_마곡보완_LFD실행예산(020110)2855_동명삼화견본주택 기본안" xfId="29514"/>
    <cellStyle name="Aþ¸¶ [_마곡보완_LFD실행예산(020110)2855_동명삼화견본주택 기본안 2" xfId="25011"/>
    <cellStyle name="Äþ¸¶ [_마곡보완_LFD실행예산(020110)2855_동명삼화견본주택 기본안 2" xfId="29515"/>
    <cellStyle name="Aþ¸¶ [_마곡보완_LFD실행예산(020110)2855_동명실행예산-1" xfId="25012"/>
    <cellStyle name="Äþ¸¶ [_마곡보완_LFD실행예산(020110)2855_동명실행예산-1" xfId="29516"/>
    <cellStyle name="Aþ¸¶ [_마곡보완_LFD실행예산(020110)2855_동명실행예산-1 2" xfId="25013"/>
    <cellStyle name="Äþ¸¶ [_마곡보완_LFD실행예산(020110)2855_동명실행예산-1 2" xfId="29517"/>
    <cellStyle name="Aþ¸¶ [_마곡보완_LFD실행예산(020110)2855_부산덕천2차실행예산(기초DATA)" xfId="25014"/>
    <cellStyle name="Äþ¸¶ [_마곡보완_LFD실행예산(020110)2855_부산덕천2차실행예산(기초DATA)" xfId="29518"/>
    <cellStyle name="Aþ¸¶ [_마곡보완_LFD실행예산(020110)2855_부산덕천2차실행예산(기초DATA) 2" xfId="25015"/>
    <cellStyle name="Äþ¸¶ [_마곡보완_LFD실행예산(020110)2855_부산덕천2차실행예산(기초DATA) 2" xfId="29519"/>
    <cellStyle name="Aþ¸¶ [_마곡보완_LFD실행예산(020110)2855_부산덕천2차실행예산(기초DATA건설조정)" xfId="25016"/>
    <cellStyle name="Äþ¸¶ [_마곡보완_LFD실행예산(020110)2855_부산덕천2차실행예산(기초DATA건설조정)" xfId="29520"/>
    <cellStyle name="Aþ¸¶ [_마곡보완_LFD실행예산(020110)2855_부산덕천2차실행예산(기초DATA건설조정) 2" xfId="25017"/>
    <cellStyle name="Äþ¸¶ [_마곡보완_LFD실행예산(020110)2855_부산덕천2차실행예산(기초DATA건설조정) 2" xfId="29521"/>
    <cellStyle name="Aþ¸¶ [_마곡보완_LFD실행예산(020110)2855_부산덕천2차실행예산(기초DATA승인용)" xfId="25018"/>
    <cellStyle name="Äþ¸¶ [_마곡보완_LFD실행예산(020110)2855_부산덕천2차실행예산(기초DATA승인용)" xfId="29522"/>
    <cellStyle name="Aþ¸¶ [_마곡보완_LFD실행예산(020110)2855_부산덕천2차실행예산(기초DATA승인용) 2" xfId="25019"/>
    <cellStyle name="Äþ¸¶ [_마곡보완_LFD실행예산(020110)2855_부산덕천2차실행예산(기초DATA승인용) 2" xfId="29523"/>
    <cellStyle name="Aþ¸¶ [_마곡보완_LFD실행예산(020110)2855_부산덕천2차실행예산(기초DATA현장협의후)" xfId="25020"/>
    <cellStyle name="Äþ¸¶ [_마곡보완_LFD실행예산(020110)2855_부산덕천2차실행예산(기초DATA현장협의후)" xfId="29524"/>
    <cellStyle name="Aþ¸¶ [_마곡보완_LFD실행예산(020110)2855_부산덕천2차실행예산(기초DATA현장협의후) 2" xfId="25021"/>
    <cellStyle name="Äþ¸¶ [_마곡보완_LFD실행예산(020110)2855_부산덕천2차실행예산(기초DATA현장협의후) 2" xfId="29525"/>
    <cellStyle name="Aþ¸¶ [_마곡보완_LFD실행예산(020110)2855_실행검토_부산덕천" xfId="25022"/>
    <cellStyle name="Äþ¸¶ [_마곡보완_LFD실행예산(020110)2855_실행검토_부산덕천" xfId="29526"/>
    <cellStyle name="Aþ¸¶ [_마곡보완_LFD실행예산(020110)2855_실행검토_부산덕천 2" xfId="25023"/>
    <cellStyle name="Äþ¸¶ [_마곡보완_LFD실행예산(020110)2855_실행검토_부산덕천 2" xfId="29527"/>
    <cellStyle name="Aþ¸¶ [_마곡보완_LFD실행예산(020110)2855_여의도센터빌딩실행원가(020613)-2" xfId="25024"/>
    <cellStyle name="Äþ¸¶ [_마곡보완_LFD실행예산(020110)2855_여의도센터빌딩실행원가(020613)-2" xfId="29528"/>
    <cellStyle name="Aþ¸¶ [_마곡보완_LFD실행예산(020110)2855_여의도센터빌딩실행원가(020613)-2 2" xfId="25025"/>
    <cellStyle name="Äþ¸¶ [_마곡보완_LFD실행예산(020110)2855_여의도센터빌딩실행원가(020613)-2 2" xfId="29529"/>
    <cellStyle name="Aþ¸¶ [_마곡보완_LFD실행예산(020110)2855_제과충주영업소견적서" xfId="25026"/>
    <cellStyle name="Äþ¸¶ [_마곡보완_LFD실행예산(020110)2855_제과충주영업소견적서" xfId="29530"/>
    <cellStyle name="Aþ¸¶ [_마곡보완_LFD실행예산(020110)2855_제과충주영업소견적서 2" xfId="25027"/>
    <cellStyle name="Äþ¸¶ [_마곡보완_LFD실행예산(020110)2855_제과충주영업소견적서 2" xfId="29531"/>
    <cellStyle name="Aþ¸¶ [_마곡보완_LFD실행예산(020110)2855_현장경비신청안박성남" xfId="25028"/>
    <cellStyle name="Äþ¸¶ [_마곡보완_LFD실행예산(020110)2855_현장경비신청안박성남" xfId="29532"/>
    <cellStyle name="Aþ¸¶ [_마곡보완_LFD실행예산(020110)2855_현장경비신청안박성남 2" xfId="25029"/>
    <cellStyle name="Äþ¸¶ [_마곡보완_LFD실행예산(020110)2855_현장경비신청안박성남 2" xfId="29533"/>
    <cellStyle name="Aþ¸¶ [_마곡보완_경서실행(견적실)공무팀" xfId="25030"/>
    <cellStyle name="Äþ¸¶ [_마곡보완_경서실행(견적실)공무팀" xfId="29534"/>
    <cellStyle name="Aþ¸¶ [_마곡보완_경서실행(견적실)공무팀 2" xfId="25031"/>
    <cellStyle name="Äþ¸¶ [_마곡보완_경서실행(견적실)공무팀 2" xfId="29535"/>
    <cellStyle name="Aþ¸¶ [_마곡보완_경서실행(견적실)공무팀_1" xfId="25032"/>
    <cellStyle name="Äþ¸¶ [_마곡보완_경서실행(견적실)공무팀_1" xfId="29536"/>
    <cellStyle name="Aþ¸¶ [_마곡보완_경서실행(견적실)공무팀_1 2" xfId="25033"/>
    <cellStyle name="Äþ¸¶ [_마곡보완_경서실행(견적실)공무팀_1 2" xfId="29537"/>
    <cellStyle name="Aþ¸¶ [_마곡보완_경서실행(견적실)공무팀_1_레몬영화egi내역서(13968천원)" xfId="25034"/>
    <cellStyle name="Äþ¸¶ [_마곡보완_경서실행(견적실)공무팀_1_레몬영화egi내역서(13968천원)" xfId="29538"/>
    <cellStyle name="Aþ¸¶ [_마곡보완_경서실행(견적실)공무팀_1_레몬영화egi내역서(13968천원) 2" xfId="25035"/>
    <cellStyle name="Äþ¸¶ [_마곡보완_경서실행(견적실)공무팀_1_레몬영화egi내역서(13968천원) 2" xfId="29539"/>
    <cellStyle name="Aþ¸¶ [_마곡보완_광주공장 도급내역(변경03.1.07)" xfId="25036"/>
    <cellStyle name="Äþ¸¶ [_마곡보완_광주공장 도급내역(변경03.1.07)" xfId="29540"/>
    <cellStyle name="Aþ¸¶ [_마곡보완_광주공장 도급내역(변경03.1.07) 2" xfId="25037"/>
    <cellStyle name="Äþ¸¶ [_마곡보완_광주공장 도급내역(변경03.1.07) 2" xfId="29541"/>
    <cellStyle name="Aþ¸¶ [_마곡보완_광주공장 도급내역(변경03.1.21)" xfId="25038"/>
    <cellStyle name="Äþ¸¶ [_마곡보완_광주공장 도급내역(변경03.1.21)" xfId="29542"/>
    <cellStyle name="Aþ¸¶ [_마곡보완_광주공장 도급내역(변경03.1.21) 2" xfId="25039"/>
    <cellStyle name="Äþ¸¶ [_마곡보완_광주공장 도급내역(변경03.1.21) 2" xfId="29543"/>
    <cellStyle name="Aþ¸¶ [_마곡보완_광주공장(대비1218)" xfId="25040"/>
    <cellStyle name="Äþ¸¶ [_마곡보완_광주공장(대비1218)" xfId="29544"/>
    <cellStyle name="Aþ¸¶ [_마곡보완_광주공장(대비1218) 2" xfId="25041"/>
    <cellStyle name="Äþ¸¶ [_마곡보완_광주공장(대비1218) 2" xfId="29545"/>
    <cellStyle name="Aþ¸¶ [_마곡보완_기계실행(LFD광주공장.현설용)" xfId="25042"/>
    <cellStyle name="Äþ¸¶ [_마곡보완_기계실행(LFD광주공장.현설용)" xfId="29546"/>
    <cellStyle name="Aþ¸¶ [_마곡보완_기계실행(LFD광주공장.현설용) 2" xfId="25043"/>
    <cellStyle name="Äþ¸¶ [_마곡보완_기계실행(LFD광주공장.현설용) 2" xfId="29547"/>
    <cellStyle name="Aþ¸¶ [_마곡보완_동명삼화 현장설명(본사지급)" xfId="25044"/>
    <cellStyle name="Äþ¸¶ [_마곡보완_동명삼화 현장설명(본사지급)" xfId="29548"/>
    <cellStyle name="Aþ¸¶ [_마곡보완_동명삼화 현장설명(본사지급) 2" xfId="25045"/>
    <cellStyle name="Äþ¸¶ [_마곡보완_동명삼화 현장설명(본사지급) 2" xfId="29549"/>
    <cellStyle name="Aþ¸¶ [_마곡보완_동명삼화 현장설명(본사지급)_울산신정동수주검토(2003.01.21에어컨)" xfId="25046"/>
    <cellStyle name="Äþ¸¶ [_마곡보완_동명삼화 현장설명(본사지급)_울산신정동수주검토(2003.01.21에어컨)" xfId="29550"/>
    <cellStyle name="Aþ¸¶ [_마곡보완_동명삼화 현장설명(본사지급)_울산신정동수주검토(2003.01.21에어컨) 2" xfId="25047"/>
    <cellStyle name="Äþ¸¶ [_마곡보완_동명삼화 현장설명(본사지급)_울산신정동수주검토(2003.01.21에어컨) 2" xfId="29551"/>
    <cellStyle name="Aþ¸¶ [_마곡보완_동명삼화견본주택 기본안" xfId="25048"/>
    <cellStyle name="Äþ¸¶ [_마곡보완_동명삼화견본주택 기본안" xfId="29552"/>
    <cellStyle name="Aþ¸¶ [_마곡보완_동명삼화견본주택 기본안 2" xfId="25049"/>
    <cellStyle name="Äþ¸¶ [_마곡보완_동명삼화견본주택 기본안 2" xfId="29553"/>
    <cellStyle name="Aþ¸¶ [_마곡보완_동명삼화기계공사 물량집계" xfId="25050"/>
    <cellStyle name="Äþ¸¶ [_마곡보완_동명삼화기계공사 물량집계" xfId="29554"/>
    <cellStyle name="Aþ¸¶ [_마곡보완_동명삼화기계공사 물량집계 2" xfId="25051"/>
    <cellStyle name="Äþ¸¶ [_마곡보완_동명삼화기계공사 물량집계 2" xfId="29555"/>
    <cellStyle name="Aþ¸¶ [_마곡보완_동명삼화재건축아파트" xfId="25052"/>
    <cellStyle name="Äþ¸¶ [_마곡보완_동명삼화재건축아파트" xfId="29556"/>
    <cellStyle name="Aþ¸¶ [_마곡보완_동명삼화재건축아파트 2" xfId="25053"/>
    <cellStyle name="Äþ¸¶ [_마곡보완_동명삼화재건축아파트 2" xfId="29557"/>
    <cellStyle name="Aþ¸¶ [_마곡보완_동명실행예산-1" xfId="25054"/>
    <cellStyle name="Äþ¸¶ [_마곡보완_동명실행예산-1" xfId="29558"/>
    <cellStyle name="Aþ¸¶ [_마곡보완_동명실행예산-1 2" xfId="25055"/>
    <cellStyle name="Äþ¸¶ [_마곡보완_동명실행예산-1 2" xfId="29559"/>
    <cellStyle name="Aþ¸¶ [_마곡보완_롯데동명삼화평당단가비교" xfId="25056"/>
    <cellStyle name="Äþ¸¶ [_마곡보완_롯데동명삼화평당단가비교" xfId="29560"/>
    <cellStyle name="Aþ¸¶ [_마곡보완_롯데동명삼화평당단가비교 2" xfId="25057"/>
    <cellStyle name="Äþ¸¶ [_마곡보완_롯데동명삼화평당단가비교 2" xfId="29561"/>
    <cellStyle name="Aþ¸¶ [_마곡보완_부산덕천동 기계공사 단가대비표(2002.11.11)" xfId="25058"/>
    <cellStyle name="Äþ¸¶ [_마곡보완_부산덕천동 기계공사 단가대비표(2002.11.11)" xfId="29562"/>
    <cellStyle name="Aþ¸¶ [_마곡보완_부산덕천동 기계공사 단가대비표(2002.11.11) 2" xfId="25059"/>
    <cellStyle name="Äþ¸¶ [_마곡보완_부산덕천동 기계공사 단가대비표(2002.11.11) 2" xfId="29563"/>
    <cellStyle name="Aþ¸¶ [_마곡보완_부산덕천동롯데아파트(환경ENG)" xfId="25060"/>
    <cellStyle name="Äþ¸¶ [_마곡보완_부산덕천동롯데아파트(환경ENG)" xfId="29564"/>
    <cellStyle name="Aþ¸¶ [_마곡보완_부산덕천동롯데아파트(환경ENG) 2" xfId="25061"/>
    <cellStyle name="Äþ¸¶ [_마곡보완_부산덕천동롯데아파트(환경ENG) 2" xfId="29565"/>
    <cellStyle name="Aþ¸¶ [_마곡보완_부산덕천동아파트(세경엔지니어링)" xfId="25062"/>
    <cellStyle name="Äþ¸¶ [_마곡보완_부산덕천동아파트(세경엔지니어링)" xfId="29566"/>
    <cellStyle name="Aþ¸¶ [_마곡보완_부산덕천동아파트(세경엔지니어링) 2" xfId="25063"/>
    <cellStyle name="Äþ¸¶ [_마곡보완_부산덕천동아파트(세경엔지니어링) 2" xfId="29567"/>
    <cellStyle name="Aþ¸¶ [_마곡보완_실행검토_부산덕천" xfId="25064"/>
    <cellStyle name="Äþ¸¶ [_마곡보완_실행검토_부산덕천" xfId="29568"/>
    <cellStyle name="Aþ¸¶ [_마곡보완_실행검토_부산덕천 2" xfId="25065"/>
    <cellStyle name="Äþ¸¶ [_마곡보완_실행검토_부산덕천 2" xfId="29569"/>
    <cellStyle name="Aþ¸¶ [_마곡보완_아파트 평당단가 비교" xfId="25066"/>
    <cellStyle name="Äþ¸¶ [_마곡보완_아파트 평당단가 비교" xfId="29570"/>
    <cellStyle name="Aþ¸¶ [_마곡보완_아파트 평당단가 비교 2" xfId="25067"/>
    <cellStyle name="Äþ¸¶ [_마곡보완_아파트 평당단가 비교 2" xfId="29571"/>
    <cellStyle name="Aþ¸¶ [_마곡보완_안양석수점기계(도급내역)1" xfId="25068"/>
    <cellStyle name="Äþ¸¶ [_마곡보완_안양석수점기계(도급내역)1" xfId="29572"/>
    <cellStyle name="Aþ¸¶ [_마곡보완_안양석수점기계(도급내역)1 2" xfId="25069"/>
    <cellStyle name="Äþ¸¶ [_마곡보완_안양석수점기계(도급내역)1 2" xfId="29573"/>
    <cellStyle name="Aþ¸¶ [_마곡보완_안양석수점기계(도급내역)1_LLC견적및수주원가(설계변경)4차" xfId="25070"/>
    <cellStyle name="Äþ¸¶ [_마곡보완_안양석수점기계(도급내역)1_LLC견적및수주원가(설계변경)4차" xfId="29574"/>
    <cellStyle name="Aþ¸¶ [_마곡보완_안양석수점기계(도급내역)1_LLC견적및수주원가(설계변경)4차 2" xfId="25071"/>
    <cellStyle name="Äþ¸¶ [_마곡보완_안양석수점기계(도급내역)1_LLC견적및수주원가(설계변경)4차 2" xfId="29575"/>
    <cellStyle name="Aþ¸¶ [_마곡보완_여의도센터빌딩실행원가(020613)-2" xfId="25072"/>
    <cellStyle name="Äþ¸¶ [_마곡보완_여의도센터빌딩실행원가(020613)-2" xfId="29576"/>
    <cellStyle name="Aþ¸¶ [_마곡보완_여의도센터빌딩실행원가(020613)-2 2" xfId="25073"/>
    <cellStyle name="Äþ¸¶ [_마곡보완_여의도센터빌딩실행원가(020613)-2 2" xfId="29577"/>
    <cellStyle name="Aþ¸¶ [_마곡보완_울산신정동수주검토(2003.01.21에어컨)" xfId="25074"/>
    <cellStyle name="Äþ¸¶ [_마곡보완_울산신정동수주검토(2003.01.21에어컨)" xfId="29578"/>
    <cellStyle name="Aþ¸¶ [_마곡보완_울산신정동수주검토(2003.01.21에어컨) 2" xfId="25075"/>
    <cellStyle name="Äþ¸¶ [_마곡보완_울산신정동수주검토(2003.01.21에어컨) 2" xfId="29579"/>
    <cellStyle name="Aþ¸¶ [_마곡보완_의왕물류센타(기계도급내역설변1차)" xfId="25076"/>
    <cellStyle name="Äþ¸¶ [_마곡보완_의왕물류센타(기계도급내역설변1차)" xfId="29580"/>
    <cellStyle name="Aþ¸¶ [_마곡보완_의왕물류센타(기계도급내역설변1차) 2" xfId="25077"/>
    <cellStyle name="Äþ¸¶ [_마곡보완_의왕물류센타(기계도급내역설변1차) 2" xfId="29581"/>
    <cellStyle name="Aþ¸¶ [_마곡보완_의왕물류센타(기계도급내역설변1차)_제과충주영업소견적서" xfId="25078"/>
    <cellStyle name="Äþ¸¶ [_마곡보완_의왕물류센타(기계도급내역설변1차)_제과충주영업소견적서" xfId="29582"/>
    <cellStyle name="Aþ¸¶ [_마곡보완_의왕물류센타(기계도급내역설변1차)_제과충주영업소견적서 2" xfId="25079"/>
    <cellStyle name="Äþ¸¶ [_마곡보완_의왕물류센타(기계도급내역설변1차)_제과충주영업소견적서 2" xfId="29583"/>
    <cellStyle name="Aþ¸¶ [_마곡보완_제과의왕견적서(020415)" xfId="25080"/>
    <cellStyle name="Äþ¸¶ [_마곡보완_제과의왕견적서(020415)" xfId="29584"/>
    <cellStyle name="Aþ¸¶ [_마곡보완_제과의왕견적서(020415) 2" xfId="25081"/>
    <cellStyle name="Äþ¸¶ [_마곡보완_제과의왕견적서(020415) 2" xfId="29585"/>
    <cellStyle name="Aþ¸¶ [_마곡보완_제과의왕견적서(020415)_제과충주영업소견적서" xfId="25082"/>
    <cellStyle name="Äþ¸¶ [_마곡보완_제과의왕견적서(020415)_제과충주영업소견적서" xfId="29586"/>
    <cellStyle name="Aþ¸¶ [_마곡보완_제과의왕견적서(020415)_제과충주영업소견적서 2" xfId="25083"/>
    <cellStyle name="Äþ¸¶ [_마곡보완_제과의왕견적서(020415)_제과충주영업소견적서 2" xfId="29587"/>
    <cellStyle name="Aþ¸¶ [_마곡보완_제과의왕견적서(020429)송부" xfId="25084"/>
    <cellStyle name="Äþ¸¶ [_마곡보완_제과의왕견적서(020429)송부" xfId="29588"/>
    <cellStyle name="Aþ¸¶ [_마곡보완_제과의왕견적서(020429)송부 2" xfId="25085"/>
    <cellStyle name="Äþ¸¶ [_마곡보완_제과의왕견적서(020429)송부 2" xfId="29589"/>
    <cellStyle name="Aþ¸¶ [_마곡보완_제과의왕견적서(020429)송부_제과충주영업소견적서" xfId="25086"/>
    <cellStyle name="Äþ¸¶ [_마곡보완_제과의왕견적서(020429)송부_제과충주영업소견적서" xfId="29590"/>
    <cellStyle name="Aþ¸¶ [_마곡보완_제과의왕견적서(020429)송부_제과충주영업소견적서 2" xfId="25087"/>
    <cellStyle name="Äþ¸¶ [_마곡보완_제과의왕견적서(020429)송부_제과충주영업소견적서 2" xfId="29591"/>
    <cellStyle name="Aþ¸¶ [_마곡보완_제과의왕견적서(020513)2차변경NEGO(7550)" xfId="25088"/>
    <cellStyle name="Äþ¸¶ [_마곡보완_제과의왕견적서(020513)2차변경NEGO(7550)" xfId="29592"/>
    <cellStyle name="Aþ¸¶ [_마곡보완_제과의왕견적서(020513)2차변경NEGO(7550) 2" xfId="25089"/>
    <cellStyle name="Äþ¸¶ [_마곡보완_제과의왕견적서(020513)2차변경NEGO(7550) 2" xfId="29593"/>
    <cellStyle name="Aþ¸¶ [_마곡보완_제과의왕견적서7550(공무)" xfId="25090"/>
    <cellStyle name="Äþ¸¶ [_마곡보완_제과의왕견적서7550(공무)" xfId="29594"/>
    <cellStyle name="Aþ¸¶ [_마곡보완_제과의왕견적서7550(공무) 2" xfId="25091"/>
    <cellStyle name="Äþ¸¶ [_마곡보완_제과의왕견적서7550(공무) 2" xfId="29595"/>
    <cellStyle name="Aþ¸¶ [_마곡보완_제과의왕견적서7550(공무)_레몬영화egi내역서(13968천원)" xfId="25092"/>
    <cellStyle name="Äþ¸¶ [_마곡보완_제과의왕견적서7550(공무)_레몬영화egi내역서(13968천원)" xfId="29596"/>
    <cellStyle name="Aþ¸¶ [_마곡보완_제과의왕견적서7550(공무)_레몬영화egi내역서(13968천원) 2" xfId="25093"/>
    <cellStyle name="Äþ¸¶ [_마곡보완_제과의왕견적서7550(공무)_레몬영화egi내역서(13968천원) 2" xfId="29597"/>
    <cellStyle name="Aþ¸¶ [_마곡보완_제과충주영업소견적서" xfId="25094"/>
    <cellStyle name="Äþ¸¶ [_마곡보완_제과충주영업소견적서" xfId="29598"/>
    <cellStyle name="Aþ¸¶ [_마곡보완_제과충주영업소견적서 2" xfId="25095"/>
    <cellStyle name="Äþ¸¶ [_마곡보완_제과충주영업소견적서 2" xfId="29599"/>
    <cellStyle name="Aþ¸¶ [_마곡보완_충주영업소(기계실행)" xfId="25096"/>
    <cellStyle name="Äþ¸¶ [_마곡보완_충주영업소(기계실행)" xfId="29600"/>
    <cellStyle name="Aþ¸¶ [_마곡보완_충주영업소(기계실행) 2" xfId="25097"/>
    <cellStyle name="Äþ¸¶ [_마곡보완_충주영업소(기계실행) 2" xfId="29601"/>
    <cellStyle name="Aþ¸¶ [_마곡보완_충주영업소(기계실행)_레몬영화egi내역서(13968천원)" xfId="25098"/>
    <cellStyle name="Äþ¸¶ [_마곡보완_충주영업소(기계실행)_레몬영화egi내역서(13968천원)" xfId="29602"/>
    <cellStyle name="Aþ¸¶ [_마곡보완_충주영업소(기계실행)_레몬영화egi내역서(13968천원) 2" xfId="25099"/>
    <cellStyle name="Äþ¸¶ [_마곡보완_충주영업소(기계실행)_레몬영화egi내역서(13968천원) 2" xfId="29603"/>
    <cellStyle name="Aþ¸¶ [_마곡보완_현장경비신청안박성남" xfId="25100"/>
    <cellStyle name="Äþ¸¶ [_마곡보완_현장경비신청안박성남" xfId="29604"/>
    <cellStyle name="Aþ¸¶ [_마곡보완_현장경비신청안박성남 2" xfId="25101"/>
    <cellStyle name="Äþ¸¶ [_마곡보완_현장경비신청안박성남 2" xfId="29605"/>
    <cellStyle name="Aþ¸¶ [_마곡보완_현장설명(가스설비)" xfId="25102"/>
    <cellStyle name="Äþ¸¶ [_마곡보완_현장설명(가스설비)" xfId="29606"/>
    <cellStyle name="Aþ¸¶ [_마곡보완_현장설명(가스설비) 2" xfId="25103"/>
    <cellStyle name="Äþ¸¶ [_마곡보완_현장설명(가스설비) 2" xfId="29607"/>
    <cellStyle name="Aþ¸¶ [_마곡보완_현장설명(기계설비)" xfId="25104"/>
    <cellStyle name="Äþ¸¶ [_마곡보완_현장설명(기계설비)" xfId="29608"/>
    <cellStyle name="Aþ¸¶ [_마곡보완_현장설명(기계설비) 2" xfId="25105"/>
    <cellStyle name="Äþ¸¶ [_마곡보완_현장설명(기계설비) 2" xfId="29609"/>
    <cellStyle name="Aþ¸¶ [_부산덕천동 기계공사 단가대비표(2002.11.11)" xfId="25106"/>
    <cellStyle name="Äþ¸¶ [_부산덕천동 기계공사 단가대비표(2002.11.11)" xfId="29610"/>
    <cellStyle name="Aþ¸¶ [_부산덕천동 기계공사 단가대비표(2002.11.11) 2" xfId="25107"/>
    <cellStyle name="Äþ¸¶ [_부산덕천동 기계공사 단가대비표(2002.11.11) 2" xfId="29611"/>
    <cellStyle name="Aþ¸¶ [_부산덕천동롯데아파트(환경ENG)" xfId="25108"/>
    <cellStyle name="Äþ¸¶ [_부산덕천동롯데아파트(환경ENG)" xfId="29612"/>
    <cellStyle name="Aþ¸¶ [_부산덕천동롯데아파트(환경ENG) 2" xfId="25109"/>
    <cellStyle name="Äþ¸¶ [_부산덕천동롯데아파트(환경ENG) 2" xfId="29613"/>
    <cellStyle name="Aþ¸¶ [_부산덕천동아파트(세경엔지니어링)" xfId="25110"/>
    <cellStyle name="Äþ¸¶ [_부산덕천동아파트(세경엔지니어링)" xfId="29614"/>
    <cellStyle name="Aþ¸¶ [_부산덕천동아파트(세경엔지니어링) 2" xfId="25111"/>
    <cellStyle name="Äþ¸¶ [_부산덕천동아파트(세경엔지니어링) 2" xfId="29615"/>
    <cellStyle name="Aþ¸¶ [_실행검토_부산덕천" xfId="25112"/>
    <cellStyle name="Äþ¸¶ [_실행검토_부산덕천" xfId="29616"/>
    <cellStyle name="Aþ¸¶ [_실행검토_부산덕천 2" xfId="25113"/>
    <cellStyle name="Äþ¸¶ [_실행검토_부산덕천 2" xfId="29617"/>
    <cellStyle name="Aþ¸¶ [_아파트 평당단가 비교" xfId="25114"/>
    <cellStyle name="Äþ¸¶ [_아파트 평당단가 비교" xfId="29618"/>
    <cellStyle name="Aþ¸¶ [_아파트 평당단가 비교 2" xfId="25115"/>
    <cellStyle name="Äþ¸¶ [_아파트 평당단가 비교 2" xfId="29619"/>
    <cellStyle name="Aþ¸¶ [_안양석수점기계(도급내역)1" xfId="25116"/>
    <cellStyle name="Äþ¸¶ [_안양석수점기계(도급내역)1" xfId="29620"/>
    <cellStyle name="Aþ¸¶ [_안양석수점기계(도급내역)1 2" xfId="25117"/>
    <cellStyle name="Äþ¸¶ [_안양석수점기계(도급내역)1 2" xfId="29621"/>
    <cellStyle name="Aþ¸¶ [_안양석수점기계(도급내역)1_LLC견적및수주원가(설계변경)4차" xfId="25118"/>
    <cellStyle name="Äþ¸¶ [_안양석수점기계(도급내역)1_LLC견적및수주원가(설계변경)4차" xfId="29622"/>
    <cellStyle name="Aþ¸¶ [_안양석수점기계(도급내역)1_LLC견적및수주원가(설계변경)4차 2" xfId="25119"/>
    <cellStyle name="Äþ¸¶ [_안양석수점기계(도급내역)1_LLC견적및수주원가(설계변경)4차 2" xfId="29623"/>
    <cellStyle name="Aþ¸¶ [_여의도센터빌딩실행원가(020613)-2" xfId="25120"/>
    <cellStyle name="Äþ¸¶ [_여의도센터빌딩실행원가(020613)-2" xfId="29624"/>
    <cellStyle name="Aþ¸¶ [_여의도센터빌딩실행원가(020613)-2 2" xfId="25121"/>
    <cellStyle name="Äþ¸¶ [_여의도센터빌딩실행원가(020613)-2 2" xfId="29625"/>
    <cellStyle name="Aþ¸¶ [_울산신정동수주검토(2003.01.21에어컨)" xfId="25122"/>
    <cellStyle name="Äþ¸¶ [_울산신정동수주검토(2003.01.21에어컨)" xfId="29626"/>
    <cellStyle name="Aþ¸¶ [_울산신정동수주검토(2003.01.21에어컨) 2" xfId="25123"/>
    <cellStyle name="Äþ¸¶ [_울산신정동수주검토(2003.01.21에어컨) 2" xfId="29627"/>
    <cellStyle name="Aþ¸¶ [_의왕물류센타(기계도급내역설변1차)" xfId="25124"/>
    <cellStyle name="Äþ¸¶ [_의왕물류센타(기계도급내역설변1차)" xfId="29628"/>
    <cellStyle name="Aþ¸¶ [_의왕물류센타(기계도급내역설변1차) 2" xfId="25125"/>
    <cellStyle name="Äþ¸¶ [_의왕물류센타(기계도급내역설변1차) 2" xfId="29629"/>
    <cellStyle name="Aþ¸¶ [_의왕물류센타(기계도급내역설변1차)_제과충주영업소견적서" xfId="25126"/>
    <cellStyle name="Äþ¸¶ [_의왕물류센타(기계도급내역설변1차)_제과충주영업소견적서" xfId="29630"/>
    <cellStyle name="Aþ¸¶ [_의왕물류센타(기계도급내역설변1차)_제과충주영업소견적서 2" xfId="25127"/>
    <cellStyle name="Äþ¸¶ [_의왕물류센타(기계도급내역설변1차)_제과충주영업소견적서 2" xfId="29631"/>
    <cellStyle name="Aþ¸¶ [_제과의왕견적서(020415)" xfId="25128"/>
    <cellStyle name="Äþ¸¶ [_제과의왕견적서(020415)" xfId="29632"/>
    <cellStyle name="Aþ¸¶ [_제과의왕견적서(020415) 2" xfId="25129"/>
    <cellStyle name="Äþ¸¶ [_제과의왕견적서(020415) 2" xfId="29633"/>
    <cellStyle name="Aþ¸¶ [_제과의왕견적서(020415)_제과충주영업소견적서" xfId="25130"/>
    <cellStyle name="Äþ¸¶ [_제과의왕견적서(020415)_제과충주영업소견적서" xfId="29634"/>
    <cellStyle name="Aþ¸¶ [_제과의왕견적서(020415)_제과충주영업소견적서 2" xfId="25131"/>
    <cellStyle name="Äþ¸¶ [_제과의왕견적서(020415)_제과충주영업소견적서 2" xfId="29635"/>
    <cellStyle name="Aþ¸¶ [_제과의왕견적서(020429)송부" xfId="25132"/>
    <cellStyle name="Äþ¸¶ [_제과의왕견적서(020429)송부" xfId="29636"/>
    <cellStyle name="Aþ¸¶ [_제과의왕견적서(020429)송부 2" xfId="25133"/>
    <cellStyle name="Äþ¸¶ [_제과의왕견적서(020429)송부 2" xfId="29637"/>
    <cellStyle name="Aþ¸¶ [_제과의왕견적서(020429)송부_제과충주영업소견적서" xfId="25134"/>
    <cellStyle name="Äþ¸¶ [_제과의왕견적서(020429)송부_제과충주영업소견적서" xfId="29638"/>
    <cellStyle name="Aþ¸¶ [_제과의왕견적서(020429)송부_제과충주영업소견적서 2" xfId="25135"/>
    <cellStyle name="Äþ¸¶ [_제과의왕견적서(020429)송부_제과충주영업소견적서 2" xfId="29639"/>
    <cellStyle name="Aþ¸¶ [_제과의왕견적서(020513)2차변경NEGO(7550)" xfId="25136"/>
    <cellStyle name="Äþ¸¶ [_제과의왕견적서(020513)2차변경NEGO(7550)" xfId="29640"/>
    <cellStyle name="Aþ¸¶ [_제과의왕견적서(020513)2차변경NEGO(7550) 2" xfId="25137"/>
    <cellStyle name="Äþ¸¶ [_제과의왕견적서(020513)2차변경NEGO(7550) 2" xfId="29641"/>
    <cellStyle name="Aþ¸¶ [_제과의왕견적서7550(공무)" xfId="25138"/>
    <cellStyle name="Äþ¸¶ [_제과의왕견적서7550(공무)" xfId="29642"/>
    <cellStyle name="Aþ¸¶ [_제과의왕견적서7550(공무) 2" xfId="25139"/>
    <cellStyle name="Äþ¸¶ [_제과의왕견적서7550(공무) 2" xfId="29643"/>
    <cellStyle name="Aþ¸¶ [_제과의왕견적서7550(공무)_레몬영화egi내역서(13968천원)" xfId="25140"/>
    <cellStyle name="Äþ¸¶ [_제과의왕견적서7550(공무)_레몬영화egi내역서(13968천원)" xfId="29644"/>
    <cellStyle name="Aþ¸¶ [_제과의왕견적서7550(공무)_레몬영화egi내역서(13968천원) 2" xfId="25141"/>
    <cellStyle name="Äþ¸¶ [_제과의왕견적서7550(공무)_레몬영화egi내역서(13968천원) 2" xfId="29645"/>
    <cellStyle name="Aþ¸¶ [_제과충주영업소견적서" xfId="25142"/>
    <cellStyle name="Äþ¸¶ [_제과충주영업소견적서" xfId="29646"/>
    <cellStyle name="Aþ¸¶ [_제과충주영업소견적서 2" xfId="25143"/>
    <cellStyle name="Äþ¸¶ [_제과충주영업소견적서 2" xfId="29647"/>
    <cellStyle name="Aþ¸¶ [_충주영업소(기계실행)" xfId="25144"/>
    <cellStyle name="Äþ¸¶ [_충주영업소(기계실행)" xfId="29648"/>
    <cellStyle name="Aþ¸¶ [_충주영업소(기계실행) 2" xfId="25145"/>
    <cellStyle name="Äþ¸¶ [_충주영업소(기계실행) 2" xfId="29649"/>
    <cellStyle name="Aþ¸¶ [_충주영업소(기계실행)_레몬영화egi내역서(13968천원)" xfId="25146"/>
    <cellStyle name="Äþ¸¶ [_충주영업소(기계실행)_레몬영화egi내역서(13968천원)" xfId="29650"/>
    <cellStyle name="Aþ¸¶ [_충주영업소(기계실행)_레몬영화egi내역서(13968천원) 2" xfId="25147"/>
    <cellStyle name="Äþ¸¶ [_충주영업소(기계실행)_레몬영화egi내역서(13968천원) 2" xfId="29651"/>
    <cellStyle name="Aþ¸¶ [_현장경비신청안박성남" xfId="25148"/>
    <cellStyle name="Äþ¸¶ [_현장경비신청안박성남" xfId="29652"/>
    <cellStyle name="Aþ¸¶ [_현장경비신청안박성남 2" xfId="25149"/>
    <cellStyle name="Äþ¸¶ [_현장경비신청안박성남 2" xfId="29653"/>
    <cellStyle name="Aþ¸¶ [_현장설명(가스설비)" xfId="25150"/>
    <cellStyle name="Äþ¸¶ [_현장설명(가스설비)" xfId="29654"/>
    <cellStyle name="Aþ¸¶ [_현장설명(가스설비) 2" xfId="25151"/>
    <cellStyle name="Äþ¸¶ [_현장설명(가스설비) 2" xfId="29655"/>
    <cellStyle name="Aþ¸¶ [_현장설명(기계설비)" xfId="25152"/>
    <cellStyle name="Äþ¸¶ [_현장설명(기계설비)" xfId="29656"/>
    <cellStyle name="Aþ¸¶ [_현장설명(기계설비) 2" xfId="25153"/>
    <cellStyle name="Äþ¸¶ [_현장설명(기계설비) 2" xfId="29657"/>
    <cellStyle name="Aþ¸¶ [0]" xfId="24798"/>
    <cellStyle name="Aþ¸¶ [0] 2" xfId="24799"/>
    <cellStyle name="ÄÞ¸¶ [0]_  Á¾  ÇÕ  " xfId="28885"/>
    <cellStyle name="AÞ¸¶ [0]_ 2ÆAAþº° " xfId="24376"/>
    <cellStyle name="ÄÞ¸¶ [0]_¸ðÇü¸·" xfId="28893"/>
    <cellStyle name="AÞ¸¶ [0]_¿­¸° INT" xfId="24408"/>
    <cellStyle name="ÄÞ¸¶ [0]_±â°è¼³ºñ-ÀÏÀ§¸ñ·Ï " xfId="28891"/>
    <cellStyle name="AÞ¸¶ [0]_±a¼uAe½A " xfId="24389"/>
    <cellStyle name="ÄÞ¸¶ [0]_±âÅ¸" xfId="28892"/>
    <cellStyle name="AÞ¸¶ [0]_°¡³ª´U " xfId="24388"/>
    <cellStyle name="ÄÞ¸¶ [0]_¼öÀÍ¼º " xfId="28895"/>
    <cellStyle name="AÞ¸¶ [0]_¼oAI¼º  2" xfId="24392"/>
    <cellStyle name="ÄÞ¸¶ [0]_¼öÀÍ¼º  2" xfId="28896"/>
    <cellStyle name="AÞ¸¶ [0]_¼oAI¼º  2 2" xfId="24393"/>
    <cellStyle name="ÄÞ¸¶ [0]_¼öÀÍ¼º  2 2" xfId="28897"/>
    <cellStyle name="AÞ¸¶ [0]_¼oAI¼º  3" xfId="24394"/>
    <cellStyle name="ÄÞ¸¶ [0]_¼öÀÍ¼º  3" xfId="28898"/>
    <cellStyle name="AÞ¸¶ [0]_¼oAI¼º  3 2" xfId="24395"/>
    <cellStyle name="ÄÞ¸¶ [0]_¼öÀÍ¼º  3 2" xfId="28899"/>
    <cellStyle name="AÞ¸¶ [0]_¼oAI¼º  4" xfId="24396"/>
    <cellStyle name="ÄÞ¸¶ [0]_¼öÀÍ¼º  4" xfId="28900"/>
    <cellStyle name="AÞ¸¶ [0]_¼oAI¼º  4 2" xfId="24397"/>
    <cellStyle name="ÄÞ¸¶ [0]_¼öÀÍ¼º  4 2" xfId="28901"/>
    <cellStyle name="AÞ¸¶ [0]_¼oAI¼º  5" xfId="24398"/>
    <cellStyle name="ÄÞ¸¶ [0]_¼öÀÍ¼º  5" xfId="28902"/>
    <cellStyle name="AÞ¸¶ [0]_¼oAI¼º  5 2" xfId="24399"/>
    <cellStyle name="ÄÞ¸¶ [0]_¼öÀÍ¼º  5 2" xfId="28903"/>
    <cellStyle name="AÞ¸¶ [0]_¼oAI¼º  6" xfId="24400"/>
    <cellStyle name="ÄÞ¸¶ [0]_¼öÀÍ¼º  6" xfId="28904"/>
    <cellStyle name="AÞ¸¶ [0]_¼oAI¼º  6 2" xfId="24401"/>
    <cellStyle name="ÄÞ¸¶ [0]_¼öÀÍ¼º  6 2" xfId="28905"/>
    <cellStyle name="AÞ¸¶ [0]_¼oAI¼º  7" xfId="24402"/>
    <cellStyle name="ÄÞ¸¶ [0]_¼öÀÍ¼º  7" xfId="28906"/>
    <cellStyle name="AÞ¸¶ [0]_¼oAI¼º  7 2" xfId="24403"/>
    <cellStyle name="ÄÞ¸¶ [0]_¼öÀÍ¼º  7 2" xfId="28907"/>
    <cellStyle name="AÞ¸¶ [0]_¼oAI¼º _대구백화점제출견적(2001년5월22일)" xfId="24404"/>
    <cellStyle name="ÄÞ¸¶ [0]_½Ã°£°èÈ¹1 " xfId="28908"/>
    <cellStyle name="AÞ¸¶ [0]_¾÷A¾º° " xfId="24406"/>
    <cellStyle name="ÄÞ¸¶ [0]_¾÷Á¾º° " xfId="28909"/>
    <cellStyle name="AÞ¸¶ [0]_¾÷A¾º°  2" xfId="24407"/>
    <cellStyle name="ÄÞ¸¶ [0]_¾÷Á¾º°  2" xfId="28910"/>
    <cellStyle name="AÞ¸¶ [0]_¾c½A " xfId="24405"/>
    <cellStyle name="ÄÞ¸¶ [0]_10¿ù2ÁÖ " xfId="28886"/>
    <cellStyle name="AÞ¸¶ [0]_¹y¸eº¸E￡ " xfId="24390"/>
    <cellStyle name="ÄÞ¸¶ [0]_Á¦Á¶1ºÎ1°ú ÇöÈ² " xfId="28911"/>
    <cellStyle name="AÞ¸¶ [0]_A¾CO½A¼³ " xfId="24380"/>
    <cellStyle name="ÄÞ¸¶ [0]_Á¾ÇÕ½Å¼³ " xfId="28912"/>
    <cellStyle name="AÞ¸¶ [0]_A¾CO½A¼³  2" xfId="24381"/>
    <cellStyle name="ÄÞ¸¶ [0]_Á¾ÇÕ½Å¼³  2" xfId="28913"/>
    <cellStyle name="AÞ¸¶ [0]_A¾COA¶°AºÐ " xfId="24378"/>
    <cellStyle name="ÄÞ¸¶ [0]_Á¾ÇÕÃ¶°ÅºÐ " xfId="28914"/>
    <cellStyle name="AÞ¸¶ [0]_A¾COA¶°AºÐ  2" xfId="24379"/>
    <cellStyle name="ÄÞ¸¶ [0]_Á¾ÇÕÃ¶°ÅºÐ  2" xfId="28915"/>
    <cellStyle name="AÞ¸¶ [0]_AN°y(1.25) " xfId="24377"/>
    <cellStyle name="ÄÞ¸¶ [0]_ÅõÀÚÁý°èÇ¥ " xfId="28916"/>
    <cellStyle name="AÞ¸¶ [0]_C￥Ao_AoAUAy°eC￥ " xfId="24382"/>
    <cellStyle name="ÄÞ¸¶ [0]_Ç¥Áö_ÅõÀÚÁý°èÇ¥ " xfId="28917"/>
    <cellStyle name="AÞ¸¶ [0]_C￥Ao_AoAUAy°eC￥  2" xfId="24383"/>
    <cellStyle name="ÄÞ¸¶ [0]_Ç¥Áö_ÅõÀÚÁý°èÇ¥  2" xfId="28918"/>
    <cellStyle name="AÞ¸¶ [0]_INQUIRY ¿μ¾÷AßAø " xfId="24384"/>
    <cellStyle name="ÄÞ¸¶ [0]_laroux" xfId="28887"/>
    <cellStyle name="AÞ¸¶ [0]_º≫¼± ±æ¾i±uºI ¼o·R Ay°eC￥ " xfId="24391"/>
    <cellStyle name="ÄÞ¸¶ [0]_ºÙÀÓ2-1 " xfId="28894"/>
    <cellStyle name="AÞ¸¶ [0]_T-100 ³≫¼o 4DR NB PHASE I " xfId="24385"/>
    <cellStyle name="ÄÞ¸¶ [0]_T-100 ÀÏ¹ÝÁö¿ª TIMING " xfId="28888"/>
    <cellStyle name="AÞ¸¶ [0]_V10 VARIATION MODEL SOP TIMING " xfId="24386"/>
    <cellStyle name="ÄÞ¸¶ [0]_V10 VARIATION MODEL SOP TIMING " xfId="28889"/>
    <cellStyle name="AÞ¸¶ [0]_V10 VARIATION MODEL SOP TIMING  2" xfId="24387"/>
    <cellStyle name="ÄÞ¸¶ [0]_V10 VARIATION MODEL SOP TIMING  2" xfId="28890"/>
    <cellStyle name="Aþ¸¶ 2" xfId="24793"/>
    <cellStyle name="AÞ¸¶_  A¾  CO  " xfId="24409"/>
    <cellStyle name="ÄÞ¸¶_  Á¾  ÇÕ  " xfId="28919"/>
    <cellStyle name="AÞ¸¶_  A¾  CO   2" xfId="24410"/>
    <cellStyle name="ÄÞ¸¶_  Á¾  ÇÕ   2" xfId="28920"/>
    <cellStyle name="AÞ¸¶_  A¾  CO   2 2" xfId="24411"/>
    <cellStyle name="ÄÞ¸¶_¸ðÇü¸·" xfId="28928"/>
    <cellStyle name="AÞ¸¶_¿­¸° INT" xfId="24430"/>
    <cellStyle name="ÄÞ¸¶_±â°è¼³ºñ-ÀÏÀ§¸ñ·Ï " xfId="28927"/>
    <cellStyle name="AÞ¸¶_≫c¾÷ºI ´ⓒ°e(¾i) " xfId="24431"/>
    <cellStyle name="ÄÞ¸¶_¼öÀÍ¼º " xfId="28930"/>
    <cellStyle name="AÞ¸¶_½A°￡°eE¹1 " xfId="24425"/>
    <cellStyle name="ÄÞ¸¶_½Ã°£°èÈ¹1 " xfId="28931"/>
    <cellStyle name="AÞ¸¶_½A°￡°eE¹1  2" xfId="24426"/>
    <cellStyle name="ÄÞ¸¶_½Ã°£°èÈ¹1  2" xfId="28932"/>
    <cellStyle name="AÞ¸¶_¾÷A¾º° " xfId="24428"/>
    <cellStyle name="ÄÞ¸¶_¾÷Á¾º° " xfId="28933"/>
    <cellStyle name="AÞ¸¶_¾÷A¾º°  2" xfId="24429"/>
    <cellStyle name="ÄÞ¸¶_¾÷Á¾º°  2" xfId="28934"/>
    <cellStyle name="AÞ¸¶_¾c½A " xfId="24427"/>
    <cellStyle name="ÄÞ¸¶_10¿ù2ÁÖ " xfId="28921"/>
    <cellStyle name="AÞ¸¶_¹y¸eº¸E￡ " xfId="24423"/>
    <cellStyle name="ÄÞ¸¶_2000¼ÕÈ® " xfId="28922"/>
    <cellStyle name="AÞ¸¶_A¾CO½A¼³ " xfId="24415"/>
    <cellStyle name="ÄÞ¸¶_Á¾ÇÕ½Å¼³ " xfId="28935"/>
    <cellStyle name="AÞ¸¶_A¾CO½A¼³  2" xfId="24416"/>
    <cellStyle name="ÄÞ¸¶_Á¾ÇÕ½Å¼³  2" xfId="28936"/>
    <cellStyle name="AÞ¸¶_A¾COA¶°AºÐ " xfId="24413"/>
    <cellStyle name="ÄÞ¸¶_Á¾ÇÕÃ¶°ÅºÐ " xfId="28937"/>
    <cellStyle name="AÞ¸¶_A¾COA¶°AºÐ  2" xfId="24414"/>
    <cellStyle name="ÄÞ¸¶_Á¾ÇÕÃ¶°ÅºÐ  2" xfId="28938"/>
    <cellStyle name="AÞ¸¶_AN°y(1.25) " xfId="24412"/>
    <cellStyle name="ÄÞ¸¶_ÅõÀÚÁý°èÇ¥ " xfId="28939"/>
    <cellStyle name="AÞ¸¶_C￥Ao_AoAUAy°eC￥ " xfId="24417"/>
    <cellStyle name="ÄÞ¸¶_Ç¥Áö_ÅõÀÚÁý°èÇ¥ " xfId="28940"/>
    <cellStyle name="AÞ¸¶_C￥Ao_AoAUAy°eC￥  2" xfId="24418"/>
    <cellStyle name="ÄÞ¸¶_Ç¥Áö_ÅõÀÚÁý°èÇ¥  2" xfId="28941"/>
    <cellStyle name="AÞ¸¶_INQUIRY ¿μ¾÷AßAø " xfId="24419"/>
    <cellStyle name="ÄÞ¸¶_laroux" xfId="28923"/>
    <cellStyle name="AÞ¸¶_º≫¼± ±æ¾i±uºI ¼o·R Ay°eC￥ " xfId="24424"/>
    <cellStyle name="ÄÞ¸¶_ºÙÀÓ2-1 " xfId="28929"/>
    <cellStyle name="AÞ¸¶_T-100 ³≫¼o 4DR NB PHASE I " xfId="24420"/>
    <cellStyle name="ÄÞ¸¶_T-100 ÀÏ¹ÝÁö¿ª TIMING " xfId="28924"/>
    <cellStyle name="AÞ¸¶_V10 VARIATION MODEL SOP TIMING " xfId="24421"/>
    <cellStyle name="ÄÞ¸¶_V10 VARIATION MODEL SOP TIMING " xfId="28925"/>
    <cellStyle name="AÞ¸¶_V10 VARIATION MODEL SOP TIMING  2" xfId="24422"/>
    <cellStyle name="ÄÞ¸¶_V10 VARIATION MODEL SOP TIMING  2" xfId="28926"/>
    <cellStyle name="Àú¸®¼ö" xfId="28879"/>
    <cellStyle name="Àú¸®¼ö 2" xfId="28880"/>
    <cellStyle name="Àú¸®¼ö0" xfId="28881"/>
    <cellStyle name="ÀÚ¸®¼ö0 10" xfId="28859"/>
    <cellStyle name="ÀÚ¸®¼ö0 10 2" xfId="28860"/>
    <cellStyle name="ÀÚ¸®¼ö0 11" xfId="28861"/>
    <cellStyle name="ÀÚ¸®¼ö0 11 2" xfId="28862"/>
    <cellStyle name="Àú¸®¼ö0 12" xfId="28882"/>
    <cellStyle name="Àú¸®¼ö0 12 2" xfId="28883"/>
    <cellStyle name="Àú¸®¼ö0 13" xfId="28884"/>
    <cellStyle name="ÀÚ¸®¼ö0 2" xfId="28863"/>
    <cellStyle name="ÀÚ¸®¼ö0 2 2" xfId="28864"/>
    <cellStyle name="ÀÚ¸®¼ö0 3" xfId="28865"/>
    <cellStyle name="ÀÚ¸®¼ö0 3 2" xfId="28866"/>
    <cellStyle name="ÀÚ¸®¼ö0 4" xfId="28867"/>
    <cellStyle name="ÀÚ¸®¼ö0 4 2" xfId="28868"/>
    <cellStyle name="ÀÚ¸®¼ö0 5" xfId="28869"/>
    <cellStyle name="ÀÚ¸®¼ö0 5 2" xfId="28870"/>
    <cellStyle name="ÀÚ¸®¼ö0 6" xfId="28871"/>
    <cellStyle name="ÀÚ¸®¼ö0 6 2" xfId="28872"/>
    <cellStyle name="ÀÚ¸®¼ö0 7" xfId="28873"/>
    <cellStyle name="ÀÚ¸®¼ö0 7 2" xfId="28874"/>
    <cellStyle name="ÀÚ¸®¼ö0 8" xfId="28875"/>
    <cellStyle name="ÀÚ¸®¼ö0 8 2" xfId="28876"/>
    <cellStyle name="ÀÚ¸®¼ö0 9" xfId="28877"/>
    <cellStyle name="ÀÚ¸®¼ö0 9 2" xfId="28878"/>
    <cellStyle name="Au¸r " xfId="24339"/>
    <cellStyle name="Au¸r  2" xfId="24340"/>
    <cellStyle name="Au¸r  2 2" xfId="24341"/>
    <cellStyle name="Au¸r  3" xfId="24342"/>
    <cellStyle name="Au¸r  3 2" xfId="24343"/>
    <cellStyle name="Au¸r  4" xfId="24344"/>
    <cellStyle name="Au¸r  4 2" xfId="24345"/>
    <cellStyle name="Au¸r  5" xfId="24346"/>
    <cellStyle name="Au¸r  5 2" xfId="24347"/>
    <cellStyle name="Au¸r  6" xfId="24348"/>
    <cellStyle name="Au¸r  6 2" xfId="24349"/>
    <cellStyle name="Au¸r  7" xfId="24350"/>
    <cellStyle name="Au¸r  7 2" xfId="24351"/>
    <cellStyle name="Au¸R¼o" xfId="24352"/>
    <cellStyle name="Au¸R¼o 2" xfId="24353"/>
    <cellStyle name="Au¸R¼o0" xfId="24354"/>
    <cellStyle name="Au¸R¼o0 2" xfId="24355"/>
    <cellStyle name="_x0001_b" xfId="7"/>
    <cellStyle name="_x0001_b 2" xfId="8"/>
    <cellStyle name="_x0001_b 2 2" xfId="9"/>
    <cellStyle name="_x0001_b 3" xfId="10"/>
    <cellStyle name="_x0001_b 3 2" xfId="11"/>
    <cellStyle name="_x0001_b 4" xfId="12"/>
    <cellStyle name="BA" xfId="25160"/>
    <cellStyle name="BA 2" xfId="25161"/>
    <cellStyle name="Background" xfId="25162"/>
    <cellStyle name="Background 2" xfId="25163"/>
    <cellStyle name="Bad 2" xfId="25164"/>
    <cellStyle name="Bad 3" xfId="25165"/>
    <cellStyle name="blank" xfId="25166"/>
    <cellStyle name="blank - Style1" xfId="25167"/>
    <cellStyle name="blank - Style1 2" xfId="25168"/>
    <cellStyle name="blank 2" xfId="25169"/>
    <cellStyle name="body" xfId="25170"/>
    <cellStyle name="body 2" xfId="25171"/>
    <cellStyle name="Bold 11" xfId="25172"/>
    <cellStyle name="Bold 11 2" xfId="25173"/>
    <cellStyle name="BoldHdr" xfId="25174"/>
    <cellStyle name="BoldHdr 2" xfId="25175"/>
    <cellStyle name="Bridge " xfId="25176"/>
    <cellStyle name="Bridge  2" xfId="25177"/>
    <cellStyle name="๺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ōᇊb섰ōᇚb셌ōᇪb셨ōᇺb손ōሊbÌōሚbôōሪbŀōሺbŨōቊbƀōቚb솴ōቪb쇌" xfId="31005"/>
    <cellStyle name="b椬ៜ_x000c_Comma_ODCOS " xfId="25178"/>
    <cellStyle name="C" xfId="25179"/>
    <cellStyle name="C 2" xfId="25180"/>
    <cellStyle name="C 2 2" xfId="25181"/>
    <cellStyle name="C 3" xfId="25182"/>
    <cellStyle name="C?AO_?? " xfId="25183"/>
    <cellStyle name="C?AØ_¿?¾÷CoE² " xfId="25184"/>
    <cellStyle name="C_여수-죽림 세대" xfId="25185"/>
    <cellStyle name="C_여수-죽림 세대 2" xfId="25186"/>
    <cellStyle name="C_여수-죽림 세대_1" xfId="25187"/>
    <cellStyle name="C_여수-죽림 세대_1 2" xfId="25188"/>
    <cellStyle name="C¡" xfId="25939"/>
    <cellStyle name="C¡ 2" xfId="25940"/>
    <cellStyle name="C¡?A¨ª_¡?c¨?¡?¨?I¨?¡Æ AN¡Æe " xfId="25941"/>
    <cellStyle name="C¡ERIA￠R¡×¡§¡I_¡ERic￠R¡×u¡ERA￠R¡×￠Rⓒ­I￠R¡×￠Rⓒ­¡ER¡§￠R AN¡ER¡§￠Re " xfId="25942"/>
    <cellStyle name="C¡ÍA¨ª_  FAB AIA¢´  " xfId="25949"/>
    <cellStyle name="C¡IA¨ª_ 1-3 " xfId="25943"/>
    <cellStyle name="C¡ÍA¨ª_¡Æ©øAI OXIDE " xfId="25954"/>
    <cellStyle name="C¡IA¨ª_¡Æu￠￢RBS('98) " xfId="25948"/>
    <cellStyle name="C¡ÍA¨ª_¡íc¨ú¡À¨¬I¨¬¡Æ AN¡Æe " xfId="25955"/>
    <cellStyle name="C¡IA¨ª_¡ioEⓒ÷¡¾a¡¤IAo " xfId="25947"/>
    <cellStyle name="C¡ÍA¨ª_03 " xfId="25950"/>
    <cellStyle name="C¡IA¨ª_12￠?u " xfId="25944"/>
    <cellStyle name="C¡ÍA¨ª_12AO " xfId="25951"/>
    <cellStyle name="C¡IA¨ª_2000¨uOER " xfId="25945"/>
    <cellStyle name="C¡ÍA¨ª_C¡ÍAo " xfId="25952"/>
    <cellStyle name="C¡IA¨ª_CD-ROM " xfId="25946"/>
    <cellStyle name="C¡ÍA¨ª_Sheet1_4PART " xfId="25953"/>
    <cellStyle name="C￠RIA¡§¨￡_  FAB AIA¡E￠￥  " xfId="25956"/>
    <cellStyle name="C￥" xfId="25957"/>
    <cellStyle name="Ç¥" xfId="30456"/>
    <cellStyle name="C￥ 2" xfId="25958"/>
    <cellStyle name="Ç¥ 2" xfId="30457"/>
    <cellStyle name="C￥ 2 2" xfId="25959"/>
    <cellStyle name="Ç¥ 2 2" xfId="30458"/>
    <cellStyle name="C￥ 3" xfId="25960"/>
    <cellStyle name="Ç¥ 3" xfId="30459"/>
    <cellStyle name="C￥_Lemon 수원영화점 기계도급내역(최종보고)" xfId="25961"/>
    <cellStyle name="Ç¥_Lemon 수원영화점 기계도급내역(최종보고)" xfId="30460"/>
    <cellStyle name="C￥_Lemon 수원영화점 기계도급내역(최종보고) 2" xfId="25962"/>
    <cellStyle name="Ç¥_Lemon 수원영화점 기계도급내역(최종보고) 2" xfId="30461"/>
    <cellStyle name="C￥_Lemon 수원영화점(기계공사)" xfId="25963"/>
    <cellStyle name="Ç¥_Lemon 수원영화점(기계공사)" xfId="30462"/>
    <cellStyle name="C￥_Lemon 수원영화점(기계공사) 2" xfId="25964"/>
    <cellStyle name="Ç¥_Lemon 수원영화점(기계공사) 2" xfId="30463"/>
    <cellStyle name="C￥_LFD부산실행예산(020219)건축" xfId="25965"/>
    <cellStyle name="Ç¥_LFD부산실행예산(020219)건축" xfId="30464"/>
    <cellStyle name="C￥_LFD부산실행예산(020219)건축 2" xfId="25966"/>
    <cellStyle name="Ç¥_LFD부산실행예산(020219)건축 2" xfId="30465"/>
    <cellStyle name="C￥_LFD부산실행예산(020219)건축_경서실행(견적실)공무팀" xfId="25967"/>
    <cellStyle name="Ç¥_LFD부산실행예산(020219)건축_경서실행(견적실)공무팀" xfId="30466"/>
    <cellStyle name="C￥_LFD부산실행예산(020219)건축_경서실행(견적실)공무팀 2" xfId="25968"/>
    <cellStyle name="Ç¥_LFD부산실행예산(020219)건축_경서실행(견적실)공무팀 2" xfId="30467"/>
    <cellStyle name="C￥_LFD부산실행예산(020219)건축_골조공사견적가분석-1" xfId="25969"/>
    <cellStyle name="Ç¥_LFD부산실행예산(020219)건축_골조공사견적가분석-1" xfId="30468"/>
    <cellStyle name="C￥_LFD부산실행예산(020219)건축_골조공사견적가분석-1 2" xfId="25970"/>
    <cellStyle name="Ç¥_LFD부산실행예산(020219)건축_골조공사견적가분석-1 2" xfId="30469"/>
    <cellStyle name="C￥_LFD부산실행예산(020219)건축_골조공사공내역(송부)" xfId="25971"/>
    <cellStyle name="Ç¥_LFD부산실행예산(020219)건축_골조공사공내역(송부)" xfId="30470"/>
    <cellStyle name="C￥_LFD부산실행예산(020219)건축_골조공사공내역(송부) 2" xfId="25972"/>
    <cellStyle name="Ç¥_LFD부산실행예산(020219)건축_골조공사공내역(송부) 2" xfId="30471"/>
    <cellStyle name="C￥_LFD부산실행예산(020219)건축_골조공사공내역(장)" xfId="25973"/>
    <cellStyle name="Ç¥_LFD부산실행예산(020219)건축_골조공사공내역(장)" xfId="30472"/>
    <cellStyle name="C￥_LFD부산실행예산(020219)건축_골조공사공내역(장) 2" xfId="25974"/>
    <cellStyle name="Ç¥_LFD부산실행예산(020219)건축_골조공사공내역(장) 2" xfId="30473"/>
    <cellStyle name="C￥_LFD부산실행예산(020219)건축_골조공사실행예산품의" xfId="25975"/>
    <cellStyle name="Ç¥_LFD부산실행예산(020219)건축_골조공사실행예산품의" xfId="30474"/>
    <cellStyle name="C￥_LFD부산실행예산(020219)건축_골조공사실행예산품의 2" xfId="25976"/>
    <cellStyle name="Ç¥_LFD부산실행예산(020219)건축_골조공사실행예산품의 2" xfId="30475"/>
    <cellStyle name="C￥_LFD부산실행예산(020219)건축_동명2차실행예산(기초DATA)" xfId="25977"/>
    <cellStyle name="Ç¥_LFD부산실행예산(020219)건축_동명2차실행예산(기초DATA)" xfId="30476"/>
    <cellStyle name="C￥_LFD부산실행예산(020219)건축_동명2차실행예산(기초DATA) 2" xfId="25978"/>
    <cellStyle name="Ç¥_LFD부산실행예산(020219)건축_동명2차실행예산(기초DATA) 2" xfId="30477"/>
    <cellStyle name="C￥_LFD부산실행예산(020219)건축_동명본실행(수정)" xfId="25979"/>
    <cellStyle name="Ç¥_LFD부산실행예산(020219)건축_동명본실행(수정)" xfId="30478"/>
    <cellStyle name="C￥_LFD부산실행예산(020219)건축_동명본실행(수정) 2" xfId="25980"/>
    <cellStyle name="Ç¥_LFD부산실행예산(020219)건축_동명본실행(수정) 2" xfId="30479"/>
    <cellStyle name="C￥_LFD부산실행예산(020219)건축_동명삼화견본주택 기본안" xfId="25981"/>
    <cellStyle name="Ç¥_LFD부산실행예산(020219)건축_동명삼화견본주택 기본안" xfId="30480"/>
    <cellStyle name="C￥_LFD부산실행예산(020219)건축_동명삼화견본주택 기본안 2" xfId="25982"/>
    <cellStyle name="Ç¥_LFD부산실행예산(020219)건축_동명삼화견본주택 기본안 2" xfId="30481"/>
    <cellStyle name="C￥_LFD부산실행예산(020219)건축_부산덕천2차실행예산(기초DATA)" xfId="25983"/>
    <cellStyle name="Ç¥_LFD부산실행예산(020219)건축_부산덕천2차실행예산(기초DATA)" xfId="30482"/>
    <cellStyle name="C￥_LFD부산실행예산(020219)건축_부산덕천2차실행예산(기초DATA) 2" xfId="25984"/>
    <cellStyle name="Ç¥_LFD부산실행예산(020219)건축_부산덕천2차실행예산(기초DATA) 2" xfId="30483"/>
    <cellStyle name="C￥_LFD부산실행예산(020219)건축_부산덕천2차실행예산(기초DATA건설조정)" xfId="25985"/>
    <cellStyle name="Ç¥_LFD부산실행예산(020219)건축_부산덕천2차실행예산(기초DATA건설조정)" xfId="30484"/>
    <cellStyle name="C￥_LFD부산실행예산(020219)건축_부산덕천2차실행예산(기초DATA건설조정) 2" xfId="25986"/>
    <cellStyle name="Ç¥_LFD부산실행예산(020219)건축_부산덕천2차실행예산(기초DATA건설조정) 2" xfId="30485"/>
    <cellStyle name="C￥_LFD부산실행예산(020219)건축_부산덕천2차실행예산(기초DATA승인용)" xfId="25987"/>
    <cellStyle name="Ç¥_LFD부산실행예산(020219)건축_부산덕천2차실행예산(기초DATA승인용)" xfId="30486"/>
    <cellStyle name="C￥_LFD부산실행예산(020219)건축_부산덕천2차실행예산(기초DATA승인용) 2" xfId="25988"/>
    <cellStyle name="Ç¥_LFD부산실행예산(020219)건축_부산덕천2차실행예산(기초DATA승인용) 2" xfId="30487"/>
    <cellStyle name="C￥_LFD부산실행예산(020219)건축_부산덕천2차실행예산(기초DATA현장협의후)" xfId="25989"/>
    <cellStyle name="Ç¥_LFD부산실행예산(020219)건축_부산덕천2차실행예산(기초DATA현장협의후)" xfId="30488"/>
    <cellStyle name="C￥_LFD부산실행예산(020219)건축_부산덕천2차실행예산(기초DATA현장협의후) 2" xfId="25990"/>
    <cellStyle name="Ç¥_LFD부산실행예산(020219)건축_부산덕천2차실행예산(기초DATA현장협의후) 2" xfId="30489"/>
    <cellStyle name="C￥_LFD부산실행예산(020219)건축_실행검토_부산덕천" xfId="25991"/>
    <cellStyle name="Ç¥_LFD부산실행예산(020219)건축_실행검토_부산덕천" xfId="30490"/>
    <cellStyle name="C￥_LFD부산실행예산(020219)건축_실행검토_부산덕천 2" xfId="25992"/>
    <cellStyle name="Ç¥_LFD부산실행예산(020219)건축_실행검토_부산덕천 2" xfId="30491"/>
    <cellStyle name="C￥_LFD부산실행예산(020219)건축_여의도센터빌딩실행원가(020613)-2" xfId="25993"/>
    <cellStyle name="Ç¥_LFD부산실행예산(020219)건축_여의도센터빌딩실행원가(020613)-2" xfId="30492"/>
    <cellStyle name="C￥_LFD부산실행예산(020219)건축_여의도센터빌딩실행원가(020613)-2 2" xfId="25994"/>
    <cellStyle name="Ç¥_LFD부산실행예산(020219)건축_여의도센터빌딩실행원가(020613)-2 2" xfId="30493"/>
    <cellStyle name="C￥_LFD부산실행예산(020219)건축_제과충주영업소견적서" xfId="25995"/>
    <cellStyle name="Ç¥_LFD부산실행예산(020219)건축_제과충주영업소견적서" xfId="30494"/>
    <cellStyle name="C￥_LFD부산실행예산(020219)건축_제과충주영업소견적서 2" xfId="25996"/>
    <cellStyle name="Ç¥_LFD부산실행예산(020219)건축_제과충주영업소견적서 2" xfId="30495"/>
    <cellStyle name="C￥_LFD부산실행예산(020219)건축_현장경비신청안박성남" xfId="25997"/>
    <cellStyle name="Ç¥_LFD부산실행예산(020219)건축_현장경비신청안박성남" xfId="30496"/>
    <cellStyle name="C￥_LFD부산실행예산(020219)건축_현장경비신청안박성남 2" xfId="25998"/>
    <cellStyle name="Ç¥_LFD부산실행예산(020219)건축_현장경비신청안박성남 2" xfId="30497"/>
    <cellStyle name="C￥_LFD부산실행예산(020305)건축" xfId="25999"/>
    <cellStyle name="Ç¥_LFD부산실행예산(020305)건축" xfId="30498"/>
    <cellStyle name="C￥_LFD부산실행예산(020305)건축 2" xfId="26000"/>
    <cellStyle name="Ç¥_LFD부산실행예산(020305)건축 2" xfId="30499"/>
    <cellStyle name="C￥_LFD부산실행예산(020305)건축_경서실행(견적실)공무팀" xfId="26001"/>
    <cellStyle name="Ç¥_LFD부산실행예산(020305)건축_경서실행(견적실)공무팀" xfId="30500"/>
    <cellStyle name="C￥_LFD부산실행예산(020305)건축_경서실행(견적실)공무팀 2" xfId="26002"/>
    <cellStyle name="Ç¥_LFD부산실행예산(020305)건축_경서실행(견적실)공무팀 2" xfId="30501"/>
    <cellStyle name="C￥_LFD부산실행예산(020305)건축_골조공사견적가분석-1" xfId="26003"/>
    <cellStyle name="Ç¥_LFD부산실행예산(020305)건축_골조공사견적가분석-1" xfId="30502"/>
    <cellStyle name="C￥_LFD부산실행예산(020305)건축_골조공사견적가분석-1 2" xfId="26004"/>
    <cellStyle name="Ç¥_LFD부산실행예산(020305)건축_골조공사견적가분석-1 2" xfId="30503"/>
    <cellStyle name="C￥_LFD부산실행예산(020305)건축_골조공사공내역(송부)" xfId="26005"/>
    <cellStyle name="Ç¥_LFD부산실행예산(020305)건축_골조공사공내역(송부)" xfId="30504"/>
    <cellStyle name="C￥_LFD부산실행예산(020305)건축_골조공사공내역(송부) 2" xfId="26006"/>
    <cellStyle name="Ç¥_LFD부산실행예산(020305)건축_골조공사공내역(송부) 2" xfId="30505"/>
    <cellStyle name="C￥_LFD부산실행예산(020305)건축_골조공사공내역(장)" xfId="26007"/>
    <cellStyle name="Ç¥_LFD부산실행예산(020305)건축_골조공사공내역(장)" xfId="30506"/>
    <cellStyle name="C￥_LFD부산실행예산(020305)건축_골조공사공내역(장) 2" xfId="26008"/>
    <cellStyle name="Ç¥_LFD부산실행예산(020305)건축_골조공사공내역(장) 2" xfId="30507"/>
    <cellStyle name="C￥_LFD부산실행예산(020305)건축_골조공사실행예산품의" xfId="26009"/>
    <cellStyle name="Ç¥_LFD부산실행예산(020305)건축_골조공사실행예산품의" xfId="30508"/>
    <cellStyle name="C￥_LFD부산실행예산(020305)건축_골조공사실행예산품의 2" xfId="26010"/>
    <cellStyle name="Ç¥_LFD부산실행예산(020305)건축_골조공사실행예산품의 2" xfId="30509"/>
    <cellStyle name="C￥_LFD부산실행예산(020305)건축_동명2차실행예산(기초DATA)" xfId="26011"/>
    <cellStyle name="Ç¥_LFD부산실행예산(020305)건축_동명2차실행예산(기초DATA)" xfId="30510"/>
    <cellStyle name="C￥_LFD부산실행예산(020305)건축_동명2차실행예산(기초DATA) 2" xfId="26012"/>
    <cellStyle name="Ç¥_LFD부산실행예산(020305)건축_동명2차실행예산(기초DATA) 2" xfId="30511"/>
    <cellStyle name="C￥_LFD부산실행예산(020305)건축_동명본실행(수정)" xfId="26013"/>
    <cellStyle name="Ç¥_LFD부산실행예산(020305)건축_동명본실행(수정)" xfId="30512"/>
    <cellStyle name="C￥_LFD부산실행예산(020305)건축_동명본실행(수정) 2" xfId="26014"/>
    <cellStyle name="Ç¥_LFD부산실행예산(020305)건축_동명본실행(수정) 2" xfId="30513"/>
    <cellStyle name="C￥_LFD부산실행예산(020305)건축_부산덕천2차실행예산(기초DATA)" xfId="26015"/>
    <cellStyle name="Ç¥_LFD부산실행예산(020305)건축_부산덕천2차실행예산(기초DATA)" xfId="30514"/>
    <cellStyle name="C￥_LFD부산실행예산(020305)건축_부산덕천2차실행예산(기초DATA) 2" xfId="26016"/>
    <cellStyle name="Ç¥_LFD부산실행예산(020305)건축_부산덕천2차실행예산(기초DATA) 2" xfId="30515"/>
    <cellStyle name="C￥_LFD부산실행예산(020305)건축_부산덕천2차실행예산(기초DATA건설조정)" xfId="26017"/>
    <cellStyle name="Ç¥_LFD부산실행예산(020305)건축_부산덕천2차실행예산(기초DATA건설조정)" xfId="30516"/>
    <cellStyle name="C￥_LFD부산실행예산(020305)건축_부산덕천2차실행예산(기초DATA건설조정) 2" xfId="26018"/>
    <cellStyle name="Ç¥_LFD부산실행예산(020305)건축_부산덕천2차실행예산(기초DATA건설조정) 2" xfId="30517"/>
    <cellStyle name="C￥_LFD부산실행예산(020305)건축_부산덕천2차실행예산(기초DATA승인용)" xfId="26019"/>
    <cellStyle name="Ç¥_LFD부산실행예산(020305)건축_부산덕천2차실행예산(기초DATA승인용)" xfId="30518"/>
    <cellStyle name="C￥_LFD부산실행예산(020305)건축_부산덕천2차실행예산(기초DATA승인용) 2" xfId="26020"/>
    <cellStyle name="Ç¥_LFD부산실행예산(020305)건축_부산덕천2차실행예산(기초DATA승인용) 2" xfId="30519"/>
    <cellStyle name="C￥_LFD부산실행예산(020305)건축_부산덕천2차실행예산(기초DATA현장협의후)" xfId="26021"/>
    <cellStyle name="Ç¥_LFD부산실행예산(020305)건축_부산덕천2차실행예산(기초DATA현장협의후)" xfId="30520"/>
    <cellStyle name="C￥_LFD부산실행예산(020305)건축_부산덕천2차실행예산(기초DATA현장협의후) 2" xfId="26022"/>
    <cellStyle name="Ç¥_LFD부산실행예산(020305)건축_부산덕천2차실행예산(기초DATA현장협의후) 2" xfId="30521"/>
    <cellStyle name="C￥_LFD실행예산(020110)2855" xfId="26023"/>
    <cellStyle name="Ç¥_LFD실행예산(020110)2855" xfId="30522"/>
    <cellStyle name="C￥_LFD실행예산(020110)2855 2" xfId="26024"/>
    <cellStyle name="Ç¥_LFD실행예산(020110)2855 2" xfId="30523"/>
    <cellStyle name="C￥_LFD실행예산(020110)2855_LFD부산실행예산(020319)건축" xfId="26025"/>
    <cellStyle name="Ç¥_LFD실행예산(020110)2855_LFD부산실행예산(020319)건축" xfId="30524"/>
    <cellStyle name="C￥_LFD실행예산(020110)2855_LFD부산실행예산(020319)건축 2" xfId="26026"/>
    <cellStyle name="Ç¥_LFD실행예산(020110)2855_LFD부산실행예산(020319)건축 2" xfId="30525"/>
    <cellStyle name="C￥_LFD실행예산(020110)2855_경서실행(견적실)공무팀" xfId="26027"/>
    <cellStyle name="Ç¥_LFD실행예산(020110)2855_경서실행(견적실)공무팀" xfId="30526"/>
    <cellStyle name="C￥_LFD실행예산(020110)2855_경서실행(견적실)공무팀 2" xfId="26028"/>
    <cellStyle name="Ç¥_LFD실행예산(020110)2855_경서실행(견적실)공무팀 2" xfId="30527"/>
    <cellStyle name="C￥_LFD실행예산(020110)2855_골조공사견적가분석-1" xfId="26029"/>
    <cellStyle name="Ç¥_LFD실행예산(020110)2855_골조공사견적가분석-1" xfId="30528"/>
    <cellStyle name="C￥_LFD실행예산(020110)2855_골조공사견적가분석-1 2" xfId="26030"/>
    <cellStyle name="Ç¥_LFD실행예산(020110)2855_골조공사견적가분석-1 2" xfId="30529"/>
    <cellStyle name="C￥_LFD실행예산(020110)2855_골조공사공내역(송부)" xfId="26031"/>
    <cellStyle name="Ç¥_LFD실행예산(020110)2855_골조공사공내역(송부)" xfId="30530"/>
    <cellStyle name="C￥_LFD실행예산(020110)2855_골조공사공내역(송부) 2" xfId="26032"/>
    <cellStyle name="Ç¥_LFD실행예산(020110)2855_골조공사공내역(송부) 2" xfId="30531"/>
    <cellStyle name="C￥_LFD실행예산(020110)2855_골조공사공내역(장)" xfId="26033"/>
    <cellStyle name="Ç¥_LFD실행예산(020110)2855_골조공사공내역(장)" xfId="30532"/>
    <cellStyle name="C￥_LFD실행예산(020110)2855_골조공사공내역(장) 2" xfId="26034"/>
    <cellStyle name="Ç¥_LFD실행예산(020110)2855_골조공사공내역(장) 2" xfId="30533"/>
    <cellStyle name="C￥_LFD실행예산(020110)2855_골조공사실행예산품의" xfId="26035"/>
    <cellStyle name="Ç¥_LFD실행예산(020110)2855_골조공사실행예산품의" xfId="30534"/>
    <cellStyle name="C￥_LFD실행예산(020110)2855_골조공사실행예산품의 2" xfId="26036"/>
    <cellStyle name="Ç¥_LFD실행예산(020110)2855_골조공사실행예산품의 2" xfId="30535"/>
    <cellStyle name="C￥_LFD실행예산(020110)2855_동명2차실행예산(기초DATA)" xfId="26037"/>
    <cellStyle name="Ç¥_LFD실행예산(020110)2855_동명2차실행예산(기초DATA)" xfId="30536"/>
    <cellStyle name="C￥_LFD실행예산(020110)2855_동명2차실행예산(기초DATA) 2" xfId="26038"/>
    <cellStyle name="Ç¥_LFD실행예산(020110)2855_동명2차실행예산(기초DATA) 2" xfId="30537"/>
    <cellStyle name="C￥_LFD실행예산(020110)2855_동명본실행(수정)" xfId="26039"/>
    <cellStyle name="Ç¥_LFD실행예산(020110)2855_동명본실행(수정)" xfId="30538"/>
    <cellStyle name="C￥_LFD실행예산(020110)2855_동명본실행(수정) 2" xfId="26040"/>
    <cellStyle name="Ç¥_LFD실행예산(020110)2855_동명본실행(수정) 2" xfId="30539"/>
    <cellStyle name="C￥_LFD실행예산(020110)2855_동명삼화견본주택 기본안" xfId="26041"/>
    <cellStyle name="Ç¥_LFD실행예산(020110)2855_동명삼화견본주택 기본안" xfId="30540"/>
    <cellStyle name="C￥_LFD실행예산(020110)2855_동명삼화견본주택 기본안 2" xfId="26042"/>
    <cellStyle name="Ç¥_LFD실행예산(020110)2855_동명삼화견본주택 기본안 2" xfId="30541"/>
    <cellStyle name="C￥_LFD실행예산(020110)2855_동명실행예산-1" xfId="26043"/>
    <cellStyle name="Ç¥_LFD실행예산(020110)2855_동명실행예산-1" xfId="30542"/>
    <cellStyle name="C￥_LFD실행예산(020110)2855_동명실행예산-1 2" xfId="26044"/>
    <cellStyle name="Ç¥_LFD실행예산(020110)2855_동명실행예산-1 2" xfId="30543"/>
    <cellStyle name="C￥_LFD실행예산(020110)2855_부산덕천2차실행예산(기초DATA)" xfId="26045"/>
    <cellStyle name="Ç¥_LFD실행예산(020110)2855_부산덕천2차실행예산(기초DATA)" xfId="30544"/>
    <cellStyle name="C￥_LFD실행예산(020110)2855_부산덕천2차실행예산(기초DATA) 2" xfId="26046"/>
    <cellStyle name="Ç¥_LFD실행예산(020110)2855_부산덕천2차실행예산(기초DATA) 2" xfId="30545"/>
    <cellStyle name="C￥_LFD실행예산(020110)2855_부산덕천2차실행예산(기초DATA건설조정)" xfId="26047"/>
    <cellStyle name="Ç¥_LFD실행예산(020110)2855_부산덕천2차실행예산(기초DATA건설조정)" xfId="30546"/>
    <cellStyle name="C￥_LFD실행예산(020110)2855_부산덕천2차실행예산(기초DATA건설조정) 2" xfId="26048"/>
    <cellStyle name="Ç¥_LFD실행예산(020110)2855_부산덕천2차실행예산(기초DATA건설조정) 2" xfId="30547"/>
    <cellStyle name="C￥_LFD실행예산(020110)2855_부산덕천2차실행예산(기초DATA승인용)" xfId="26049"/>
    <cellStyle name="Ç¥_LFD실행예산(020110)2855_부산덕천2차실행예산(기초DATA승인용)" xfId="30548"/>
    <cellStyle name="C￥_LFD실행예산(020110)2855_부산덕천2차실행예산(기초DATA승인용) 2" xfId="26050"/>
    <cellStyle name="Ç¥_LFD실행예산(020110)2855_부산덕천2차실행예산(기초DATA승인용) 2" xfId="30549"/>
    <cellStyle name="C￥_LFD실행예산(020110)2855_부산덕천2차실행예산(기초DATA현장협의후)" xfId="26051"/>
    <cellStyle name="Ç¥_LFD실행예산(020110)2855_부산덕천2차실행예산(기초DATA현장협의후)" xfId="30550"/>
    <cellStyle name="C￥_LFD실행예산(020110)2855_부산덕천2차실행예산(기초DATA현장협의후) 2" xfId="26052"/>
    <cellStyle name="Ç¥_LFD실행예산(020110)2855_부산덕천2차실행예산(기초DATA현장협의후) 2" xfId="30551"/>
    <cellStyle name="C￥_LFD실행예산(020110)2855_실행검토_부산덕천" xfId="26053"/>
    <cellStyle name="Ç¥_LFD실행예산(020110)2855_실행검토_부산덕천" xfId="30552"/>
    <cellStyle name="C￥_LFD실행예산(020110)2855_실행검토_부산덕천 2" xfId="26054"/>
    <cellStyle name="Ç¥_LFD실행예산(020110)2855_실행검토_부산덕천 2" xfId="30553"/>
    <cellStyle name="C￥_LFD실행예산(020110)2855_여의도센터빌딩실행원가(020613)-2" xfId="26055"/>
    <cellStyle name="Ç¥_LFD실행예산(020110)2855_여의도센터빌딩실행원가(020613)-2" xfId="30554"/>
    <cellStyle name="C￥_LFD실행예산(020110)2855_여의도센터빌딩실행원가(020613)-2 2" xfId="26056"/>
    <cellStyle name="Ç¥_LFD실행예산(020110)2855_여의도센터빌딩실행원가(020613)-2 2" xfId="30555"/>
    <cellStyle name="C￥_LFD실행예산(020110)2855_제과충주영업소견적서" xfId="26057"/>
    <cellStyle name="Ç¥_LFD실행예산(020110)2855_제과충주영업소견적서" xfId="30556"/>
    <cellStyle name="C￥_LFD실행예산(020110)2855_제과충주영업소견적서 2" xfId="26058"/>
    <cellStyle name="Ç¥_LFD실행예산(020110)2855_제과충주영업소견적서 2" xfId="30557"/>
    <cellStyle name="C￥_LFD실행예산(020110)2855_현장경비신청안박성남" xfId="26059"/>
    <cellStyle name="Ç¥_LFD실행예산(020110)2855_현장경비신청안박성남" xfId="30558"/>
    <cellStyle name="C￥_LFD실행예산(020110)2855_현장경비신청안박성남 2" xfId="26060"/>
    <cellStyle name="Ç¥_LFD실행예산(020110)2855_현장경비신청안박성남 2" xfId="30559"/>
    <cellStyle name="C￥_경서실행(견적실)공무팀" xfId="26061"/>
    <cellStyle name="Ç¥_경서실행(견적실)공무팀" xfId="30560"/>
    <cellStyle name="C￥_경서실행(견적실)공무팀 2" xfId="26062"/>
    <cellStyle name="Ç¥_경서실행(견적실)공무팀 2" xfId="30561"/>
    <cellStyle name="C￥_경서실행(견적실)공무팀_1" xfId="26063"/>
    <cellStyle name="Ç¥_경서실행(견적실)공무팀_1" xfId="30562"/>
    <cellStyle name="C￥_경서실행(견적실)공무팀_1 2" xfId="26064"/>
    <cellStyle name="Ç¥_경서실행(견적실)공무팀_1 2" xfId="30563"/>
    <cellStyle name="C￥_경서실행(견적실)공무팀_1_레몬영화egi내역서(13968천원)" xfId="26065"/>
    <cellStyle name="Ç¥_경서실행(견적실)공무팀_1_레몬영화egi내역서(13968천원)" xfId="30564"/>
    <cellStyle name="C￥_경서실행(견적실)공무팀_1_레몬영화egi내역서(13968천원) 2" xfId="26066"/>
    <cellStyle name="Ç¥_경서실행(견적실)공무팀_1_레몬영화egi내역서(13968천원) 2" xfId="30565"/>
    <cellStyle name="C￥_광주공장 도급내역(변경03.1.07)" xfId="26067"/>
    <cellStyle name="Ç¥_광주공장 도급내역(변경03.1.07)" xfId="30566"/>
    <cellStyle name="C￥_광주공장 도급내역(변경03.1.07) 2" xfId="26068"/>
    <cellStyle name="Ç¥_광주공장 도급내역(변경03.1.07) 2" xfId="30567"/>
    <cellStyle name="C￥_광주공장 도급내역(변경03.1.21)" xfId="26069"/>
    <cellStyle name="Ç¥_광주공장 도급내역(변경03.1.21)" xfId="30568"/>
    <cellStyle name="C￥_광주공장 도급내역(변경03.1.21) 2" xfId="26070"/>
    <cellStyle name="Ç¥_광주공장 도급내역(변경03.1.21) 2" xfId="30569"/>
    <cellStyle name="C￥_광주공장(대비1218)" xfId="26071"/>
    <cellStyle name="Ç¥_광주공장(대비1218)" xfId="30570"/>
    <cellStyle name="C￥_광주공장(대비1218) 2" xfId="26072"/>
    <cellStyle name="Ç¥_광주공장(대비1218) 2" xfId="30571"/>
    <cellStyle name="C￥_기계실행(LFD광주공장.현설용)" xfId="26073"/>
    <cellStyle name="Ç¥_기계실행(LFD광주공장.현설용)" xfId="30572"/>
    <cellStyle name="C￥_기계실행(LFD광주공장.현설용) 2" xfId="26074"/>
    <cellStyle name="Ç¥_기계실행(LFD광주공장.현설용) 2" xfId="30573"/>
    <cellStyle name="C￥_동명삼화 현장설명(본사지급)" xfId="26075"/>
    <cellStyle name="Ç¥_동명삼화 현장설명(본사지급)" xfId="30574"/>
    <cellStyle name="C￥_동명삼화 현장설명(본사지급) 2" xfId="26076"/>
    <cellStyle name="Ç¥_동명삼화 현장설명(본사지급) 2" xfId="30575"/>
    <cellStyle name="C￥_동명삼화 현장설명(본사지급)_울산신정동수주검토(2003.01.21에어컨)" xfId="26077"/>
    <cellStyle name="Ç¥_동명삼화 현장설명(본사지급)_울산신정동수주검토(2003.01.21에어컨)" xfId="30576"/>
    <cellStyle name="C￥_동명삼화 현장설명(본사지급)_울산신정동수주검토(2003.01.21에어컨) 2" xfId="26078"/>
    <cellStyle name="Ç¥_동명삼화 현장설명(본사지급)_울산신정동수주검토(2003.01.21에어컨) 2" xfId="30577"/>
    <cellStyle name="C￥_동명삼화견본주택 기본안" xfId="26079"/>
    <cellStyle name="Ç¥_동명삼화견본주택 기본안" xfId="30578"/>
    <cellStyle name="C￥_동명삼화견본주택 기본안 2" xfId="26080"/>
    <cellStyle name="Ç¥_동명삼화견본주택 기본안 2" xfId="30579"/>
    <cellStyle name="C￥_동명삼화기계공사 물량집계" xfId="26081"/>
    <cellStyle name="Ç¥_동명삼화기계공사 물량집계" xfId="30580"/>
    <cellStyle name="C￥_동명삼화기계공사 물량집계 2" xfId="26082"/>
    <cellStyle name="Ç¥_동명삼화기계공사 물량집계 2" xfId="30581"/>
    <cellStyle name="C￥_동명삼화재건축아파트" xfId="26083"/>
    <cellStyle name="Ç¥_동명삼화재건축아파트" xfId="30582"/>
    <cellStyle name="C￥_동명삼화재건축아파트 2" xfId="26084"/>
    <cellStyle name="Ç¥_동명삼화재건축아파트 2" xfId="30583"/>
    <cellStyle name="C￥_동명실행예산-1" xfId="26085"/>
    <cellStyle name="Ç¥_동명실행예산-1" xfId="30584"/>
    <cellStyle name="C￥_동명실행예산-1 2" xfId="26086"/>
    <cellStyle name="Ç¥_동명실행예산-1 2" xfId="30585"/>
    <cellStyle name="C￥_롯데동명삼화평당단가비교" xfId="26087"/>
    <cellStyle name="Ç¥_롯데동명삼화평당단가비교" xfId="30586"/>
    <cellStyle name="C￥_롯데동명삼화평당단가비교 2" xfId="26088"/>
    <cellStyle name="Ç¥_롯데동명삼화평당단가비교 2" xfId="30587"/>
    <cellStyle name="C￥_마곡보완" xfId="26089"/>
    <cellStyle name="Ç¥_마곡보완" xfId="30588"/>
    <cellStyle name="C￥_마곡보완 2" xfId="26090"/>
    <cellStyle name="Ç¥_마곡보완 2" xfId="30589"/>
    <cellStyle name="C￥_마곡보완_Lemon 수원영화점 기계도급내역(최종보고)" xfId="26091"/>
    <cellStyle name="Ç¥_마곡보완_Lemon 수원영화점 기계도급내역(최종보고)" xfId="30590"/>
    <cellStyle name="C￥_마곡보완_Lemon 수원영화점 기계도급내역(최종보고) 2" xfId="26092"/>
    <cellStyle name="Ç¥_마곡보완_Lemon 수원영화점 기계도급내역(최종보고) 2" xfId="30591"/>
    <cellStyle name="C￥_마곡보완_Lemon 수원영화점(기계공사)" xfId="26093"/>
    <cellStyle name="Ç¥_마곡보완_Lemon 수원영화점(기계공사)" xfId="30592"/>
    <cellStyle name="C￥_마곡보완_Lemon 수원영화점(기계공사) 2" xfId="26094"/>
    <cellStyle name="Ç¥_마곡보완_Lemon 수원영화점(기계공사) 2" xfId="30593"/>
    <cellStyle name="C￥_마곡보완_LFD부산실행예산(020219)건축" xfId="26095"/>
    <cellStyle name="Ç¥_마곡보완_LFD부산실행예산(020219)건축" xfId="30594"/>
    <cellStyle name="C￥_마곡보완_LFD부산실행예산(020219)건축 2" xfId="26096"/>
    <cellStyle name="Ç¥_마곡보완_LFD부산실행예산(020219)건축 2" xfId="30595"/>
    <cellStyle name="C￥_마곡보완_LFD부산실행예산(020219)건축_경서실행(견적실)공무팀" xfId="26097"/>
    <cellStyle name="Ç¥_마곡보완_LFD부산실행예산(020219)건축_경서실행(견적실)공무팀" xfId="30596"/>
    <cellStyle name="C￥_마곡보완_LFD부산실행예산(020219)건축_경서실행(견적실)공무팀 2" xfId="26098"/>
    <cellStyle name="Ç¥_마곡보완_LFD부산실행예산(020219)건축_경서실행(견적실)공무팀 2" xfId="30597"/>
    <cellStyle name="C￥_마곡보완_LFD부산실행예산(020219)건축_골조공사견적가분석-1" xfId="26099"/>
    <cellStyle name="Ç¥_마곡보완_LFD부산실행예산(020219)건축_골조공사견적가분석-1" xfId="30598"/>
    <cellStyle name="C￥_마곡보완_LFD부산실행예산(020219)건축_골조공사견적가분석-1 2" xfId="26100"/>
    <cellStyle name="Ç¥_마곡보완_LFD부산실행예산(020219)건축_골조공사견적가분석-1 2" xfId="30599"/>
    <cellStyle name="C￥_마곡보완_LFD부산실행예산(020219)건축_골조공사공내역(송부)" xfId="26101"/>
    <cellStyle name="Ç¥_마곡보완_LFD부산실행예산(020219)건축_골조공사공내역(송부)" xfId="30600"/>
    <cellStyle name="C￥_마곡보완_LFD부산실행예산(020219)건축_골조공사공내역(송부) 2" xfId="26102"/>
    <cellStyle name="Ç¥_마곡보완_LFD부산실행예산(020219)건축_골조공사공내역(송부) 2" xfId="30601"/>
    <cellStyle name="C￥_마곡보완_LFD부산실행예산(020219)건축_골조공사공내역(장)" xfId="26103"/>
    <cellStyle name="Ç¥_마곡보완_LFD부산실행예산(020219)건축_골조공사공내역(장)" xfId="30602"/>
    <cellStyle name="C￥_마곡보완_LFD부산실행예산(020219)건축_골조공사공내역(장) 2" xfId="26104"/>
    <cellStyle name="Ç¥_마곡보완_LFD부산실행예산(020219)건축_골조공사공내역(장) 2" xfId="30603"/>
    <cellStyle name="C￥_마곡보완_LFD부산실행예산(020219)건축_골조공사실행예산품의" xfId="26105"/>
    <cellStyle name="Ç¥_마곡보완_LFD부산실행예산(020219)건축_골조공사실행예산품의" xfId="30604"/>
    <cellStyle name="C￥_마곡보완_LFD부산실행예산(020219)건축_골조공사실행예산품의 2" xfId="26106"/>
    <cellStyle name="Ç¥_마곡보완_LFD부산실행예산(020219)건축_골조공사실행예산품의 2" xfId="30605"/>
    <cellStyle name="C￥_마곡보완_LFD부산실행예산(020219)건축_동명2차실행예산(기초DATA)" xfId="26107"/>
    <cellStyle name="Ç¥_마곡보완_LFD부산실행예산(020219)건축_동명2차실행예산(기초DATA)" xfId="30606"/>
    <cellStyle name="C￥_마곡보완_LFD부산실행예산(020219)건축_동명2차실행예산(기초DATA) 2" xfId="26108"/>
    <cellStyle name="Ç¥_마곡보완_LFD부산실행예산(020219)건축_동명2차실행예산(기초DATA) 2" xfId="30607"/>
    <cellStyle name="C￥_마곡보완_LFD부산실행예산(020219)건축_동명본실행(수정)" xfId="26109"/>
    <cellStyle name="Ç¥_마곡보완_LFD부산실행예산(020219)건축_동명본실행(수정)" xfId="30608"/>
    <cellStyle name="C￥_마곡보완_LFD부산실행예산(020219)건축_동명본실행(수정) 2" xfId="26110"/>
    <cellStyle name="Ç¥_마곡보완_LFD부산실행예산(020219)건축_동명본실행(수정) 2" xfId="30609"/>
    <cellStyle name="C￥_마곡보완_LFD부산실행예산(020219)건축_동명삼화견본주택 기본안" xfId="26111"/>
    <cellStyle name="Ç¥_마곡보완_LFD부산실행예산(020219)건축_동명삼화견본주택 기본안" xfId="30610"/>
    <cellStyle name="C￥_마곡보완_LFD부산실행예산(020219)건축_동명삼화견본주택 기본안 2" xfId="26112"/>
    <cellStyle name="Ç¥_마곡보완_LFD부산실행예산(020219)건축_동명삼화견본주택 기본안 2" xfId="30611"/>
    <cellStyle name="C￥_마곡보완_LFD부산실행예산(020219)건축_부산덕천2차실행예산(기초DATA)" xfId="26113"/>
    <cellStyle name="Ç¥_마곡보완_LFD부산실행예산(020219)건축_부산덕천2차실행예산(기초DATA)" xfId="30612"/>
    <cellStyle name="C￥_마곡보완_LFD부산실행예산(020219)건축_부산덕천2차실행예산(기초DATA) 2" xfId="26114"/>
    <cellStyle name="Ç¥_마곡보완_LFD부산실행예산(020219)건축_부산덕천2차실행예산(기초DATA) 2" xfId="30613"/>
    <cellStyle name="C￥_마곡보완_LFD부산실행예산(020219)건축_부산덕천2차실행예산(기초DATA건설조정)" xfId="26115"/>
    <cellStyle name="Ç¥_마곡보완_LFD부산실행예산(020219)건축_부산덕천2차실행예산(기초DATA건설조정)" xfId="30614"/>
    <cellStyle name="C￥_마곡보완_LFD부산실행예산(020219)건축_부산덕천2차실행예산(기초DATA건설조정) 2" xfId="26116"/>
    <cellStyle name="Ç¥_마곡보완_LFD부산실행예산(020219)건축_부산덕천2차실행예산(기초DATA건설조정) 2" xfId="30615"/>
    <cellStyle name="C￥_마곡보완_LFD부산실행예산(020219)건축_부산덕천2차실행예산(기초DATA승인용)" xfId="26117"/>
    <cellStyle name="Ç¥_마곡보완_LFD부산실행예산(020219)건축_부산덕천2차실행예산(기초DATA승인용)" xfId="30616"/>
    <cellStyle name="C￥_마곡보완_LFD부산실행예산(020219)건축_부산덕천2차실행예산(기초DATA승인용) 2" xfId="26118"/>
    <cellStyle name="Ç¥_마곡보완_LFD부산실행예산(020219)건축_부산덕천2차실행예산(기초DATA승인용) 2" xfId="30617"/>
    <cellStyle name="C￥_마곡보완_LFD부산실행예산(020219)건축_부산덕천2차실행예산(기초DATA현장협의후)" xfId="26119"/>
    <cellStyle name="Ç¥_마곡보완_LFD부산실행예산(020219)건축_부산덕천2차실행예산(기초DATA현장협의후)" xfId="30618"/>
    <cellStyle name="C￥_마곡보완_LFD부산실행예산(020219)건축_부산덕천2차실행예산(기초DATA현장협의후) 2" xfId="26120"/>
    <cellStyle name="Ç¥_마곡보완_LFD부산실행예산(020219)건축_부산덕천2차실행예산(기초DATA현장협의후) 2" xfId="30619"/>
    <cellStyle name="C￥_마곡보완_LFD부산실행예산(020219)건축_실행검토_부산덕천" xfId="26121"/>
    <cellStyle name="Ç¥_마곡보완_LFD부산실행예산(020219)건축_실행검토_부산덕천" xfId="30620"/>
    <cellStyle name="C￥_마곡보완_LFD부산실행예산(020219)건축_실행검토_부산덕천 2" xfId="26122"/>
    <cellStyle name="Ç¥_마곡보완_LFD부산실행예산(020219)건축_실행검토_부산덕천 2" xfId="30621"/>
    <cellStyle name="C￥_마곡보완_LFD부산실행예산(020219)건축_여의도센터빌딩실행원가(020613)-2" xfId="26123"/>
    <cellStyle name="Ç¥_마곡보완_LFD부산실행예산(020219)건축_여의도센터빌딩실행원가(020613)-2" xfId="30622"/>
    <cellStyle name="C￥_마곡보완_LFD부산실행예산(020219)건축_여의도센터빌딩실행원가(020613)-2 2" xfId="26124"/>
    <cellStyle name="Ç¥_마곡보완_LFD부산실행예산(020219)건축_여의도센터빌딩실행원가(020613)-2 2" xfId="30623"/>
    <cellStyle name="C￥_마곡보완_LFD부산실행예산(020219)건축_제과충주영업소견적서" xfId="26125"/>
    <cellStyle name="Ç¥_마곡보완_LFD부산실행예산(020219)건축_제과충주영업소견적서" xfId="30624"/>
    <cellStyle name="C￥_마곡보완_LFD부산실행예산(020219)건축_제과충주영업소견적서 2" xfId="26126"/>
    <cellStyle name="Ç¥_마곡보완_LFD부산실행예산(020219)건축_제과충주영업소견적서 2" xfId="30625"/>
    <cellStyle name="C￥_마곡보완_LFD부산실행예산(020219)건축_현장경비신청안박성남" xfId="26127"/>
    <cellStyle name="Ç¥_마곡보완_LFD부산실행예산(020219)건축_현장경비신청안박성남" xfId="30626"/>
    <cellStyle name="C￥_마곡보완_LFD부산실행예산(020219)건축_현장경비신청안박성남 2" xfId="26128"/>
    <cellStyle name="Ç¥_마곡보완_LFD부산실행예산(020219)건축_현장경비신청안박성남 2" xfId="30627"/>
    <cellStyle name="C￥_마곡보완_LFD부산실행예산(020305)건축" xfId="26129"/>
    <cellStyle name="Ç¥_마곡보완_LFD부산실행예산(020305)건축" xfId="30628"/>
    <cellStyle name="C￥_마곡보완_LFD부산실행예산(020305)건축 2" xfId="26130"/>
    <cellStyle name="Ç¥_마곡보완_LFD부산실행예산(020305)건축 2" xfId="30629"/>
    <cellStyle name="C￥_마곡보완_LFD부산실행예산(020305)건축_경서실행(견적실)공무팀" xfId="26131"/>
    <cellStyle name="Ç¥_마곡보완_LFD부산실행예산(020305)건축_경서실행(견적실)공무팀" xfId="30630"/>
    <cellStyle name="C￥_마곡보완_LFD부산실행예산(020305)건축_경서실행(견적실)공무팀 2" xfId="26132"/>
    <cellStyle name="Ç¥_마곡보완_LFD부산실행예산(020305)건축_경서실행(견적실)공무팀 2" xfId="30631"/>
    <cellStyle name="C￥_마곡보완_LFD부산실행예산(020305)건축_골조공사견적가분석-1" xfId="26133"/>
    <cellStyle name="Ç¥_마곡보완_LFD부산실행예산(020305)건축_골조공사견적가분석-1" xfId="30632"/>
    <cellStyle name="C￥_마곡보완_LFD부산실행예산(020305)건축_골조공사견적가분석-1 2" xfId="26134"/>
    <cellStyle name="Ç¥_마곡보완_LFD부산실행예산(020305)건축_골조공사견적가분석-1 2" xfId="30633"/>
    <cellStyle name="C￥_마곡보완_LFD부산실행예산(020305)건축_골조공사공내역(송부)" xfId="26135"/>
    <cellStyle name="Ç¥_마곡보완_LFD부산실행예산(020305)건축_골조공사공내역(송부)" xfId="30634"/>
    <cellStyle name="C￥_마곡보완_LFD부산실행예산(020305)건축_골조공사공내역(송부) 2" xfId="26136"/>
    <cellStyle name="Ç¥_마곡보완_LFD부산실행예산(020305)건축_골조공사공내역(송부) 2" xfId="30635"/>
    <cellStyle name="C￥_마곡보완_LFD부산실행예산(020305)건축_골조공사공내역(장)" xfId="26137"/>
    <cellStyle name="Ç¥_마곡보완_LFD부산실행예산(020305)건축_골조공사공내역(장)" xfId="30636"/>
    <cellStyle name="C￥_마곡보완_LFD부산실행예산(020305)건축_골조공사공내역(장) 2" xfId="26138"/>
    <cellStyle name="Ç¥_마곡보완_LFD부산실행예산(020305)건축_골조공사공내역(장) 2" xfId="30637"/>
    <cellStyle name="C￥_마곡보완_LFD부산실행예산(020305)건축_골조공사실행예산품의" xfId="26139"/>
    <cellStyle name="Ç¥_마곡보완_LFD부산실행예산(020305)건축_골조공사실행예산품의" xfId="30638"/>
    <cellStyle name="C￥_마곡보완_LFD부산실행예산(020305)건축_골조공사실행예산품의 2" xfId="26140"/>
    <cellStyle name="Ç¥_마곡보완_LFD부산실행예산(020305)건축_골조공사실행예산품의 2" xfId="30639"/>
    <cellStyle name="C￥_마곡보완_LFD부산실행예산(020305)건축_동명2차실행예산(기초DATA)" xfId="26141"/>
    <cellStyle name="Ç¥_마곡보완_LFD부산실행예산(020305)건축_동명2차실행예산(기초DATA)" xfId="30640"/>
    <cellStyle name="C￥_마곡보완_LFD부산실행예산(020305)건축_동명2차실행예산(기초DATA) 2" xfId="26142"/>
    <cellStyle name="Ç¥_마곡보완_LFD부산실행예산(020305)건축_동명2차실행예산(기초DATA) 2" xfId="30641"/>
    <cellStyle name="C￥_마곡보완_LFD부산실행예산(020305)건축_동명본실행(수정)" xfId="26143"/>
    <cellStyle name="Ç¥_마곡보완_LFD부산실행예산(020305)건축_동명본실행(수정)" xfId="30642"/>
    <cellStyle name="C￥_마곡보완_LFD부산실행예산(020305)건축_동명본실행(수정) 2" xfId="26144"/>
    <cellStyle name="Ç¥_마곡보완_LFD부산실행예산(020305)건축_동명본실행(수정) 2" xfId="30643"/>
    <cellStyle name="C￥_마곡보완_LFD부산실행예산(020305)건축_부산덕천2차실행예산(기초DATA)" xfId="26145"/>
    <cellStyle name="Ç¥_마곡보완_LFD부산실행예산(020305)건축_부산덕천2차실행예산(기초DATA)" xfId="30644"/>
    <cellStyle name="C￥_마곡보완_LFD부산실행예산(020305)건축_부산덕천2차실행예산(기초DATA) 2" xfId="26146"/>
    <cellStyle name="Ç¥_마곡보완_LFD부산실행예산(020305)건축_부산덕천2차실행예산(기초DATA) 2" xfId="30645"/>
    <cellStyle name="C￥_마곡보완_LFD부산실행예산(020305)건축_부산덕천2차실행예산(기초DATA건설조정)" xfId="26147"/>
    <cellStyle name="Ç¥_마곡보완_LFD부산실행예산(020305)건축_부산덕천2차실행예산(기초DATA건설조정)" xfId="30646"/>
    <cellStyle name="C￥_마곡보완_LFD부산실행예산(020305)건축_부산덕천2차실행예산(기초DATA건설조정) 2" xfId="26148"/>
    <cellStyle name="Ç¥_마곡보완_LFD부산실행예산(020305)건축_부산덕천2차실행예산(기초DATA건설조정) 2" xfId="30647"/>
    <cellStyle name="C￥_마곡보완_LFD부산실행예산(020305)건축_부산덕천2차실행예산(기초DATA승인용)" xfId="26149"/>
    <cellStyle name="Ç¥_마곡보완_LFD부산실행예산(020305)건축_부산덕천2차실행예산(기초DATA승인용)" xfId="30648"/>
    <cellStyle name="C￥_마곡보완_LFD부산실행예산(020305)건축_부산덕천2차실행예산(기초DATA승인용) 2" xfId="26150"/>
    <cellStyle name="Ç¥_마곡보완_LFD부산실행예산(020305)건축_부산덕천2차실행예산(기초DATA승인용) 2" xfId="30649"/>
    <cellStyle name="C￥_마곡보완_LFD부산실행예산(020305)건축_부산덕천2차실행예산(기초DATA현장협의후)" xfId="26151"/>
    <cellStyle name="Ç¥_마곡보완_LFD부산실행예산(020305)건축_부산덕천2차실행예산(기초DATA현장협의후)" xfId="30650"/>
    <cellStyle name="C￥_마곡보완_LFD부산실행예산(020305)건축_부산덕천2차실행예산(기초DATA현장협의후) 2" xfId="26152"/>
    <cellStyle name="Ç¥_마곡보완_LFD부산실행예산(020305)건축_부산덕천2차실행예산(기초DATA현장협의후) 2" xfId="30651"/>
    <cellStyle name="C￥_마곡보완_LFD실행예산(020110)2855" xfId="26153"/>
    <cellStyle name="Ç¥_마곡보완_LFD실행예산(020110)2855" xfId="30652"/>
    <cellStyle name="C￥_마곡보완_LFD실행예산(020110)2855 2" xfId="26154"/>
    <cellStyle name="Ç¥_마곡보완_LFD실행예산(020110)2855 2" xfId="30653"/>
    <cellStyle name="C￥_마곡보완_LFD실행예산(020110)2855_LFD부산실행예산(020319)건축" xfId="26155"/>
    <cellStyle name="Ç¥_마곡보완_LFD실행예산(020110)2855_LFD부산실행예산(020319)건축" xfId="30654"/>
    <cellStyle name="C￥_마곡보완_LFD실행예산(020110)2855_LFD부산실행예산(020319)건축 2" xfId="26156"/>
    <cellStyle name="Ç¥_마곡보완_LFD실행예산(020110)2855_LFD부산실행예산(020319)건축 2" xfId="30655"/>
    <cellStyle name="C￥_마곡보완_LFD실행예산(020110)2855_경서실행(견적실)공무팀" xfId="26157"/>
    <cellStyle name="Ç¥_마곡보완_LFD실행예산(020110)2855_경서실행(견적실)공무팀" xfId="30656"/>
    <cellStyle name="C￥_마곡보완_LFD실행예산(020110)2855_경서실행(견적실)공무팀 2" xfId="26158"/>
    <cellStyle name="Ç¥_마곡보완_LFD실행예산(020110)2855_경서실행(견적실)공무팀 2" xfId="30657"/>
    <cellStyle name="C￥_마곡보완_LFD실행예산(020110)2855_골조공사견적가분석-1" xfId="26159"/>
    <cellStyle name="Ç¥_마곡보완_LFD실행예산(020110)2855_골조공사견적가분석-1" xfId="30658"/>
    <cellStyle name="C￥_마곡보완_LFD실행예산(020110)2855_골조공사견적가분석-1 2" xfId="26160"/>
    <cellStyle name="Ç¥_마곡보완_LFD실행예산(020110)2855_골조공사견적가분석-1 2" xfId="30659"/>
    <cellStyle name="C￥_마곡보완_LFD실행예산(020110)2855_골조공사공내역(송부)" xfId="26161"/>
    <cellStyle name="Ç¥_마곡보완_LFD실행예산(020110)2855_골조공사공내역(송부)" xfId="30660"/>
    <cellStyle name="C￥_마곡보완_LFD실행예산(020110)2855_골조공사공내역(송부) 2" xfId="26162"/>
    <cellStyle name="Ç¥_마곡보완_LFD실행예산(020110)2855_골조공사공내역(송부) 2" xfId="30661"/>
    <cellStyle name="C￥_마곡보완_LFD실행예산(020110)2855_골조공사공내역(장)" xfId="26163"/>
    <cellStyle name="Ç¥_마곡보완_LFD실행예산(020110)2855_골조공사공내역(장)" xfId="30662"/>
    <cellStyle name="C￥_마곡보완_LFD실행예산(020110)2855_골조공사공내역(장) 2" xfId="26164"/>
    <cellStyle name="Ç¥_마곡보완_LFD실행예산(020110)2855_골조공사공내역(장) 2" xfId="30663"/>
    <cellStyle name="C￥_마곡보완_LFD실행예산(020110)2855_골조공사실행예산품의" xfId="26165"/>
    <cellStyle name="Ç¥_마곡보완_LFD실행예산(020110)2855_골조공사실행예산품의" xfId="30664"/>
    <cellStyle name="C￥_마곡보완_LFD실행예산(020110)2855_골조공사실행예산품의 2" xfId="26166"/>
    <cellStyle name="Ç¥_마곡보완_LFD실행예산(020110)2855_골조공사실행예산품의 2" xfId="30665"/>
    <cellStyle name="C￥_마곡보완_LFD실행예산(020110)2855_동명2차실행예산(기초DATA)" xfId="26167"/>
    <cellStyle name="Ç¥_마곡보완_LFD실행예산(020110)2855_동명2차실행예산(기초DATA)" xfId="30666"/>
    <cellStyle name="C￥_마곡보완_LFD실행예산(020110)2855_동명2차실행예산(기초DATA) 2" xfId="26168"/>
    <cellStyle name="Ç¥_마곡보완_LFD실행예산(020110)2855_동명2차실행예산(기초DATA) 2" xfId="30667"/>
    <cellStyle name="C￥_마곡보완_LFD실행예산(020110)2855_동명본실행(수정)" xfId="26169"/>
    <cellStyle name="Ç¥_마곡보완_LFD실행예산(020110)2855_동명본실행(수정)" xfId="30668"/>
    <cellStyle name="C￥_마곡보완_LFD실행예산(020110)2855_동명본실행(수정) 2" xfId="26170"/>
    <cellStyle name="Ç¥_마곡보완_LFD실행예산(020110)2855_동명본실행(수정) 2" xfId="30669"/>
    <cellStyle name="C￥_마곡보완_LFD실행예산(020110)2855_동명삼화견본주택 기본안" xfId="26171"/>
    <cellStyle name="Ç¥_마곡보완_LFD실행예산(020110)2855_동명삼화견본주택 기본안" xfId="30670"/>
    <cellStyle name="C￥_마곡보완_LFD실행예산(020110)2855_동명삼화견본주택 기본안 2" xfId="26172"/>
    <cellStyle name="Ç¥_마곡보완_LFD실행예산(020110)2855_동명삼화견본주택 기본안 2" xfId="30671"/>
    <cellStyle name="C￥_마곡보완_LFD실행예산(020110)2855_동명실행예산-1" xfId="26173"/>
    <cellStyle name="Ç¥_마곡보완_LFD실행예산(020110)2855_동명실행예산-1" xfId="30672"/>
    <cellStyle name="C￥_마곡보완_LFD실행예산(020110)2855_동명실행예산-1 2" xfId="26174"/>
    <cellStyle name="Ç¥_마곡보완_LFD실행예산(020110)2855_동명실행예산-1 2" xfId="30673"/>
    <cellStyle name="C￥_마곡보완_LFD실행예산(020110)2855_부산덕천2차실행예산(기초DATA)" xfId="26175"/>
    <cellStyle name="Ç¥_마곡보완_LFD실행예산(020110)2855_부산덕천2차실행예산(기초DATA)" xfId="30674"/>
    <cellStyle name="C￥_마곡보완_LFD실행예산(020110)2855_부산덕천2차실행예산(기초DATA) 2" xfId="26176"/>
    <cellStyle name="Ç¥_마곡보완_LFD실행예산(020110)2855_부산덕천2차실행예산(기초DATA) 2" xfId="30675"/>
    <cellStyle name="C￥_마곡보완_LFD실행예산(020110)2855_부산덕천2차실행예산(기초DATA건설조정)" xfId="26177"/>
    <cellStyle name="Ç¥_마곡보완_LFD실행예산(020110)2855_부산덕천2차실행예산(기초DATA건설조정)" xfId="30676"/>
    <cellStyle name="C￥_마곡보완_LFD실행예산(020110)2855_부산덕천2차실행예산(기초DATA건설조정) 2" xfId="26178"/>
    <cellStyle name="Ç¥_마곡보완_LFD실행예산(020110)2855_부산덕천2차실행예산(기초DATA건설조정) 2" xfId="30677"/>
    <cellStyle name="C￥_마곡보완_LFD실행예산(020110)2855_부산덕천2차실행예산(기초DATA승인용)" xfId="26179"/>
    <cellStyle name="Ç¥_마곡보완_LFD실행예산(020110)2855_부산덕천2차실행예산(기초DATA승인용)" xfId="30678"/>
    <cellStyle name="C￥_마곡보완_LFD실행예산(020110)2855_부산덕천2차실행예산(기초DATA승인용) 2" xfId="26180"/>
    <cellStyle name="Ç¥_마곡보완_LFD실행예산(020110)2855_부산덕천2차실행예산(기초DATA승인용) 2" xfId="30679"/>
    <cellStyle name="C￥_마곡보완_LFD실행예산(020110)2855_부산덕천2차실행예산(기초DATA현장협의후)" xfId="26181"/>
    <cellStyle name="Ç¥_마곡보완_LFD실행예산(020110)2855_부산덕천2차실행예산(기초DATA현장협의후)" xfId="30680"/>
    <cellStyle name="C￥_마곡보완_LFD실행예산(020110)2855_부산덕천2차실행예산(기초DATA현장협의후) 2" xfId="26182"/>
    <cellStyle name="Ç¥_마곡보완_LFD실행예산(020110)2855_부산덕천2차실행예산(기초DATA현장협의후) 2" xfId="30681"/>
    <cellStyle name="C￥_마곡보완_LFD실행예산(020110)2855_실행검토_부산덕천" xfId="26183"/>
    <cellStyle name="Ç¥_마곡보완_LFD실행예산(020110)2855_실행검토_부산덕천" xfId="30682"/>
    <cellStyle name="C￥_마곡보완_LFD실행예산(020110)2855_실행검토_부산덕천 2" xfId="26184"/>
    <cellStyle name="Ç¥_마곡보완_LFD실행예산(020110)2855_실행검토_부산덕천 2" xfId="30683"/>
    <cellStyle name="C￥_마곡보완_LFD실행예산(020110)2855_여의도센터빌딩실행원가(020613)-2" xfId="26185"/>
    <cellStyle name="Ç¥_마곡보완_LFD실행예산(020110)2855_여의도센터빌딩실행원가(020613)-2" xfId="30684"/>
    <cellStyle name="C￥_마곡보완_LFD실행예산(020110)2855_여의도센터빌딩실행원가(020613)-2 2" xfId="26186"/>
    <cellStyle name="Ç¥_마곡보완_LFD실행예산(020110)2855_여의도센터빌딩실행원가(020613)-2 2" xfId="30685"/>
    <cellStyle name="C￥_마곡보완_LFD실행예산(020110)2855_제과충주영업소견적서" xfId="26187"/>
    <cellStyle name="Ç¥_마곡보완_LFD실행예산(020110)2855_제과충주영업소견적서" xfId="30686"/>
    <cellStyle name="C￥_마곡보완_LFD실행예산(020110)2855_제과충주영업소견적서 2" xfId="26188"/>
    <cellStyle name="Ç¥_마곡보완_LFD실행예산(020110)2855_제과충주영업소견적서 2" xfId="30687"/>
    <cellStyle name="C￥_마곡보완_LFD실행예산(020110)2855_현장경비신청안박성남" xfId="26189"/>
    <cellStyle name="Ç¥_마곡보완_LFD실행예산(020110)2855_현장경비신청안박성남" xfId="30688"/>
    <cellStyle name="C￥_마곡보완_LFD실행예산(020110)2855_현장경비신청안박성남 2" xfId="26190"/>
    <cellStyle name="Ç¥_마곡보완_LFD실행예산(020110)2855_현장경비신청안박성남 2" xfId="30689"/>
    <cellStyle name="C￥_마곡보완_경서실행(견적실)공무팀" xfId="26191"/>
    <cellStyle name="Ç¥_마곡보완_경서실행(견적실)공무팀" xfId="30690"/>
    <cellStyle name="C￥_마곡보완_경서실행(견적실)공무팀 2" xfId="26192"/>
    <cellStyle name="Ç¥_마곡보완_경서실행(견적실)공무팀 2" xfId="30691"/>
    <cellStyle name="C￥_마곡보완_경서실행(견적실)공무팀_1" xfId="26193"/>
    <cellStyle name="Ç¥_마곡보완_경서실행(견적실)공무팀_1" xfId="30692"/>
    <cellStyle name="C￥_마곡보완_경서실행(견적실)공무팀_1 2" xfId="26194"/>
    <cellStyle name="Ç¥_마곡보완_경서실행(견적실)공무팀_1 2" xfId="30693"/>
    <cellStyle name="C￥_마곡보완_경서실행(견적실)공무팀_1_레몬영화egi내역서(13968천원)" xfId="26195"/>
    <cellStyle name="Ç¥_마곡보완_경서실행(견적실)공무팀_1_레몬영화egi내역서(13968천원)" xfId="30694"/>
    <cellStyle name="C￥_마곡보완_경서실행(견적실)공무팀_1_레몬영화egi내역서(13968천원) 2" xfId="26196"/>
    <cellStyle name="Ç¥_마곡보완_경서실행(견적실)공무팀_1_레몬영화egi내역서(13968천원) 2" xfId="30695"/>
    <cellStyle name="C￥_마곡보완_광주공장 도급내역(변경03.1.07)" xfId="26197"/>
    <cellStyle name="Ç¥_마곡보완_광주공장 도급내역(변경03.1.07)" xfId="30696"/>
    <cellStyle name="C￥_마곡보완_광주공장 도급내역(변경03.1.07) 2" xfId="26198"/>
    <cellStyle name="Ç¥_마곡보완_광주공장 도급내역(변경03.1.07) 2" xfId="30697"/>
    <cellStyle name="C￥_마곡보완_광주공장 도급내역(변경03.1.21)" xfId="26199"/>
    <cellStyle name="Ç¥_마곡보완_광주공장 도급내역(변경03.1.21)" xfId="30698"/>
    <cellStyle name="C￥_마곡보완_광주공장 도급내역(변경03.1.21) 2" xfId="26200"/>
    <cellStyle name="Ç¥_마곡보완_광주공장 도급내역(변경03.1.21) 2" xfId="30699"/>
    <cellStyle name="C￥_마곡보완_광주공장(대비1218)" xfId="26201"/>
    <cellStyle name="Ç¥_마곡보완_광주공장(대비1218)" xfId="30700"/>
    <cellStyle name="C￥_마곡보완_광주공장(대비1218) 2" xfId="26202"/>
    <cellStyle name="Ç¥_마곡보완_광주공장(대비1218) 2" xfId="30701"/>
    <cellStyle name="C￥_마곡보완_기계실행(LFD광주공장.현설용)" xfId="26203"/>
    <cellStyle name="Ç¥_마곡보완_기계실행(LFD광주공장.현설용)" xfId="30702"/>
    <cellStyle name="C￥_마곡보완_기계실행(LFD광주공장.현설용) 2" xfId="26204"/>
    <cellStyle name="Ç¥_마곡보완_기계실행(LFD광주공장.현설용) 2" xfId="30703"/>
    <cellStyle name="C￥_마곡보완_동명삼화 현장설명(본사지급)" xfId="26205"/>
    <cellStyle name="Ç¥_마곡보완_동명삼화 현장설명(본사지급)" xfId="30704"/>
    <cellStyle name="C￥_마곡보완_동명삼화 현장설명(본사지급) 2" xfId="26206"/>
    <cellStyle name="Ç¥_마곡보완_동명삼화 현장설명(본사지급) 2" xfId="30705"/>
    <cellStyle name="C￥_마곡보완_동명삼화 현장설명(본사지급)_울산신정동수주검토(2003.01.21에어컨)" xfId="26207"/>
    <cellStyle name="Ç¥_마곡보완_동명삼화 현장설명(본사지급)_울산신정동수주검토(2003.01.21에어컨)" xfId="30706"/>
    <cellStyle name="C￥_마곡보완_동명삼화 현장설명(본사지급)_울산신정동수주검토(2003.01.21에어컨) 2" xfId="26208"/>
    <cellStyle name="Ç¥_마곡보완_동명삼화 현장설명(본사지급)_울산신정동수주검토(2003.01.21에어컨) 2" xfId="30707"/>
    <cellStyle name="C￥_마곡보완_동명삼화견본주택 기본안" xfId="26209"/>
    <cellStyle name="Ç¥_마곡보완_동명삼화견본주택 기본안" xfId="30708"/>
    <cellStyle name="C￥_마곡보완_동명삼화견본주택 기본안 2" xfId="26210"/>
    <cellStyle name="Ç¥_마곡보완_동명삼화견본주택 기본안 2" xfId="30709"/>
    <cellStyle name="C￥_마곡보완_동명삼화기계공사 물량집계" xfId="26211"/>
    <cellStyle name="Ç¥_마곡보완_동명삼화기계공사 물량집계" xfId="30710"/>
    <cellStyle name="C￥_마곡보완_동명삼화기계공사 물량집계 2" xfId="26212"/>
    <cellStyle name="Ç¥_마곡보완_동명삼화기계공사 물량집계 2" xfId="30711"/>
    <cellStyle name="C￥_마곡보완_동명삼화재건축아파트" xfId="26213"/>
    <cellStyle name="Ç¥_마곡보완_동명삼화재건축아파트" xfId="30712"/>
    <cellStyle name="C￥_마곡보완_동명삼화재건축아파트 2" xfId="26214"/>
    <cellStyle name="Ç¥_마곡보완_동명삼화재건축아파트 2" xfId="30713"/>
    <cellStyle name="C￥_마곡보완_동명실행예산-1" xfId="26215"/>
    <cellStyle name="Ç¥_마곡보완_동명실행예산-1" xfId="30714"/>
    <cellStyle name="C￥_마곡보완_동명실행예산-1 2" xfId="26216"/>
    <cellStyle name="Ç¥_마곡보완_동명실행예산-1 2" xfId="30715"/>
    <cellStyle name="C￥_마곡보완_롯데동명삼화평당단가비교" xfId="26217"/>
    <cellStyle name="Ç¥_마곡보완_롯데동명삼화평당단가비교" xfId="30716"/>
    <cellStyle name="C￥_마곡보완_롯데동명삼화평당단가비교 2" xfId="26218"/>
    <cellStyle name="Ç¥_마곡보완_롯데동명삼화평당단가비교 2" xfId="30717"/>
    <cellStyle name="C￥_마곡보완_부산덕천동 기계공사 단가대비표(2002.11.11)" xfId="26219"/>
    <cellStyle name="Ç¥_마곡보완_부산덕천동 기계공사 단가대비표(2002.11.11)" xfId="30718"/>
    <cellStyle name="C￥_마곡보완_부산덕천동 기계공사 단가대비표(2002.11.11) 2" xfId="26220"/>
    <cellStyle name="Ç¥_마곡보완_부산덕천동 기계공사 단가대비표(2002.11.11) 2" xfId="30719"/>
    <cellStyle name="C￥_마곡보완_부산덕천동롯데아파트(환경ENG)" xfId="26221"/>
    <cellStyle name="Ç¥_마곡보완_부산덕천동롯데아파트(환경ENG)" xfId="30720"/>
    <cellStyle name="C￥_마곡보완_부산덕천동롯데아파트(환경ENG) 2" xfId="26222"/>
    <cellStyle name="Ç¥_마곡보완_부산덕천동롯데아파트(환경ENG) 2" xfId="30721"/>
    <cellStyle name="C￥_마곡보완_부산덕천동아파트(세경엔지니어링)" xfId="26223"/>
    <cellStyle name="Ç¥_마곡보완_부산덕천동아파트(세경엔지니어링)" xfId="30722"/>
    <cellStyle name="C￥_마곡보완_부산덕천동아파트(세경엔지니어링) 2" xfId="26224"/>
    <cellStyle name="Ç¥_마곡보완_부산덕천동아파트(세경엔지니어링) 2" xfId="30723"/>
    <cellStyle name="C￥_마곡보완_실행검토_부산덕천" xfId="26225"/>
    <cellStyle name="Ç¥_마곡보완_실행검토_부산덕천" xfId="30724"/>
    <cellStyle name="C￥_마곡보완_실행검토_부산덕천 2" xfId="26226"/>
    <cellStyle name="Ç¥_마곡보완_실행검토_부산덕천 2" xfId="30725"/>
    <cellStyle name="C￥_마곡보완_아파트 평당단가 비교" xfId="26227"/>
    <cellStyle name="Ç¥_마곡보완_아파트 평당단가 비교" xfId="30726"/>
    <cellStyle name="C￥_마곡보완_아파트 평당단가 비교 2" xfId="26228"/>
    <cellStyle name="Ç¥_마곡보완_아파트 평당단가 비교 2" xfId="30727"/>
    <cellStyle name="C￥_마곡보완_안양석수점기계(도급내역)1" xfId="26229"/>
    <cellStyle name="Ç¥_마곡보완_안양석수점기계(도급내역)1" xfId="30728"/>
    <cellStyle name="C￥_마곡보완_안양석수점기계(도급내역)1 2" xfId="26230"/>
    <cellStyle name="Ç¥_마곡보완_안양석수점기계(도급내역)1 2" xfId="30729"/>
    <cellStyle name="C￥_마곡보완_안양석수점기계(도급내역)1_LLC견적및수주원가(설계변경)4차" xfId="26231"/>
    <cellStyle name="Ç¥_마곡보완_안양석수점기계(도급내역)1_LLC견적및수주원가(설계변경)4차" xfId="30730"/>
    <cellStyle name="C￥_마곡보완_안양석수점기계(도급내역)1_LLC견적및수주원가(설계변경)4차 2" xfId="26232"/>
    <cellStyle name="Ç¥_마곡보완_안양석수점기계(도급내역)1_LLC견적및수주원가(설계변경)4차 2" xfId="30731"/>
    <cellStyle name="C￥_마곡보완_여의도센터빌딩실행원가(020613)-2" xfId="26233"/>
    <cellStyle name="Ç¥_마곡보완_여의도센터빌딩실행원가(020613)-2" xfId="30732"/>
    <cellStyle name="C￥_마곡보완_여의도센터빌딩실행원가(020613)-2 2" xfId="26234"/>
    <cellStyle name="Ç¥_마곡보완_여의도센터빌딩실행원가(020613)-2 2" xfId="30733"/>
    <cellStyle name="C￥_마곡보완_울산신정동수주검토(2003.01.21에어컨)" xfId="26235"/>
    <cellStyle name="Ç¥_마곡보완_울산신정동수주검토(2003.01.21에어컨)" xfId="30734"/>
    <cellStyle name="C￥_마곡보완_울산신정동수주검토(2003.01.21에어컨) 2" xfId="26236"/>
    <cellStyle name="Ç¥_마곡보완_울산신정동수주검토(2003.01.21에어컨) 2" xfId="30735"/>
    <cellStyle name="C￥_마곡보완_의왕물류센타(기계도급내역설변1차)" xfId="26237"/>
    <cellStyle name="Ç¥_마곡보완_의왕물류센타(기계도급내역설변1차)" xfId="30736"/>
    <cellStyle name="C￥_마곡보완_의왕물류센타(기계도급내역설변1차) 2" xfId="26238"/>
    <cellStyle name="Ç¥_마곡보완_의왕물류센타(기계도급내역설변1차) 2" xfId="30737"/>
    <cellStyle name="C￥_마곡보완_의왕물류센타(기계도급내역설변1차)_제과충주영업소견적서" xfId="26239"/>
    <cellStyle name="Ç¥_마곡보완_의왕물류센타(기계도급내역설변1차)_제과충주영업소견적서" xfId="30738"/>
    <cellStyle name="C￥_마곡보완_의왕물류센타(기계도급내역설변1차)_제과충주영업소견적서 2" xfId="26240"/>
    <cellStyle name="Ç¥_마곡보완_의왕물류센타(기계도급내역설변1차)_제과충주영업소견적서 2" xfId="30739"/>
    <cellStyle name="C￥_마곡보완_제과의왕견적서(020415)" xfId="26241"/>
    <cellStyle name="Ç¥_마곡보완_제과의왕견적서(020415)" xfId="30740"/>
    <cellStyle name="C￥_마곡보완_제과의왕견적서(020415) 2" xfId="26242"/>
    <cellStyle name="Ç¥_마곡보완_제과의왕견적서(020415) 2" xfId="30741"/>
    <cellStyle name="C￥_마곡보완_제과의왕견적서(020415)_제과충주영업소견적서" xfId="26243"/>
    <cellStyle name="Ç¥_마곡보완_제과의왕견적서(020415)_제과충주영업소견적서" xfId="30742"/>
    <cellStyle name="C￥_마곡보완_제과의왕견적서(020415)_제과충주영업소견적서 2" xfId="26244"/>
    <cellStyle name="Ç¥_마곡보완_제과의왕견적서(020415)_제과충주영업소견적서 2" xfId="30743"/>
    <cellStyle name="C￥_마곡보완_제과의왕견적서(020429)송부" xfId="26245"/>
    <cellStyle name="Ç¥_마곡보완_제과의왕견적서(020429)송부" xfId="30744"/>
    <cellStyle name="C￥_마곡보완_제과의왕견적서(020429)송부 2" xfId="26246"/>
    <cellStyle name="Ç¥_마곡보완_제과의왕견적서(020429)송부 2" xfId="30745"/>
    <cellStyle name="C￥_마곡보완_제과의왕견적서(020429)송부_제과충주영업소견적서" xfId="26247"/>
    <cellStyle name="Ç¥_마곡보완_제과의왕견적서(020429)송부_제과충주영업소견적서" xfId="30746"/>
    <cellStyle name="C￥_마곡보완_제과의왕견적서(020429)송부_제과충주영업소견적서 2" xfId="26248"/>
    <cellStyle name="Ç¥_마곡보완_제과의왕견적서(020429)송부_제과충주영업소견적서 2" xfId="30747"/>
    <cellStyle name="C￥_마곡보완_제과의왕견적서(020513)2차변경NEGO(7550)" xfId="26249"/>
    <cellStyle name="Ç¥_마곡보완_제과의왕견적서(020513)2차변경NEGO(7550)" xfId="30748"/>
    <cellStyle name="C￥_마곡보완_제과의왕견적서(020513)2차변경NEGO(7550) 2" xfId="26250"/>
    <cellStyle name="Ç¥_마곡보완_제과의왕견적서(020513)2차변경NEGO(7550) 2" xfId="30749"/>
    <cellStyle name="C￥_마곡보완_제과의왕견적서7550(공무)" xfId="26251"/>
    <cellStyle name="Ç¥_마곡보완_제과의왕견적서7550(공무)" xfId="30750"/>
    <cellStyle name="C￥_마곡보완_제과의왕견적서7550(공무) 2" xfId="26252"/>
    <cellStyle name="Ç¥_마곡보완_제과의왕견적서7550(공무) 2" xfId="30751"/>
    <cellStyle name="C￥_마곡보완_제과의왕견적서7550(공무)_레몬영화egi내역서(13968천원)" xfId="26253"/>
    <cellStyle name="Ç¥_마곡보완_제과의왕견적서7550(공무)_레몬영화egi내역서(13968천원)" xfId="30752"/>
    <cellStyle name="C￥_마곡보완_제과의왕견적서7550(공무)_레몬영화egi내역서(13968천원) 2" xfId="26254"/>
    <cellStyle name="Ç¥_마곡보완_제과의왕견적서7550(공무)_레몬영화egi내역서(13968천원) 2" xfId="30753"/>
    <cellStyle name="C￥_마곡보완_제과충주영업소견적서" xfId="26255"/>
    <cellStyle name="Ç¥_마곡보완_제과충주영업소견적서" xfId="30754"/>
    <cellStyle name="C￥_마곡보완_제과충주영업소견적서 2" xfId="26256"/>
    <cellStyle name="Ç¥_마곡보완_제과충주영업소견적서 2" xfId="30755"/>
    <cellStyle name="C￥_마곡보완_충주영업소(기계실행)" xfId="26257"/>
    <cellStyle name="Ç¥_마곡보완_충주영업소(기계실행)" xfId="30756"/>
    <cellStyle name="C￥_마곡보완_충주영업소(기계실행) 2" xfId="26258"/>
    <cellStyle name="Ç¥_마곡보완_충주영업소(기계실행) 2" xfId="30757"/>
    <cellStyle name="C￥_마곡보완_충주영업소(기계실행)_레몬영화egi내역서(13968천원)" xfId="26259"/>
    <cellStyle name="Ç¥_마곡보완_충주영업소(기계실행)_레몬영화egi내역서(13968천원)" xfId="30758"/>
    <cellStyle name="C￥_마곡보완_충주영업소(기계실행)_레몬영화egi내역서(13968천원) 2" xfId="26260"/>
    <cellStyle name="Ç¥_마곡보완_충주영업소(기계실행)_레몬영화egi내역서(13968천원) 2" xfId="30759"/>
    <cellStyle name="C￥_마곡보완_현장경비신청안박성남" xfId="26261"/>
    <cellStyle name="Ç¥_마곡보완_현장경비신청안박성남" xfId="30760"/>
    <cellStyle name="C￥_마곡보완_현장경비신청안박성남 2" xfId="26262"/>
    <cellStyle name="Ç¥_마곡보완_현장경비신청안박성남 2" xfId="30761"/>
    <cellStyle name="C￥_마곡보완_현장설명(가스설비)" xfId="26263"/>
    <cellStyle name="Ç¥_마곡보완_현장설명(가스설비)" xfId="30762"/>
    <cellStyle name="C￥_마곡보완_현장설명(가스설비) 2" xfId="26264"/>
    <cellStyle name="Ç¥_마곡보완_현장설명(가스설비) 2" xfId="30763"/>
    <cellStyle name="C￥_마곡보완_현장설명(기계설비)" xfId="26265"/>
    <cellStyle name="Ç¥_마곡보완_현장설명(기계설비)" xfId="30764"/>
    <cellStyle name="C￥_마곡보완_현장설명(기계설비) 2" xfId="26266"/>
    <cellStyle name="Ç¥_마곡보완_현장설명(기계설비) 2" xfId="30765"/>
    <cellStyle name="C￥_부산덕천동 기계공사 단가대비표(2002.11.11)" xfId="26267"/>
    <cellStyle name="Ç¥_부산덕천동 기계공사 단가대비표(2002.11.11)" xfId="30766"/>
    <cellStyle name="C￥_부산덕천동 기계공사 단가대비표(2002.11.11) 2" xfId="26268"/>
    <cellStyle name="Ç¥_부산덕천동 기계공사 단가대비표(2002.11.11) 2" xfId="30767"/>
    <cellStyle name="C￥_부산덕천동롯데아파트(환경ENG)" xfId="26269"/>
    <cellStyle name="Ç¥_부산덕천동롯데아파트(환경ENG)" xfId="30768"/>
    <cellStyle name="C￥_부산덕천동롯데아파트(환경ENG) 2" xfId="26270"/>
    <cellStyle name="Ç¥_부산덕천동롯데아파트(환경ENG) 2" xfId="30769"/>
    <cellStyle name="C￥_부산덕천동아파트(세경엔지니어링)" xfId="26271"/>
    <cellStyle name="Ç¥_부산덕천동아파트(세경엔지니어링)" xfId="30770"/>
    <cellStyle name="C￥_부산덕천동아파트(세경엔지니어링) 2" xfId="26272"/>
    <cellStyle name="Ç¥_부산덕천동아파트(세경엔지니어링) 2" xfId="30771"/>
    <cellStyle name="C￥_실행검토_부산덕천" xfId="26273"/>
    <cellStyle name="Ç¥_실행검토_부산덕천" xfId="30772"/>
    <cellStyle name="C￥_실행검토_부산덕천 2" xfId="26274"/>
    <cellStyle name="Ç¥_실행검토_부산덕천 2" xfId="30773"/>
    <cellStyle name="C￥_아파트 평당단가 비교" xfId="26275"/>
    <cellStyle name="Ç¥_아파트 평당단가 비교" xfId="30774"/>
    <cellStyle name="C￥_아파트 평당단가 비교 2" xfId="26276"/>
    <cellStyle name="Ç¥_아파트 평당단가 비교 2" xfId="30775"/>
    <cellStyle name="C￥_안양석수점기계(도급내역)1" xfId="26277"/>
    <cellStyle name="Ç¥_안양석수점기계(도급내역)1" xfId="30776"/>
    <cellStyle name="C￥_안양석수점기계(도급내역)1 2" xfId="26278"/>
    <cellStyle name="Ç¥_안양석수점기계(도급내역)1 2" xfId="30777"/>
    <cellStyle name="C￥_안양석수점기계(도급내역)1_LLC견적및수주원가(설계변경)4차" xfId="26279"/>
    <cellStyle name="Ç¥_안양석수점기계(도급내역)1_LLC견적및수주원가(설계변경)4차" xfId="30778"/>
    <cellStyle name="C￥_안양석수점기계(도급내역)1_LLC견적및수주원가(설계변경)4차 2" xfId="26280"/>
    <cellStyle name="Ç¥_안양석수점기계(도급내역)1_LLC견적및수주원가(설계변경)4차 2" xfId="30779"/>
    <cellStyle name="C￥_여의도센터빌딩실행원가(020613)-2" xfId="26281"/>
    <cellStyle name="Ç¥_여의도센터빌딩실행원가(020613)-2" xfId="30780"/>
    <cellStyle name="C￥_여의도센터빌딩실행원가(020613)-2 2" xfId="26282"/>
    <cellStyle name="Ç¥_여의도센터빌딩실행원가(020613)-2 2" xfId="30781"/>
    <cellStyle name="C￥_울산신정동수주검토(2003.01.21에어컨)" xfId="26283"/>
    <cellStyle name="Ç¥_울산신정동수주검토(2003.01.21에어컨)" xfId="30782"/>
    <cellStyle name="C￥_울산신정동수주검토(2003.01.21에어컨) 2" xfId="26284"/>
    <cellStyle name="Ç¥_울산신정동수주검토(2003.01.21에어컨) 2" xfId="30783"/>
    <cellStyle name="C￥_의왕물류센타(기계도급내역설변1차)" xfId="26285"/>
    <cellStyle name="Ç¥_의왕물류센타(기계도급내역설변1차)" xfId="30784"/>
    <cellStyle name="C￥_의왕물류센타(기계도급내역설변1차) 2" xfId="26286"/>
    <cellStyle name="Ç¥_의왕물류센타(기계도급내역설변1차) 2" xfId="30785"/>
    <cellStyle name="C￥_의왕물류센타(기계도급내역설변1차)_제과충주영업소견적서" xfId="26287"/>
    <cellStyle name="Ç¥_의왕물류센타(기계도급내역설변1차)_제과충주영업소견적서" xfId="30786"/>
    <cellStyle name="C￥_의왕물류센타(기계도급내역설변1차)_제과충주영업소견적서 2" xfId="26288"/>
    <cellStyle name="Ç¥_의왕물류센타(기계도급내역설변1차)_제과충주영업소견적서 2" xfId="30787"/>
    <cellStyle name="C￥_제과의왕견적서(020415)" xfId="26289"/>
    <cellStyle name="Ç¥_제과의왕견적서(020415)" xfId="30788"/>
    <cellStyle name="C￥_제과의왕견적서(020415) 2" xfId="26290"/>
    <cellStyle name="Ç¥_제과의왕견적서(020415) 2" xfId="30789"/>
    <cellStyle name="C￥_제과의왕견적서(020415)_제과충주영업소견적서" xfId="26291"/>
    <cellStyle name="Ç¥_제과의왕견적서(020415)_제과충주영업소견적서" xfId="30790"/>
    <cellStyle name="C￥_제과의왕견적서(020415)_제과충주영업소견적서 2" xfId="26292"/>
    <cellStyle name="Ç¥_제과의왕견적서(020415)_제과충주영업소견적서 2" xfId="30791"/>
    <cellStyle name="C￥_제과의왕견적서(020429)송부" xfId="26293"/>
    <cellStyle name="Ç¥_제과의왕견적서(020429)송부" xfId="30792"/>
    <cellStyle name="C￥_제과의왕견적서(020429)송부 2" xfId="26294"/>
    <cellStyle name="Ç¥_제과의왕견적서(020429)송부 2" xfId="30793"/>
    <cellStyle name="C￥_제과의왕견적서(020429)송부_제과충주영업소견적서" xfId="26295"/>
    <cellStyle name="Ç¥_제과의왕견적서(020429)송부_제과충주영업소견적서" xfId="30794"/>
    <cellStyle name="C￥_제과의왕견적서(020429)송부_제과충주영업소견적서 2" xfId="26296"/>
    <cellStyle name="Ç¥_제과의왕견적서(020429)송부_제과충주영업소견적서 2" xfId="30795"/>
    <cellStyle name="C￥_제과의왕견적서(020513)2차변경NEGO(7550)" xfId="26297"/>
    <cellStyle name="Ç¥_제과의왕견적서(020513)2차변경NEGO(7550)" xfId="30796"/>
    <cellStyle name="C￥_제과의왕견적서(020513)2차변경NEGO(7550) 2" xfId="26298"/>
    <cellStyle name="Ç¥_제과의왕견적서(020513)2차변경NEGO(7550) 2" xfId="30797"/>
    <cellStyle name="C￥_제과의왕견적서7550(공무)" xfId="26299"/>
    <cellStyle name="Ç¥_제과의왕견적서7550(공무)" xfId="30798"/>
    <cellStyle name="C￥_제과의왕견적서7550(공무) 2" xfId="26300"/>
    <cellStyle name="Ç¥_제과의왕견적서7550(공무) 2" xfId="30799"/>
    <cellStyle name="C￥_제과의왕견적서7550(공무)_레몬영화egi내역서(13968천원)" xfId="26301"/>
    <cellStyle name="Ç¥_제과의왕견적서7550(공무)_레몬영화egi내역서(13968천원)" xfId="30800"/>
    <cellStyle name="C￥_제과의왕견적서7550(공무)_레몬영화egi내역서(13968천원) 2" xfId="26302"/>
    <cellStyle name="Ç¥_제과의왕견적서7550(공무)_레몬영화egi내역서(13968천원) 2" xfId="30801"/>
    <cellStyle name="C￥_제과충주영업소견적서" xfId="26303"/>
    <cellStyle name="Ç¥_제과충주영업소견적서" xfId="30802"/>
    <cellStyle name="C￥_제과충주영업소견적서 2" xfId="26304"/>
    <cellStyle name="Ç¥_제과충주영업소견적서 2" xfId="30803"/>
    <cellStyle name="C￥_충주영업소(기계실행)" xfId="26305"/>
    <cellStyle name="Ç¥_충주영업소(기계실행)" xfId="30804"/>
    <cellStyle name="C￥_충주영업소(기계실행) 2" xfId="26306"/>
    <cellStyle name="Ç¥_충주영업소(기계실행) 2" xfId="30805"/>
    <cellStyle name="C￥_충주영업소(기계실행)_레몬영화egi내역서(13968천원)" xfId="26307"/>
    <cellStyle name="Ç¥_충주영업소(기계실행)_레몬영화egi내역서(13968천원)" xfId="30806"/>
    <cellStyle name="C￥_충주영업소(기계실행)_레몬영화egi내역서(13968천원) 2" xfId="26308"/>
    <cellStyle name="Ç¥_충주영업소(기계실행)_레몬영화egi내역서(13968천원) 2" xfId="30807"/>
    <cellStyle name="C￥_현장경비신청안박성남" xfId="26309"/>
    <cellStyle name="Ç¥_현장경비신청안박성남" xfId="30808"/>
    <cellStyle name="C￥_현장경비신청안박성남 2" xfId="26310"/>
    <cellStyle name="Ç¥_현장경비신청안박성남 2" xfId="30809"/>
    <cellStyle name="C￥_현장설명(가스설비)" xfId="26311"/>
    <cellStyle name="Ç¥_현장설명(가스설비)" xfId="30810"/>
    <cellStyle name="C￥_현장설명(가스설비) 2" xfId="26312"/>
    <cellStyle name="Ç¥_현장설명(가스설비) 2" xfId="30811"/>
    <cellStyle name="C￥_현장설명(기계설비)" xfId="26313"/>
    <cellStyle name="Ç¥_현장설명(기계설비)" xfId="30812"/>
    <cellStyle name="C￥_현장설명(기계설비) 2" xfId="26314"/>
    <cellStyle name="Ç¥_현장설명(기계설비) 2" xfId="30813"/>
    <cellStyle name="C￥aø" xfId="26403"/>
    <cellStyle name="C￥aø 2" xfId="26404"/>
    <cellStyle name="Ç¥ÁØ_(%)ºñ¸ñ±ººÐ·ùÇ¥" xfId="30814"/>
    <cellStyle name="C￥AØ_¸¶≫eCI¼oAIA§ " xfId="26392"/>
    <cellStyle name="Ç¥ÁØ_¸ðÇü¸·" xfId="30885"/>
    <cellStyle name="C￥AØ_¿¹≫e¿aA≫ " xfId="26400"/>
    <cellStyle name="Ç¥ÁØ_¿ù°£¿ä¾àº¸°í" xfId="30894"/>
    <cellStyle name="C￥AØ_¿μ¾÷CoE² " xfId="26401"/>
    <cellStyle name="Ç¥ÁØ_±â°è¼³ºñ-ÀÏÀ§¸ñ·Ï " xfId="30884"/>
    <cellStyle name="C￥AØ_≫c¾÷ºIº° AN°e " xfId="26402"/>
    <cellStyle name="Ç¥ÁØ_°¡¼³" xfId="30835"/>
    <cellStyle name="C￥AØ_°­´c (2)_광명견적대비1010" xfId="26342"/>
    <cellStyle name="Ç¥ÁØ_°­´ç (2)_광명견적대비1010" xfId="30836"/>
    <cellStyle name="C￥AØ_°­´c (2)_광명견적대비1010 2" xfId="26343"/>
    <cellStyle name="Ç¥ÁØ_°­´ç (2)_광명견적대비1010 2" xfId="30837"/>
    <cellStyle name="C￥AØ_°­´c (2)_광명견적대비1010_1차공사분 반사판(수정)" xfId="26344"/>
    <cellStyle name="Ç¥ÁØ_°­´ç (2)_광명견적대비1010_1차공사분 반사판(수정)" xfId="30838"/>
    <cellStyle name="C￥AØ_°­´c (2)_광명견적대비1010_1차공사분 반사판(수정) 2" xfId="26345"/>
    <cellStyle name="Ç¥ÁØ_°­´ç (2)_광명견적대비1010_1차공사분 반사판(수정) 2" xfId="30839"/>
    <cellStyle name="C￥AØ_°­´c (2)_광명견적대비1010_2953-01L" xfId="26346"/>
    <cellStyle name="Ç¥ÁØ_°­´ç (2)_광명견적대비1010_2953-01L" xfId="30840"/>
    <cellStyle name="C￥AØ_°­´c (2)_광명견적대비1010_2953-01L 2" xfId="26347"/>
    <cellStyle name="Ç¥ÁØ_°­´ç (2)_광명견적대비1010_2953-01L 2" xfId="30841"/>
    <cellStyle name="C￥AØ_°­´c (2)_광명견적대비1010_경기예고(수정)" xfId="26348"/>
    <cellStyle name="Ç¥ÁØ_°­´ç (2)_광명견적대비1010_경기예고(수정)" xfId="30842"/>
    <cellStyle name="C￥AØ_°­´c (2)_광명견적대비1010_경기예고(수정) 2" xfId="26349"/>
    <cellStyle name="Ç¥ÁØ_°­´ç (2)_광명견적대비1010_경기예고(수정) 2" xfId="30843"/>
    <cellStyle name="C￥AØ_°­´c (2)_광명견적대비1010_경기예고내역서" xfId="26350"/>
    <cellStyle name="Ç¥ÁØ_°­´ç (2)_광명견적대비1010_경기예고내역서" xfId="30844"/>
    <cellStyle name="C￥AØ_°­´c (2)_광명견적대비1010_경기예고내역서 2" xfId="26351"/>
    <cellStyle name="Ç¥ÁØ_°­´ç (2)_광명견적대비1010_경기예고내역서 2" xfId="30845"/>
    <cellStyle name="C￥AØ_°­´c (2)_광명견적대비1010_경기예고내역서(20060420)" xfId="26352"/>
    <cellStyle name="Ç¥ÁØ_°­´ç (2)_광명견적대비1010_경기예고내역서(20060420)" xfId="30846"/>
    <cellStyle name="C￥AØ_°­´c (2)_광명견적대비1010_경기예고내역서(20060420) 2" xfId="26353"/>
    <cellStyle name="Ç¥ÁØ_°­´ç (2)_광명견적대비1010_경기예고내역서(20060420) 2" xfId="30847"/>
    <cellStyle name="C￥AØ_°­´c (2)_광명견적대비1010_물가자료(2006년3월)-1" xfId="26354"/>
    <cellStyle name="Ç¥ÁØ_°­´ç (2)_광명견적대비1010_물가자료(2006년3월)-1" xfId="30848"/>
    <cellStyle name="C￥AØ_°­´c (2)_광명견적대비1010_물가자료(2006년3월)-1 2" xfId="26355"/>
    <cellStyle name="Ç¥ÁØ_°­´ç (2)_광명견적대비1010_물가자료(2006년3월)-1 2" xfId="30849"/>
    <cellStyle name="C￥AØ_°­´c (2)_광명견적대비1010_물가자료(2006년6월)" xfId="26356"/>
    <cellStyle name="Ç¥ÁØ_°­´ç (2)_광명견적대비1010_물가자료(2006년6월)" xfId="30850"/>
    <cellStyle name="C￥AØ_°­´c (2)_광명견적대비1010_물가자료(2006년6월) 2" xfId="26357"/>
    <cellStyle name="Ç¥ÁØ_°­´ç (2)_광명견적대비1010_물가자료(2006년6월) 2" xfId="30851"/>
    <cellStyle name="C￥AØ_°­´c (2)_광명견적대비1010_복사본 상부기계(수정)kjs" xfId="26358"/>
    <cellStyle name="Ç¥ÁØ_°­´ç (2)_광명견적대비1010_복사본 상부기계(수정)kjs" xfId="30852"/>
    <cellStyle name="C￥AØ_°­´c (2)_광명견적대비1010_복사본 상부기계(수정)kjs 2" xfId="26359"/>
    <cellStyle name="Ç¥ÁØ_°­´ç (2)_광명견적대비1010_복사본 상부기계(수정)kjs 2" xfId="30853"/>
    <cellStyle name="C￥AØ_°­´c (2)_광명견적대비1010_상부기계(수정)" xfId="26360"/>
    <cellStyle name="Ç¥ÁØ_°­´ç (2)_광명견적대비1010_상부기계(수정)" xfId="30854"/>
    <cellStyle name="C￥AØ_°­´c (2)_광명견적대비1010_상부기계(수정) 2" xfId="26361"/>
    <cellStyle name="Ç¥ÁØ_°­´ç (2)_광명견적대비1010_상부기계(수정) 2" xfId="30855"/>
    <cellStyle name="C￥AØ_°­´c (2)_광명견적대비1010_일위대가(2005년12월)" xfId="26362"/>
    <cellStyle name="Ç¥ÁØ_°­´ç (2)_광명견적대비1010_일위대가(2005년12월)" xfId="30856"/>
    <cellStyle name="C￥AØ_°­´c (2)_광명견적대비1010_일위대가(2005년12월) 2" xfId="26363"/>
    <cellStyle name="Ç¥ÁØ_°­´ç (2)_광명견적대비1010_일위대가(2005년12월) 2" xfId="30857"/>
    <cellStyle name="C￥AØ_°­´c (2)_광명견적대비1010_일위대가(2006년9월)" xfId="26364"/>
    <cellStyle name="Ç¥ÁØ_°­´ç (2)_광명견적대비1010_일위대가(2006년9월)" xfId="30858"/>
    <cellStyle name="C￥AØ_°­´c (2)_광명견적대비1010_일위대가(2006년9월) 2" xfId="26365"/>
    <cellStyle name="Ç¥ÁØ_°­´ç (2)_광명견적대비1010_일위대가(2006년9월) 2" xfId="30859"/>
    <cellStyle name="C￥AØ_°­´c (2)_광명견적대비1010_일위대가(2007년01월)" xfId="26366"/>
    <cellStyle name="Ç¥ÁØ_°­´ç (2)_광명견적대비1010_일위대가(2007년01월)" xfId="30860"/>
    <cellStyle name="C￥AØ_°­´c (2)_광명견적대비1010_일위대가(2007년01월) 2" xfId="26367"/>
    <cellStyle name="Ç¥ÁØ_°­´ç (2)_광명견적대비1010_일위대가(2007년01월) 2" xfId="30861"/>
    <cellStyle name="C￥AØ_°­´c (2)_광명견적대비1010_제주시 문예회관 면막 내역서" xfId="26368"/>
    <cellStyle name="Ç¥ÁØ_°­´ç (2)_광명견적대비1010_제주시 문예회관 면막 내역서" xfId="30862"/>
    <cellStyle name="C￥AØ_°­´c (2)_광명견적대비1010_제주시 문예회관 면막 내역서 2" xfId="26369"/>
    <cellStyle name="Ç¥ÁØ_°­´ç (2)_광명견적대비1010_제주시 문예회관 면막 내역서 2" xfId="30863"/>
    <cellStyle name="C￥AØ_°­´c (2)_광명견적대비1010_최종2차단가대비(MAIN CURTAIN)" xfId="26370"/>
    <cellStyle name="Ç¥ÁØ_°­´ç (2)_광명견적대비1010_최종2차단가대비(MAIN CURTAIN)" xfId="30864"/>
    <cellStyle name="C￥AØ_°­´c (2)_광명견적대비1010_최종2차단가대비(MAIN CURTAIN) 2" xfId="26371"/>
    <cellStyle name="Ç¥ÁØ_°­´ç (2)_광명견적대비1010_최종2차단가대비(MAIN CURTAIN) 2" xfId="30865"/>
    <cellStyle name="C￥AØ_°­´c (2)_광명관급" xfId="26372"/>
    <cellStyle name="Ç¥ÁØ_°­´ç (2)_광명관급" xfId="30866"/>
    <cellStyle name="C￥AØ_°­´c (2)_광명관급 2" xfId="26373"/>
    <cellStyle name="Ç¥ÁØ_°­´ç (2)_광명관급 2" xfId="30867"/>
    <cellStyle name="C￥AØ_°­´c (2)_금광" xfId="26374"/>
    <cellStyle name="Ç¥ÁØ_°­´ç (2)_금광" xfId="30868"/>
    <cellStyle name="C￥AØ_°­´c (2)_금광 2" xfId="26375"/>
    <cellStyle name="Ç¥ÁØ_°­´ç (2)_금광 2" xfId="30869"/>
    <cellStyle name="C￥AØ_°­´c (2)_금광_복사본 상부기계(수정)kjs" xfId="26376"/>
    <cellStyle name="Ç¥ÁØ_°­´ç (2)_금광_복사본 상부기계(수정)kjs" xfId="30870"/>
    <cellStyle name="C￥AØ_°­´c (2)_금광_복사본 상부기계(수정)kjs 2" xfId="26377"/>
    <cellStyle name="Ç¥ÁØ_°­´ç (2)_금광_복사본 상부기계(수정)kjs 2" xfId="30871"/>
    <cellStyle name="C￥AØ_°­´c (2)_금광_상부기계(수정)" xfId="26378"/>
    <cellStyle name="Ç¥ÁØ_°­´ç (2)_금광_상부기계(수정)" xfId="30872"/>
    <cellStyle name="C￥AØ_°­´c (2)_금광_상부기계(수정) 2" xfId="26379"/>
    <cellStyle name="Ç¥ÁØ_°­´ç (2)_금광_상부기계(수정) 2" xfId="30873"/>
    <cellStyle name="C￥AØ_°­´c (2)_금광_최종2차단가대비(MAIN CURTAIN)" xfId="26380"/>
    <cellStyle name="Ç¥ÁØ_°­´ç (2)_금광_최종2차단가대비(MAIN CURTAIN)" xfId="30874"/>
    <cellStyle name="C￥AØ_°­´c (2)_금광_최종2차단가대비(MAIN CURTAIN) 2" xfId="26381"/>
    <cellStyle name="Ç¥ÁØ_°­´ç (2)_금광_최종2차단가대비(MAIN CURTAIN) 2" xfId="30875"/>
    <cellStyle name="C￥AØ_°­´c (2)_삼사" xfId="26382"/>
    <cellStyle name="Ç¥ÁØ_°­´ç (2)_삼사" xfId="30876"/>
    <cellStyle name="C￥AØ_°­´c (2)_삼사 2" xfId="26383"/>
    <cellStyle name="Ç¥ÁØ_°­´ç (2)_삼사 2" xfId="30877"/>
    <cellStyle name="C￥AØ_°­´c (2)_삼사_복사본 상부기계(수정)kjs" xfId="26384"/>
    <cellStyle name="Ç¥ÁØ_°­´ç (2)_삼사_복사본 상부기계(수정)kjs" xfId="30878"/>
    <cellStyle name="C￥AØ_°­´c (2)_삼사_복사본 상부기계(수정)kjs 2" xfId="26385"/>
    <cellStyle name="Ç¥ÁØ_°­´ç (2)_삼사_복사본 상부기계(수정)kjs 2" xfId="30879"/>
    <cellStyle name="C￥AØ_°­´c (2)_삼사_상부기계(수정)" xfId="26386"/>
    <cellStyle name="Ç¥ÁØ_°­´ç (2)_삼사_상부기계(수정)" xfId="30880"/>
    <cellStyle name="C￥AØ_°­´c (2)_삼사_상부기계(수정) 2" xfId="26387"/>
    <cellStyle name="Ç¥ÁØ_°­´ç (2)_삼사_상부기계(수정) 2" xfId="30881"/>
    <cellStyle name="C￥AØ_°­´c (2)_삼사_최종2차단가대비(MAIN CURTAIN)" xfId="26388"/>
    <cellStyle name="Ç¥ÁØ_°­´ç (2)_삼사_최종2차단가대비(MAIN CURTAIN)" xfId="30882"/>
    <cellStyle name="C￥AØ_°­´c (2)_삼사_최종2차단가대비(MAIN CURTAIN) 2" xfId="26389"/>
    <cellStyle name="Ç¥ÁØ_°­´ç (2)_삼사_최종2차단가대비(MAIN CURTAIN) 2" xfId="30883"/>
    <cellStyle name="C￥AØ_°øAe°¡¼³ " xfId="26390"/>
    <cellStyle name="Ç¥ÁØ_0N-HANDLING " xfId="30815"/>
    <cellStyle name="C￥AØ_¼±AoAc°i_1_³≫ºI°eE¹´e AßA¤A÷AI " xfId="26397"/>
    <cellStyle name="Ç¥ÁØ_¼±ÅõÀç°í_³»ºÎ°èÈ¹´ë ÃßÁ¤Â÷ÀÌ " xfId="30890"/>
    <cellStyle name="C￥AØ_¼±AoAc°i_³≫ºI°eE¹´e AßA¤A÷AI " xfId="26398"/>
    <cellStyle name="Ç¥ÁØ_¼ÕÀÍÂ÷ (2)_1_³»ºÎ°èÈ¹´ë ÃßÁ¤Â÷ÀÌ " xfId="30891"/>
    <cellStyle name="C￥AØ_¼OAIA÷ (2)_1_³≫ºI°eE¹´e AßA¤A÷AI " xfId="26395"/>
    <cellStyle name="Ç¥ÁØ_¼ÕÀÍÂ÷ (2)_³»ºÎ°èÈ¹´ë ÃßÁ¤Â÷ÀÌ " xfId="30892"/>
    <cellStyle name="C￥AØ_¼OAIA÷ (2)_³≫ºI°eE¹´e AßA¤A÷AI " xfId="26396"/>
    <cellStyle name="Ç¥ÁØ_¼ÕÀÍÂ÷ÀÌ ¿øÀÎ " xfId="30893"/>
    <cellStyle name="C￥AØ_½CCa¿¹≫e¼­ " xfId="26399"/>
    <cellStyle name="Ç¥ÁØ_¹æÀ½º® " xfId="30886"/>
    <cellStyle name="C￥AØ_³≫ºI°eE¹´e AßA¤A÷AI " xfId="26391"/>
    <cellStyle name="Ç¥ÁØ_5-1±¤°í " xfId="30816"/>
    <cellStyle name="C￥AØ_5-1±¤°i _01.시운전 및 인입공사비산출(설비팀)" xfId="26315"/>
    <cellStyle name="Ç¥ÁØ_96ÅõÀÚ½ÇÀû " xfId="30817"/>
    <cellStyle name="C￥AØ_A¸≫cºÐ_³≫ºI°eE¹´e AßA¤A÷AI " xfId="26319"/>
    <cellStyle name="Ç¥ÁØ_Á¾ÇÕ½Å¼³ " xfId="30895"/>
    <cellStyle name="C￥AØ_A¾COA¶°AºÐ " xfId="26320"/>
    <cellStyle name="Ç¥ÁØ_Á¾ÇÕÃ¶°ÅºÐ " xfId="30896"/>
    <cellStyle name="C￥AØ_A¾COA¶°AºÐ  2" xfId="26321"/>
    <cellStyle name="Ç¥ÁØ_Á¾ÇÕÃ¶°ÅºÐ  2" xfId="30897"/>
    <cellStyle name="C￥AØ_AN°y(1.25) " xfId="26316"/>
    <cellStyle name="Ç¥ÁØ_ÅõÀÚÁý°èÇ¥ " xfId="30900"/>
    <cellStyle name="C￥AØ_Ay°eC￥(2¿u) " xfId="26317"/>
    <cellStyle name="Ç¥ÁØ_Áý°èÇ¥(2¿ù) " xfId="30898"/>
    <cellStyle name="C￥AØ_Ay°eC￥(2¿u)  2" xfId="26318"/>
    <cellStyle name="Ç¥ÁØ_Áý°èÇ¥(2¿ù)  2" xfId="30899"/>
    <cellStyle name="C￥AØ_C￥Ao " xfId="26324"/>
    <cellStyle name="Ç¥ÁØ_CD-ROM " xfId="30818"/>
    <cellStyle name="C￥AØ_CoAa°u¸Rºn(Ao¹æ) " xfId="26322"/>
    <cellStyle name="Ç¥ÁØ_ÇöÁö¹ýÀÎ °Å¾×¿©½Å " xfId="30901"/>
    <cellStyle name="C￥AØ_CoAo¹yAI °A¾×¿ⓒ½A " xfId="26323"/>
    <cellStyle name="Ç¥ÁØ_ÇöÈ²_¹®Á¦Á¡ " xfId="30902"/>
    <cellStyle name="C￥AØ_E¸AaAO½A " xfId="26325"/>
    <cellStyle name="Ç¥ÁØ_FAX¾ç½Ä " xfId="30819"/>
    <cellStyle name="C￥AØ_laroux_1_°³¹ßAIA¤ " xfId="26326"/>
    <cellStyle name="Ç¥ÁØ_laroux_1_°³¹ßÀÏÁ¤ " xfId="30820"/>
    <cellStyle name="C￥AØ_laroux_1_°³¹ßAIA¤  2" xfId="26327"/>
    <cellStyle name="Ç¥ÁØ_laroux_1_°³¹ßÀÏÁ¤  2" xfId="30821"/>
    <cellStyle name="C￥AØ_laroux_2_°³¹ßAIA¤ " xfId="26328"/>
    <cellStyle name="Ç¥ÁØ_laroux_2_°³¹ßÀÏÁ¤ " xfId="30822"/>
    <cellStyle name="C￥AØ_laroux_2_°³¹ßAIA¤  2" xfId="26329"/>
    <cellStyle name="Ç¥ÁØ_laroux_2_°³¹ßÀÏÁ¤  2" xfId="30823"/>
    <cellStyle name="C￥AØ_LIGHTNING " xfId="26330"/>
    <cellStyle name="Ç¥ÁØ_º¸À¯»ç¾÷ ³âµµÀÚ±Ý¸í¼¼ " xfId="30887"/>
    <cellStyle name="C￥AØ_ºI´eAa°ø " xfId="26393"/>
    <cellStyle name="Ç¥ÁØ_ºÎ´ëÅä°ø " xfId="30888"/>
    <cellStyle name="C￥AØ_ºI´eAa°ø  2" xfId="26394"/>
    <cellStyle name="Ç¥ÁØ_ºÎ´ëÅä°ø  2" xfId="30889"/>
    <cellStyle name="C￥AØ_PERSONAL" xfId="26331"/>
    <cellStyle name="Ç¥ÁØ_RESULTS" xfId="30824"/>
    <cellStyle name="C￥AØ_Sheet1_¿μ¾÷CoE² " xfId="26334"/>
    <cellStyle name="Ç¥ÁØ_Sheet1_0N-HANDLING " xfId="30825"/>
    <cellStyle name="C￥AØ_Sheet1_Ay°eC￥(2¿u) " xfId="26332"/>
    <cellStyle name="Ç¥ÁØ_Sheet1_Áý°èÇ¥(2¿ù) " xfId="30826"/>
    <cellStyle name="C￥AØ_Sheet1_Ay°eC￥(2¿u)  2" xfId="26333"/>
    <cellStyle name="Ç¥ÁØ_Sheet1_Áý°èÇ¥(2¿ù)  2" xfId="30827"/>
    <cellStyle name="C￥AØ_SOON1 " xfId="26335"/>
    <cellStyle name="Ç¥ÁØ_T-100 ÀÏ¹ÝÁö¿ª TIMING " xfId="30828"/>
    <cellStyle name="C￥AØ_T-PP 1102 " xfId="26336"/>
    <cellStyle name="Ç¥ÁØ_T-PP 1102 " xfId="30829"/>
    <cellStyle name="C￥AØ_T-PP 1102  2" xfId="26337"/>
    <cellStyle name="Ç¥ÁØ_T-PP 1102  2" xfId="30830"/>
    <cellStyle name="C￥AØ_V10 VARIATION MODEL SOP TIMING " xfId="26340"/>
    <cellStyle name="Ç¥ÁØ_V10 VARIATION MODEL SOP TIMING " xfId="30833"/>
    <cellStyle name="C￥AØ_V10 VARIATION MODEL SOP TIMING  2" xfId="26341"/>
    <cellStyle name="Ç¥ÁØ_V10 VARIATION MODEL SOP TIMING  2" xfId="30834"/>
    <cellStyle name="C￥AØ_V-100 SOP TIMING " xfId="26338"/>
    <cellStyle name="Ç¥ÁØ_V-100 SOP TIMING " xfId="30831"/>
    <cellStyle name="C￥AØ_V-100 SOP TIMING  2" xfId="26339"/>
    <cellStyle name="Ç¥ÁØ_V-100 SOP TIMING  2" xfId="30832"/>
    <cellStyle name="Calc Currency (0)" xfId="25189"/>
    <cellStyle name="Calc Currency (0) 10" xfId="25190"/>
    <cellStyle name="Calc Currency (0) 10 2" xfId="25191"/>
    <cellStyle name="Calc Currency (0) 11" xfId="25192"/>
    <cellStyle name="Calc Currency (0) 11 2" xfId="25193"/>
    <cellStyle name="Calc Currency (0) 12" xfId="25194"/>
    <cellStyle name="Calc Currency (0) 12 2" xfId="25195"/>
    <cellStyle name="Calc Currency (0) 13" xfId="25196"/>
    <cellStyle name="Calc Currency (0) 2" xfId="25197"/>
    <cellStyle name="Calc Currency (0) 2 2" xfId="25198"/>
    <cellStyle name="Calc Currency (0) 3" xfId="25199"/>
    <cellStyle name="Calc Currency (0) 3 2" xfId="25200"/>
    <cellStyle name="Calc Currency (0) 4" xfId="25201"/>
    <cellStyle name="Calc Currency (0) 4 2" xfId="25202"/>
    <cellStyle name="Calc Currency (0) 5" xfId="25203"/>
    <cellStyle name="Calc Currency (0) 5 2" xfId="25204"/>
    <cellStyle name="Calc Currency (0) 6" xfId="25205"/>
    <cellStyle name="Calc Currency (0) 6 2" xfId="25206"/>
    <cellStyle name="Calc Currency (0) 7" xfId="25207"/>
    <cellStyle name="Calc Currency (0) 7 2" xfId="25208"/>
    <cellStyle name="Calc Currency (0) 8" xfId="25209"/>
    <cellStyle name="Calc Currency (0) 8 2" xfId="25210"/>
    <cellStyle name="Calc Currency (0) 9" xfId="25211"/>
    <cellStyle name="Calc Currency (0) 9 2" xfId="25212"/>
    <cellStyle name="Calc Currency (2)" xfId="25213"/>
    <cellStyle name="Calc Currency (2) 2" xfId="25214"/>
    <cellStyle name="Calc Percent (0)" xfId="25215"/>
    <cellStyle name="Calc Percent (0) 2" xfId="25216"/>
    <cellStyle name="Calc Percent (1)" xfId="25217"/>
    <cellStyle name="Calc Percent (1) 2" xfId="25218"/>
    <cellStyle name="Calc Percent (2)" xfId="25219"/>
    <cellStyle name="Calc Percent (2) 2" xfId="25220"/>
    <cellStyle name="Calc Units (0)" xfId="25221"/>
    <cellStyle name="Calc Units (0) 2" xfId="25222"/>
    <cellStyle name="Calc Units (1)" xfId="25223"/>
    <cellStyle name="Calc Units (1) 2" xfId="25224"/>
    <cellStyle name="Calc Units (2)" xfId="25225"/>
    <cellStyle name="Calc Units (2) 2" xfId="25226"/>
    <cellStyle name="Calculation" xfId="25227"/>
    <cellStyle name="Calculation 2" xfId="25228"/>
    <cellStyle name="category" xfId="25229"/>
    <cellStyle name="category 2" xfId="25230"/>
    <cellStyle name="category 2 2" xfId="25231"/>
    <cellStyle name="category 3" xfId="25232"/>
    <cellStyle name="Check Cell" xfId="25233"/>
    <cellStyle name="Check Cell 2" xfId="25234"/>
    <cellStyle name="CIAIÆU¸μAⓒ" xfId="25235"/>
    <cellStyle name="CIAIÆU¸μAⓒ 2" xfId="25236"/>
    <cellStyle name="ⓒo" xfId="31018"/>
    <cellStyle name="ⓒo 2" xfId="31019"/>
    <cellStyle name="Çõ»ê" xfId="30903"/>
    <cellStyle name="Çõ»ê 2" xfId="30904"/>
    <cellStyle name="Co≫e" xfId="25549"/>
    <cellStyle name="Co≫e 2" xfId="25550"/>
    <cellStyle name="ⓒoe" xfId="31020"/>
    <cellStyle name="ⓒoe 2" xfId="31021"/>
    <cellStyle name="ColHdr" xfId="25237"/>
    <cellStyle name="ColHdr 2" xfId="25238"/>
    <cellStyle name="Column Heading" xfId="25239"/>
    <cellStyle name="Column Heading 2" xfId="25240"/>
    <cellStyle name="Column Headings" xfId="25241"/>
    <cellStyle name="Column Headings 2" xfId="25242"/>
    <cellStyle name="Com? [0]_ SG&amp;A Bridge " xfId="25243"/>
    <cellStyle name="Comma" xfId="25244"/>
    <cellStyle name="Comma  - Style2" xfId="25245"/>
    <cellStyle name="Comma  - Style2 2" xfId="25246"/>
    <cellStyle name="Comma  - Style3" xfId="25247"/>
    <cellStyle name="Comma  - Style3 2" xfId="25248"/>
    <cellStyle name="Comma  - Style4" xfId="25249"/>
    <cellStyle name="Comma  - Style4 2" xfId="25250"/>
    <cellStyle name="Comma  - Style5" xfId="25251"/>
    <cellStyle name="Comma  - Style5 2" xfId="25252"/>
    <cellStyle name="Comma  - Style6" xfId="25253"/>
    <cellStyle name="Comma  - Style6 2" xfId="25254"/>
    <cellStyle name="Comma  - Style7" xfId="25255"/>
    <cellStyle name="Comma  - Style7 2" xfId="25256"/>
    <cellStyle name="Comma  - Style8" xfId="25257"/>
    <cellStyle name="Comma  - Style8 2" xfId="25258"/>
    <cellStyle name="Comma [?_ SG&amp;A Bridge " xfId="25480"/>
    <cellStyle name="Comma [0]" xfId="25369"/>
    <cellStyle name="Comma [0] 10" xfId="25370"/>
    <cellStyle name="Comma [0] 10 2" xfId="25371"/>
    <cellStyle name="Comma [0] 11" xfId="25372"/>
    <cellStyle name="Comma [0] 11 2" xfId="25373"/>
    <cellStyle name="Comma [0] 12" xfId="25374"/>
    <cellStyle name="Comma [0] 12 2" xfId="25375"/>
    <cellStyle name="Comma [0] 13" xfId="25376"/>
    <cellStyle name="Comma [0] 13 2" xfId="25377"/>
    <cellStyle name="Comma [0] 14" xfId="25378"/>
    <cellStyle name="Comma [0] 14 2" xfId="25379"/>
    <cellStyle name="Comma [0] 15" xfId="25380"/>
    <cellStyle name="Comma [0] 15 2" xfId="25381"/>
    <cellStyle name="Comma [0] 16" xfId="25382"/>
    <cellStyle name="Comma [0] 16 2" xfId="25383"/>
    <cellStyle name="Comma [0] 17" xfId="25384"/>
    <cellStyle name="Comma [0] 17 2" xfId="25385"/>
    <cellStyle name="Comma [0] 18" xfId="25386"/>
    <cellStyle name="Comma [0] 18 2" xfId="25387"/>
    <cellStyle name="Comma [0] 19" xfId="25388"/>
    <cellStyle name="Comma [0] 19 2" xfId="25389"/>
    <cellStyle name="Comma [0] 2" xfId="25390"/>
    <cellStyle name="Comma [0] 2 2" xfId="25391"/>
    <cellStyle name="Comma [0] 2 2 2" xfId="25392"/>
    <cellStyle name="Comma [0] 3" xfId="25393"/>
    <cellStyle name="Comma [0] 3 2" xfId="25394"/>
    <cellStyle name="Comma [0] 3 2 2" xfId="25395"/>
    <cellStyle name="Comma [0] 3 3" xfId="25396"/>
    <cellStyle name="Comma [0] 3 3 2" xfId="25397"/>
    <cellStyle name="Comma [0] 3 4" xfId="25398"/>
    <cellStyle name="Comma [0] 3 4 2" xfId="25399"/>
    <cellStyle name="Comma [0] 3 5" xfId="25400"/>
    <cellStyle name="Comma [0] 3 5 2" xfId="25401"/>
    <cellStyle name="Comma [0] 3 6" xfId="25402"/>
    <cellStyle name="Comma [0] 3 6 2" xfId="25403"/>
    <cellStyle name="Comma [0] 3 7" xfId="25404"/>
    <cellStyle name="Comma [0] 3 7 2" xfId="25405"/>
    <cellStyle name="Comma [0] 3 8" xfId="25406"/>
    <cellStyle name="Comma [0] 4" xfId="25407"/>
    <cellStyle name="Comma [0] 4 2" xfId="25408"/>
    <cellStyle name="Comma [0] 4 2 2" xfId="25409"/>
    <cellStyle name="Comma [0] 4 3" xfId="25410"/>
    <cellStyle name="Comma [0] 4 3 2" xfId="25411"/>
    <cellStyle name="Comma [0] 4 4" xfId="25412"/>
    <cellStyle name="Comma [0] 4 4 2" xfId="25413"/>
    <cellStyle name="Comma [0] 4 5" xfId="25414"/>
    <cellStyle name="Comma [0] 4 5 2" xfId="25415"/>
    <cellStyle name="Comma [0] 4 6" xfId="25416"/>
    <cellStyle name="Comma [0] 4 6 2" xfId="25417"/>
    <cellStyle name="Comma [0] 4 7" xfId="25418"/>
    <cellStyle name="Comma [0] 4 7 2" xfId="25419"/>
    <cellStyle name="Comma [0] 4 8" xfId="25420"/>
    <cellStyle name="Comma [0] 5" xfId="25421"/>
    <cellStyle name="Comma [0] 5 2" xfId="25422"/>
    <cellStyle name="Comma [0] 5 2 2" xfId="25423"/>
    <cellStyle name="Comma [0] 5 3" xfId="25424"/>
    <cellStyle name="Comma [0] 5 3 2" xfId="25425"/>
    <cellStyle name="Comma [0] 5 4" xfId="25426"/>
    <cellStyle name="Comma [0] 5 4 2" xfId="25427"/>
    <cellStyle name="Comma [0] 5 5" xfId="25428"/>
    <cellStyle name="Comma [0] 5 5 2" xfId="25429"/>
    <cellStyle name="Comma [0] 5 6" xfId="25430"/>
    <cellStyle name="Comma [0] 5 6 2" xfId="25431"/>
    <cellStyle name="Comma [0] 5 7" xfId="25432"/>
    <cellStyle name="Comma [0] 5 7 2" xfId="25433"/>
    <cellStyle name="Comma [0] 5 8" xfId="25434"/>
    <cellStyle name="Comma [0] 6" xfId="25435"/>
    <cellStyle name="Comma [0] 6 2" xfId="25436"/>
    <cellStyle name="Comma [0] 6 2 2" xfId="25437"/>
    <cellStyle name="Comma [0] 6 3" xfId="25438"/>
    <cellStyle name="Comma [0] 6 3 2" xfId="25439"/>
    <cellStyle name="Comma [0] 6 4" xfId="25440"/>
    <cellStyle name="Comma [0] 6 4 2" xfId="25441"/>
    <cellStyle name="Comma [0] 6 5" xfId="25442"/>
    <cellStyle name="Comma [0] 6 5 2" xfId="25443"/>
    <cellStyle name="Comma [0] 6 6" xfId="25444"/>
    <cellStyle name="Comma [0] 6 6 2" xfId="25445"/>
    <cellStyle name="Comma [0] 6 7" xfId="25446"/>
    <cellStyle name="Comma [0] 6 7 2" xfId="25447"/>
    <cellStyle name="Comma [0] 6 8" xfId="25448"/>
    <cellStyle name="Comma [0] 7" xfId="25449"/>
    <cellStyle name="Comma [0] 7 2" xfId="25450"/>
    <cellStyle name="Comma [0] 7 2 2" xfId="25451"/>
    <cellStyle name="Comma [0] 7 3" xfId="25452"/>
    <cellStyle name="Comma [0] 7 3 2" xfId="25453"/>
    <cellStyle name="Comma [0] 7 4" xfId="25454"/>
    <cellStyle name="Comma [0] 7 4 2" xfId="25455"/>
    <cellStyle name="Comma [0] 7 5" xfId="25456"/>
    <cellStyle name="Comma [0] 7 5 2" xfId="25457"/>
    <cellStyle name="Comma [0] 7 6" xfId="25458"/>
    <cellStyle name="Comma [0] 7 6 2" xfId="25459"/>
    <cellStyle name="Comma [0] 7 7" xfId="25460"/>
    <cellStyle name="Comma [0] 7 7 2" xfId="25461"/>
    <cellStyle name="Comma [0] 7 8" xfId="25462"/>
    <cellStyle name="Comma [0] 8" xfId="25463"/>
    <cellStyle name="Comma [0] 8 2" xfId="25464"/>
    <cellStyle name="Comma [0] 8 2 2" xfId="25465"/>
    <cellStyle name="Comma [0] 8 3" xfId="25466"/>
    <cellStyle name="Comma [0] 8 3 2" xfId="25467"/>
    <cellStyle name="Comma [0] 8 4" xfId="25468"/>
    <cellStyle name="Comma [0] 8 4 2" xfId="25469"/>
    <cellStyle name="Comma [0] 8 5" xfId="25470"/>
    <cellStyle name="Comma [0] 8 5 2" xfId="25471"/>
    <cellStyle name="Comma [0] 8 6" xfId="25472"/>
    <cellStyle name="Comma [0] 8 6 2" xfId="25473"/>
    <cellStyle name="Comma [0] 8 7" xfId="25474"/>
    <cellStyle name="Comma [0] 8 7 2" xfId="25475"/>
    <cellStyle name="Comma [0] 8 8" xfId="25476"/>
    <cellStyle name="Comma [0] 9" xfId="25477"/>
    <cellStyle name="Comma [0] 9 2" xfId="25478"/>
    <cellStyle name="Comma [0]_ SG&amp;A Bridge " xfId="25479"/>
    <cellStyle name="Comma [00]" xfId="25367"/>
    <cellStyle name="Comma [00] 2" xfId="25368"/>
    <cellStyle name="Comma 10" xfId="25259"/>
    <cellStyle name="Comma 10 2" xfId="25260"/>
    <cellStyle name="Comma 11" xfId="25261"/>
    <cellStyle name="Comma 11 2" xfId="25262"/>
    <cellStyle name="Comma 12" xfId="25263"/>
    <cellStyle name="Comma 12 2" xfId="25264"/>
    <cellStyle name="Comma 13" xfId="25265"/>
    <cellStyle name="Comma 13 2" xfId="25266"/>
    <cellStyle name="Comma 14" xfId="25267"/>
    <cellStyle name="Comma 14 2" xfId="25268"/>
    <cellStyle name="Comma 15" xfId="25269"/>
    <cellStyle name="Comma 15 2" xfId="25270"/>
    <cellStyle name="Comma 16" xfId="25271"/>
    <cellStyle name="Comma 16 2" xfId="25272"/>
    <cellStyle name="Comma 17" xfId="25273"/>
    <cellStyle name="Comma 17 2" xfId="25274"/>
    <cellStyle name="Comma 18" xfId="25275"/>
    <cellStyle name="Comma 18 2" xfId="25276"/>
    <cellStyle name="Comma 19" xfId="25277"/>
    <cellStyle name="Comma 19 2" xfId="25278"/>
    <cellStyle name="Comma 2" xfId="25279"/>
    <cellStyle name="Comma 20" xfId="25280"/>
    <cellStyle name="Comma 3" xfId="25281"/>
    <cellStyle name="Comma 3 2" xfId="25282"/>
    <cellStyle name="Comma 3 2 2" xfId="25283"/>
    <cellStyle name="Comma 3 3" xfId="25284"/>
    <cellStyle name="Comma 3 3 2" xfId="25285"/>
    <cellStyle name="Comma 3 4" xfId="25286"/>
    <cellStyle name="Comma 3 4 2" xfId="25287"/>
    <cellStyle name="Comma 3 5" xfId="25288"/>
    <cellStyle name="Comma 3 5 2" xfId="25289"/>
    <cellStyle name="Comma 3 6" xfId="25290"/>
    <cellStyle name="Comma 3 6 2" xfId="25291"/>
    <cellStyle name="Comma 3 7" xfId="25292"/>
    <cellStyle name="Comma 3 7 2" xfId="25293"/>
    <cellStyle name="Comma 3 8" xfId="25294"/>
    <cellStyle name="Comma 4" xfId="25295"/>
    <cellStyle name="Comma 4 2" xfId="25296"/>
    <cellStyle name="Comma 4 2 2" xfId="25297"/>
    <cellStyle name="Comma 4 3" xfId="25298"/>
    <cellStyle name="Comma 4 3 2" xfId="25299"/>
    <cellStyle name="Comma 4 4" xfId="25300"/>
    <cellStyle name="Comma 4 4 2" xfId="25301"/>
    <cellStyle name="Comma 4 5" xfId="25302"/>
    <cellStyle name="Comma 4 5 2" xfId="25303"/>
    <cellStyle name="Comma 4 6" xfId="25304"/>
    <cellStyle name="Comma 4 6 2" xfId="25305"/>
    <cellStyle name="Comma 4 7" xfId="25306"/>
    <cellStyle name="Comma 4 7 2" xfId="25307"/>
    <cellStyle name="Comma 4 8" xfId="25308"/>
    <cellStyle name="Comma 5" xfId="25309"/>
    <cellStyle name="Comma 5 2" xfId="25310"/>
    <cellStyle name="Comma 5 2 2" xfId="25311"/>
    <cellStyle name="Comma 5 3" xfId="25312"/>
    <cellStyle name="Comma 5 3 2" xfId="25313"/>
    <cellStyle name="Comma 5 4" xfId="25314"/>
    <cellStyle name="Comma 5 4 2" xfId="25315"/>
    <cellStyle name="Comma 5 5" xfId="25316"/>
    <cellStyle name="Comma 5 5 2" xfId="25317"/>
    <cellStyle name="Comma 5 6" xfId="25318"/>
    <cellStyle name="Comma 5 6 2" xfId="25319"/>
    <cellStyle name="Comma 5 7" xfId="25320"/>
    <cellStyle name="Comma 5 7 2" xfId="25321"/>
    <cellStyle name="Comma 5 8" xfId="25322"/>
    <cellStyle name="Comma 6" xfId="25323"/>
    <cellStyle name="Comma 6 2" xfId="25324"/>
    <cellStyle name="Comma 6 2 2" xfId="25325"/>
    <cellStyle name="Comma 6 3" xfId="25326"/>
    <cellStyle name="Comma 6 3 2" xfId="25327"/>
    <cellStyle name="Comma 6 4" xfId="25328"/>
    <cellStyle name="Comma 6 4 2" xfId="25329"/>
    <cellStyle name="Comma 6 5" xfId="25330"/>
    <cellStyle name="Comma 6 5 2" xfId="25331"/>
    <cellStyle name="Comma 6 6" xfId="25332"/>
    <cellStyle name="Comma 6 6 2" xfId="25333"/>
    <cellStyle name="Comma 6 7" xfId="25334"/>
    <cellStyle name="Comma 6 7 2" xfId="25335"/>
    <cellStyle name="Comma 6 8" xfId="25336"/>
    <cellStyle name="Comma 7" xfId="25337"/>
    <cellStyle name="Comma 7 2" xfId="25338"/>
    <cellStyle name="Comma 7 2 2" xfId="25339"/>
    <cellStyle name="Comma 7 3" xfId="25340"/>
    <cellStyle name="Comma 7 3 2" xfId="25341"/>
    <cellStyle name="Comma 7 4" xfId="25342"/>
    <cellStyle name="Comma 7 4 2" xfId="25343"/>
    <cellStyle name="Comma 7 5" xfId="25344"/>
    <cellStyle name="Comma 7 5 2" xfId="25345"/>
    <cellStyle name="Comma 7 6" xfId="25346"/>
    <cellStyle name="Comma 7 6 2" xfId="25347"/>
    <cellStyle name="Comma 7 7" xfId="25348"/>
    <cellStyle name="Comma 7 7 2" xfId="25349"/>
    <cellStyle name="Comma 7 8" xfId="25350"/>
    <cellStyle name="Comma 8" xfId="25351"/>
    <cellStyle name="Comma 8 2" xfId="25352"/>
    <cellStyle name="Comma 8 2 2" xfId="25353"/>
    <cellStyle name="Comma 8 3" xfId="25354"/>
    <cellStyle name="Comma 8 3 2" xfId="25355"/>
    <cellStyle name="Comma 8 4" xfId="25356"/>
    <cellStyle name="Comma 8 4 2" xfId="25357"/>
    <cellStyle name="Comma 8 5" xfId="25358"/>
    <cellStyle name="Comma 8 5 2" xfId="25359"/>
    <cellStyle name="Comma 8 6" xfId="25360"/>
    <cellStyle name="Comma 8 6 2" xfId="25361"/>
    <cellStyle name="Comma 8 7" xfId="25362"/>
    <cellStyle name="Comma 8 7 2" xfId="25363"/>
    <cellStyle name="Comma 8 8" xfId="25364"/>
    <cellStyle name="Comma 9" xfId="25365"/>
    <cellStyle name="Comma 9 2" xfId="25366"/>
    <cellStyle name="comma zerodec" xfId="25481"/>
    <cellStyle name="comma zerodec 10" xfId="25482"/>
    <cellStyle name="comma zerodec 10 2" xfId="25483"/>
    <cellStyle name="comma zerodec 11" xfId="25484"/>
    <cellStyle name="comma zerodec 11 2" xfId="25485"/>
    <cellStyle name="comma zerodec 12" xfId="25486"/>
    <cellStyle name="comma zerodec 12 2" xfId="25487"/>
    <cellStyle name="comma zerodec 13" xfId="25488"/>
    <cellStyle name="comma zerodec 13 2" xfId="25489"/>
    <cellStyle name="comma zerodec 14" xfId="25490"/>
    <cellStyle name="comma zerodec 2" xfId="25491"/>
    <cellStyle name="comma zerodec 2 2" xfId="25492"/>
    <cellStyle name="comma zerodec 2 2 2" xfId="25493"/>
    <cellStyle name="comma zerodec 2 3" xfId="25494"/>
    <cellStyle name="comma zerodec 3" xfId="25495"/>
    <cellStyle name="comma zerodec 3 2" xfId="25496"/>
    <cellStyle name="comma zerodec 4" xfId="25497"/>
    <cellStyle name="comma zerodec 4 2" xfId="25498"/>
    <cellStyle name="comma zerodec 5" xfId="25499"/>
    <cellStyle name="comma zerodec 5 2" xfId="25500"/>
    <cellStyle name="comma zerodec 6" xfId="25501"/>
    <cellStyle name="comma zerodec 6 2" xfId="25502"/>
    <cellStyle name="comma zerodec 7" xfId="25503"/>
    <cellStyle name="comma zerodec 7 2" xfId="25504"/>
    <cellStyle name="comma zerodec 8" xfId="25505"/>
    <cellStyle name="comma zerodec 8 2" xfId="25506"/>
    <cellStyle name="comma zerodec 9" xfId="25507"/>
    <cellStyle name="comma zerodec 9 2" xfId="25508"/>
    <cellStyle name="Comma_ " xfId="25533"/>
    <cellStyle name="Comma0" xfId="25509"/>
    <cellStyle name="Comma0 10" xfId="25510"/>
    <cellStyle name="Comma0 10 2" xfId="25511"/>
    <cellStyle name="Comma0 11" xfId="25512"/>
    <cellStyle name="Comma0 11 2" xfId="25513"/>
    <cellStyle name="Comma0 12" xfId="25514"/>
    <cellStyle name="Comma0 12 2" xfId="25515"/>
    <cellStyle name="Comma0 13" xfId="25516"/>
    <cellStyle name="Comma0 2" xfId="25517"/>
    <cellStyle name="Comma0 2 2" xfId="25518"/>
    <cellStyle name="Comma0 3" xfId="25519"/>
    <cellStyle name="Comma0 3 2" xfId="25520"/>
    <cellStyle name="Comma0 4" xfId="25521"/>
    <cellStyle name="Comma0 4 2" xfId="25522"/>
    <cellStyle name="Comma0 5" xfId="25523"/>
    <cellStyle name="Comma0 5 2" xfId="25524"/>
    <cellStyle name="Comma0 6" xfId="25525"/>
    <cellStyle name="Comma0 6 2" xfId="25526"/>
    <cellStyle name="Comma0 7" xfId="25527"/>
    <cellStyle name="Comma0 7 2" xfId="25528"/>
    <cellStyle name="Comma0 8" xfId="25529"/>
    <cellStyle name="Comma0 8 2" xfId="25530"/>
    <cellStyle name="Comma0 9" xfId="25531"/>
    <cellStyle name="Comma0 9 2" xfId="25532"/>
    <cellStyle name="Comm뼬_E&amp;ONW2" xfId="25534"/>
    <cellStyle name="Company Info" xfId="25535"/>
    <cellStyle name="Company Info 2" xfId="25536"/>
    <cellStyle name="Contents Heading 1" xfId="25537"/>
    <cellStyle name="Contents Heading 1 2" xfId="25538"/>
    <cellStyle name="Contents Heading 2" xfId="25539"/>
    <cellStyle name="Contents Heading 2 2" xfId="25540"/>
    <cellStyle name="Contents Heading 3" xfId="25541"/>
    <cellStyle name="Contents Heading 3 2" xfId="25542"/>
    <cellStyle name="Copied" xfId="25543"/>
    <cellStyle name="Copied 2" xfId="25544"/>
    <cellStyle name="COST1" xfId="25545"/>
    <cellStyle name="COST1 2" xfId="25546"/>
    <cellStyle name="CoverHeadline1" xfId="25547"/>
    <cellStyle name="CoverHeadline1 2" xfId="25548"/>
    <cellStyle name="Co䁭ma_MATERAL2" xfId="25551"/>
    <cellStyle name="Criteria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 xfId="25552"/>
    <cellStyle name="Cur?ncy [0]_ODCOS " xfId="25553"/>
    <cellStyle name="Curr" xfId="25554"/>
    <cellStyle name="Curr 2" xfId="25555"/>
    <cellStyle name="Curre~cy [0]_MATERAL2" xfId="25936"/>
    <cellStyle name="Curren" xfId="25556"/>
    <cellStyle name="Curren 2" xfId="25557"/>
    <cellStyle name="Curren?_x005f_x0012_퐀_x005f_x0017_?" xfId="25560"/>
    <cellStyle name="Curren?_x0012_퐀_x0017_?" xfId="25558"/>
    <cellStyle name="Curren?_x0012_퐀_x0017_? 2" xfId="25559"/>
    <cellStyle name="Currenby_Cash&amp;DSO Chart" xfId="25561"/>
    <cellStyle name="Currency" xfId="25562"/>
    <cellStyle name="Currency (0)" xfId="25563"/>
    <cellStyle name="Currency (0) 2" xfId="25564"/>
    <cellStyle name="Currency (2)" xfId="25565"/>
    <cellStyle name="Currency (2) 2" xfId="25566"/>
    <cellStyle name="Currency [0]" xfId="25677"/>
    <cellStyle name="Currency [0] 10" xfId="25678"/>
    <cellStyle name="Currency [0] 10 2" xfId="25679"/>
    <cellStyle name="Currency [0] 11" xfId="25680"/>
    <cellStyle name="Currency [0] 11 2" xfId="25681"/>
    <cellStyle name="Currency [0] 12" xfId="25682"/>
    <cellStyle name="Currency [0] 12 2" xfId="25683"/>
    <cellStyle name="Currency [0] 13" xfId="25684"/>
    <cellStyle name="Currency [0] 13 2" xfId="25685"/>
    <cellStyle name="Currency [0] 14" xfId="25686"/>
    <cellStyle name="Currency [0] 14 2" xfId="25687"/>
    <cellStyle name="Currency [0] 15" xfId="25688"/>
    <cellStyle name="Currency [0] 15 2" xfId="25689"/>
    <cellStyle name="Currency [0] 16" xfId="25690"/>
    <cellStyle name="Currency [0] 16 2" xfId="25691"/>
    <cellStyle name="Currency [0] 17" xfId="25692"/>
    <cellStyle name="Currency [0] 17 2" xfId="25693"/>
    <cellStyle name="Currency [0] 18" xfId="25694"/>
    <cellStyle name="Currency [0] 18 2" xfId="25695"/>
    <cellStyle name="Currency [0] 19" xfId="25696"/>
    <cellStyle name="Currency [0] 19 2" xfId="25697"/>
    <cellStyle name="Currency [0] 2" xfId="25698"/>
    <cellStyle name="Currency [0] 2 2" xfId="25699"/>
    <cellStyle name="Currency [0] 2 2 2" xfId="25700"/>
    <cellStyle name="Currency [0] 2 3" xfId="25701"/>
    <cellStyle name="Currency [0] 2 4" xfId="25702"/>
    <cellStyle name="Currency [0] 2 5" xfId="25703"/>
    <cellStyle name="Currency [0] 2 6" xfId="25704"/>
    <cellStyle name="Currency [0] 20" xfId="25705"/>
    <cellStyle name="Currency [0] 20 2" xfId="25706"/>
    <cellStyle name="Currency [0] 3" xfId="25707"/>
    <cellStyle name="Currency [0] 3 2" xfId="25708"/>
    <cellStyle name="Currency [0] 3 2 2" xfId="25709"/>
    <cellStyle name="Currency [0] 3 3" xfId="25710"/>
    <cellStyle name="Currency [0] 3 3 2" xfId="25711"/>
    <cellStyle name="Currency [0] 3 4" xfId="25712"/>
    <cellStyle name="Currency [0] 3 4 2" xfId="25713"/>
    <cellStyle name="Currency [0] 3 5" xfId="25714"/>
    <cellStyle name="Currency [0] 3 5 2" xfId="25715"/>
    <cellStyle name="Currency [0] 3 6" xfId="25716"/>
    <cellStyle name="Currency [0] 3 6 2" xfId="25717"/>
    <cellStyle name="Currency [0] 3 7" xfId="25718"/>
    <cellStyle name="Currency [0] 3 7 2" xfId="25719"/>
    <cellStyle name="Currency [0] 3 8" xfId="25720"/>
    <cellStyle name="Currency [0] 4" xfId="25721"/>
    <cellStyle name="Currency [0] 4 2" xfId="25722"/>
    <cellStyle name="Currency [0] 4 2 2" xfId="25723"/>
    <cellStyle name="Currency [0] 4 3" xfId="25724"/>
    <cellStyle name="Currency [0] 4 3 2" xfId="25725"/>
    <cellStyle name="Currency [0] 4 4" xfId="25726"/>
    <cellStyle name="Currency [0] 4 4 2" xfId="25727"/>
    <cellStyle name="Currency [0] 4 5" xfId="25728"/>
    <cellStyle name="Currency [0] 4 5 2" xfId="25729"/>
    <cellStyle name="Currency [0] 4 6" xfId="25730"/>
    <cellStyle name="Currency [0] 4 6 2" xfId="25731"/>
    <cellStyle name="Currency [0] 4 7" xfId="25732"/>
    <cellStyle name="Currency [0] 4 7 2" xfId="25733"/>
    <cellStyle name="Currency [0] 4 8" xfId="25734"/>
    <cellStyle name="Currency [0] 5" xfId="25735"/>
    <cellStyle name="Currency [0] 5 2" xfId="25736"/>
    <cellStyle name="Currency [0] 5 2 2" xfId="25737"/>
    <cellStyle name="Currency [0] 5 3" xfId="25738"/>
    <cellStyle name="Currency [0] 5 3 2" xfId="25739"/>
    <cellStyle name="Currency [0] 5 4" xfId="25740"/>
    <cellStyle name="Currency [0] 5 4 2" xfId="25741"/>
    <cellStyle name="Currency [0] 5 5" xfId="25742"/>
    <cellStyle name="Currency [0] 5 5 2" xfId="25743"/>
    <cellStyle name="Currency [0] 5 6" xfId="25744"/>
    <cellStyle name="Currency [0] 5 6 2" xfId="25745"/>
    <cellStyle name="Currency [0] 5 7" xfId="25746"/>
    <cellStyle name="Currency [0] 5 7 2" xfId="25747"/>
    <cellStyle name="Currency [0] 5 8" xfId="25748"/>
    <cellStyle name="Currency [0] 6" xfId="25749"/>
    <cellStyle name="Currency [0] 6 2" xfId="25750"/>
    <cellStyle name="Currency [0] 6 2 2" xfId="25751"/>
    <cellStyle name="Currency [0] 6 3" xfId="25752"/>
    <cellStyle name="Currency [0] 6 3 2" xfId="25753"/>
    <cellStyle name="Currency [0] 6 4" xfId="25754"/>
    <cellStyle name="Currency [0] 6 4 2" xfId="25755"/>
    <cellStyle name="Currency [0] 6 5" xfId="25756"/>
    <cellStyle name="Currency [0] 6 5 2" xfId="25757"/>
    <cellStyle name="Currency [0] 6 6" xfId="25758"/>
    <cellStyle name="Currency [0] 6 6 2" xfId="25759"/>
    <cellStyle name="Currency [0] 6 7" xfId="25760"/>
    <cellStyle name="Currency [0] 6 7 2" xfId="25761"/>
    <cellStyle name="Currency [0] 6 8" xfId="25762"/>
    <cellStyle name="Currency [0] 7" xfId="25763"/>
    <cellStyle name="Currency [0] 7 2" xfId="25764"/>
    <cellStyle name="Currency [0] 7 2 2" xfId="25765"/>
    <cellStyle name="Currency [0] 7 3" xfId="25766"/>
    <cellStyle name="Currency [0] 7 3 2" xfId="25767"/>
    <cellStyle name="Currency [0] 7 4" xfId="25768"/>
    <cellStyle name="Currency [0] 7 4 2" xfId="25769"/>
    <cellStyle name="Currency [0] 7 5" xfId="25770"/>
    <cellStyle name="Currency [0] 7 5 2" xfId="25771"/>
    <cellStyle name="Currency [0] 7 6" xfId="25772"/>
    <cellStyle name="Currency [0] 7 6 2" xfId="25773"/>
    <cellStyle name="Currency [0] 7 7" xfId="25774"/>
    <cellStyle name="Currency [0] 7 7 2" xfId="25775"/>
    <cellStyle name="Currency [0] 7 8" xfId="25776"/>
    <cellStyle name="Currency [0] 8" xfId="25777"/>
    <cellStyle name="Currency [0] 8 2" xfId="25778"/>
    <cellStyle name="Currency [0] 8 2 2" xfId="25779"/>
    <cellStyle name="Currency [0] 8 3" xfId="25780"/>
    <cellStyle name="Currency [0] 8 3 2" xfId="25781"/>
    <cellStyle name="Currency [0] 8 4" xfId="25782"/>
    <cellStyle name="Currency [0] 8 4 2" xfId="25783"/>
    <cellStyle name="Currency [0] 8 5" xfId="25784"/>
    <cellStyle name="Currency [0] 8 5 2" xfId="25785"/>
    <cellStyle name="Currency [0] 8 6" xfId="25786"/>
    <cellStyle name="Currency [0] 8 6 2" xfId="25787"/>
    <cellStyle name="Currency [0] 8 7" xfId="25788"/>
    <cellStyle name="Currency [0] 8 7 2" xfId="25789"/>
    <cellStyle name="Currency [0] 8 8" xfId="25790"/>
    <cellStyle name="Currency [0] 9" xfId="25791"/>
    <cellStyle name="Currency [0] 9 2" xfId="25792"/>
    <cellStyle name="Currency [0]_ SG&amp;A Bridge " xfId="25793"/>
    <cellStyle name="Currency [0]͢laroux_1" xfId="25794"/>
    <cellStyle name="Currency [00]" xfId="25675"/>
    <cellStyle name="Currency [00] 2" xfId="25676"/>
    <cellStyle name="Currency 10" xfId="25567"/>
    <cellStyle name="Currency 10 2" xfId="25568"/>
    <cellStyle name="Currency 11" xfId="25569"/>
    <cellStyle name="Currency 11 2" xfId="25570"/>
    <cellStyle name="Currency 12" xfId="25571"/>
    <cellStyle name="Currency 12 2" xfId="25572"/>
    <cellStyle name="Currency 13" xfId="25573"/>
    <cellStyle name="Currency 13 2" xfId="25574"/>
    <cellStyle name="Currency 14" xfId="25575"/>
    <cellStyle name="Currency 14 2" xfId="25576"/>
    <cellStyle name="Currency 15" xfId="25577"/>
    <cellStyle name="Currency 15 2" xfId="25578"/>
    <cellStyle name="Currency 16" xfId="25579"/>
    <cellStyle name="Currency 16 2" xfId="25580"/>
    <cellStyle name="Currency 17" xfId="25581"/>
    <cellStyle name="Currency 17 2" xfId="25582"/>
    <cellStyle name="Currency 18" xfId="25583"/>
    <cellStyle name="Currency 18 2" xfId="25584"/>
    <cellStyle name="Currency 19" xfId="25585"/>
    <cellStyle name="Currency 19 2" xfId="25586"/>
    <cellStyle name="Currency 2" xfId="25587"/>
    <cellStyle name="Currency 20" xfId="25588"/>
    <cellStyle name="Currency 3" xfId="25589"/>
    <cellStyle name="Currency 3 2" xfId="25590"/>
    <cellStyle name="Currency 3 2 2" xfId="25591"/>
    <cellStyle name="Currency 3 3" xfId="25592"/>
    <cellStyle name="Currency 3 3 2" xfId="25593"/>
    <cellStyle name="Currency 3 4" xfId="25594"/>
    <cellStyle name="Currency 3 4 2" xfId="25595"/>
    <cellStyle name="Currency 3 5" xfId="25596"/>
    <cellStyle name="Currency 3 5 2" xfId="25597"/>
    <cellStyle name="Currency 3 6" xfId="25598"/>
    <cellStyle name="Currency 3 6 2" xfId="25599"/>
    <cellStyle name="Currency 3 7" xfId="25600"/>
    <cellStyle name="Currency 3 7 2" xfId="25601"/>
    <cellStyle name="Currency 3 8" xfId="25602"/>
    <cellStyle name="Currency 4" xfId="25603"/>
    <cellStyle name="Currency 4 2" xfId="25604"/>
    <cellStyle name="Currency 4 2 2" xfId="25605"/>
    <cellStyle name="Currency 4 3" xfId="25606"/>
    <cellStyle name="Currency 4 3 2" xfId="25607"/>
    <cellStyle name="Currency 4 4" xfId="25608"/>
    <cellStyle name="Currency 4 4 2" xfId="25609"/>
    <cellStyle name="Currency 4 5" xfId="25610"/>
    <cellStyle name="Currency 4 5 2" xfId="25611"/>
    <cellStyle name="Currency 4 6" xfId="25612"/>
    <cellStyle name="Currency 4 6 2" xfId="25613"/>
    <cellStyle name="Currency 4 7" xfId="25614"/>
    <cellStyle name="Currency 4 7 2" xfId="25615"/>
    <cellStyle name="Currency 4 8" xfId="25616"/>
    <cellStyle name="Currency 5" xfId="25617"/>
    <cellStyle name="Currency 5 2" xfId="25618"/>
    <cellStyle name="Currency 5 2 2" xfId="25619"/>
    <cellStyle name="Currency 5 3" xfId="25620"/>
    <cellStyle name="Currency 5 3 2" xfId="25621"/>
    <cellStyle name="Currency 5 4" xfId="25622"/>
    <cellStyle name="Currency 5 4 2" xfId="25623"/>
    <cellStyle name="Currency 5 5" xfId="25624"/>
    <cellStyle name="Currency 5 5 2" xfId="25625"/>
    <cellStyle name="Currency 5 6" xfId="25626"/>
    <cellStyle name="Currency 5 6 2" xfId="25627"/>
    <cellStyle name="Currency 5 7" xfId="25628"/>
    <cellStyle name="Currency 5 7 2" xfId="25629"/>
    <cellStyle name="Currency 5 8" xfId="25630"/>
    <cellStyle name="Currency 6" xfId="25631"/>
    <cellStyle name="Currency 6 2" xfId="25632"/>
    <cellStyle name="Currency 6 2 2" xfId="25633"/>
    <cellStyle name="Currency 6 3" xfId="25634"/>
    <cellStyle name="Currency 6 3 2" xfId="25635"/>
    <cellStyle name="Currency 6 4" xfId="25636"/>
    <cellStyle name="Currency 6 4 2" xfId="25637"/>
    <cellStyle name="Currency 6 5" xfId="25638"/>
    <cellStyle name="Currency 6 5 2" xfId="25639"/>
    <cellStyle name="Currency 6 6" xfId="25640"/>
    <cellStyle name="Currency 6 6 2" xfId="25641"/>
    <cellStyle name="Currency 6 7" xfId="25642"/>
    <cellStyle name="Currency 6 7 2" xfId="25643"/>
    <cellStyle name="Currency 6 8" xfId="25644"/>
    <cellStyle name="Currency 7" xfId="25645"/>
    <cellStyle name="Currency 7 2" xfId="25646"/>
    <cellStyle name="Currency 7 2 2" xfId="25647"/>
    <cellStyle name="Currency 7 3" xfId="25648"/>
    <cellStyle name="Currency 7 3 2" xfId="25649"/>
    <cellStyle name="Currency 7 4" xfId="25650"/>
    <cellStyle name="Currency 7 4 2" xfId="25651"/>
    <cellStyle name="Currency 7 5" xfId="25652"/>
    <cellStyle name="Currency 7 5 2" xfId="25653"/>
    <cellStyle name="Currency 7 6" xfId="25654"/>
    <cellStyle name="Currency 7 6 2" xfId="25655"/>
    <cellStyle name="Currency 7 7" xfId="25656"/>
    <cellStyle name="Currency 7 7 2" xfId="25657"/>
    <cellStyle name="Currency 7 8" xfId="25658"/>
    <cellStyle name="Currency 8" xfId="25659"/>
    <cellStyle name="Currency 8 2" xfId="25660"/>
    <cellStyle name="Currency 8 2 2" xfId="25661"/>
    <cellStyle name="Currency 8 3" xfId="25662"/>
    <cellStyle name="Currency 8 3 2" xfId="25663"/>
    <cellStyle name="Currency 8 4" xfId="25664"/>
    <cellStyle name="Currency 8 4 2" xfId="25665"/>
    <cellStyle name="Currency 8 5" xfId="25666"/>
    <cellStyle name="Currency 8 5 2" xfId="25667"/>
    <cellStyle name="Currency 8 6" xfId="25668"/>
    <cellStyle name="Currency 8 6 2" xfId="25669"/>
    <cellStyle name="Currency 8 7" xfId="25670"/>
    <cellStyle name="Currency 8 7 2" xfId="25671"/>
    <cellStyle name="Currency 8 8" xfId="25672"/>
    <cellStyle name="Currency 9" xfId="25673"/>
    <cellStyle name="Currency 9 2" xfId="25674"/>
    <cellStyle name="currency-$" xfId="25795"/>
    <cellStyle name="currency-$ 2" xfId="25796"/>
    <cellStyle name="Currency_ " xfId="25935"/>
    <cellStyle name="Currency0" xfId="25797"/>
    <cellStyle name="Currency0 10" xfId="25798"/>
    <cellStyle name="Currency0 10 2" xfId="25799"/>
    <cellStyle name="Currency0 11" xfId="25800"/>
    <cellStyle name="Currency0 11 2" xfId="25801"/>
    <cellStyle name="Currency0 12" xfId="25802"/>
    <cellStyle name="Currency0 12 2" xfId="25803"/>
    <cellStyle name="Currency0 13" xfId="25804"/>
    <cellStyle name="Currency0 13 2" xfId="25805"/>
    <cellStyle name="Currency0 14" xfId="25806"/>
    <cellStyle name="Currency0 2" xfId="25807"/>
    <cellStyle name="Currency0 2 2" xfId="25808"/>
    <cellStyle name="Currency0 3" xfId="25809"/>
    <cellStyle name="Currency0 3 2" xfId="25810"/>
    <cellStyle name="Currency0 4" xfId="25811"/>
    <cellStyle name="Currency0 4 2" xfId="25812"/>
    <cellStyle name="Currency0 5" xfId="25813"/>
    <cellStyle name="Currency0 5 2" xfId="25814"/>
    <cellStyle name="Currency0 6" xfId="25815"/>
    <cellStyle name="Currency0 6 2" xfId="25816"/>
    <cellStyle name="Currency0 7" xfId="25817"/>
    <cellStyle name="Currency0 7 2" xfId="25818"/>
    <cellStyle name="Currency0 8" xfId="25819"/>
    <cellStyle name="Currency0 8 2" xfId="25820"/>
    <cellStyle name="Currency0 9" xfId="25821"/>
    <cellStyle name="Currency0 9 2" xfId="25822"/>
    <cellStyle name="Currency1" xfId="25823"/>
    <cellStyle name="Currency1 10" xfId="25824"/>
    <cellStyle name="Currency1 10 2" xfId="25825"/>
    <cellStyle name="Currency1 11" xfId="25826"/>
    <cellStyle name="Currency1 11 2" xfId="25827"/>
    <cellStyle name="Currency1 12" xfId="25828"/>
    <cellStyle name="Currency1 12 2" xfId="25829"/>
    <cellStyle name="Currency1 13" xfId="25830"/>
    <cellStyle name="Currency1 13 2" xfId="25831"/>
    <cellStyle name="Currency1 14" xfId="25832"/>
    <cellStyle name="Currency1 14 2" xfId="25833"/>
    <cellStyle name="Currency1 15" xfId="25834"/>
    <cellStyle name="Currency1 15 2" xfId="25835"/>
    <cellStyle name="Currency1 16" xfId="25836"/>
    <cellStyle name="Currency1 16 2" xfId="25837"/>
    <cellStyle name="Currency1 17" xfId="25838"/>
    <cellStyle name="Currency1 17 2" xfId="25839"/>
    <cellStyle name="Currency1 18" xfId="25840"/>
    <cellStyle name="Currency1 18 2" xfId="25841"/>
    <cellStyle name="Currency1 19" xfId="25842"/>
    <cellStyle name="Currency1 19 2" xfId="25843"/>
    <cellStyle name="Currency1 2" xfId="25844"/>
    <cellStyle name="Currency1 2 2" xfId="25845"/>
    <cellStyle name="Currency1 2 2 2" xfId="25846"/>
    <cellStyle name="Currency1 20" xfId="25847"/>
    <cellStyle name="Currency1 20 2" xfId="25848"/>
    <cellStyle name="Currency1 3" xfId="25849"/>
    <cellStyle name="Currency1 3 2" xfId="25850"/>
    <cellStyle name="Currency1 3 2 2" xfId="25851"/>
    <cellStyle name="Currency1 3 3" xfId="25852"/>
    <cellStyle name="Currency1 3 3 2" xfId="25853"/>
    <cellStyle name="Currency1 3 4" xfId="25854"/>
    <cellStyle name="Currency1 3 4 2" xfId="25855"/>
    <cellStyle name="Currency1 3 5" xfId="25856"/>
    <cellStyle name="Currency1 3 5 2" xfId="25857"/>
    <cellStyle name="Currency1 3 6" xfId="25858"/>
    <cellStyle name="Currency1 3 6 2" xfId="25859"/>
    <cellStyle name="Currency1 3 7" xfId="25860"/>
    <cellStyle name="Currency1 3 7 2" xfId="25861"/>
    <cellStyle name="Currency1 3 8" xfId="25862"/>
    <cellStyle name="Currency1 4" xfId="25863"/>
    <cellStyle name="Currency1 4 2" xfId="25864"/>
    <cellStyle name="Currency1 4 2 2" xfId="25865"/>
    <cellStyle name="Currency1 4 3" xfId="25866"/>
    <cellStyle name="Currency1 4 3 2" xfId="25867"/>
    <cellStyle name="Currency1 4 4" xfId="25868"/>
    <cellStyle name="Currency1 4 4 2" xfId="25869"/>
    <cellStyle name="Currency1 4 5" xfId="25870"/>
    <cellStyle name="Currency1 4 5 2" xfId="25871"/>
    <cellStyle name="Currency1 4 6" xfId="25872"/>
    <cellStyle name="Currency1 4 6 2" xfId="25873"/>
    <cellStyle name="Currency1 4 7" xfId="25874"/>
    <cellStyle name="Currency1 4 7 2" xfId="25875"/>
    <cellStyle name="Currency1 4 8" xfId="25876"/>
    <cellStyle name="Currency1 5" xfId="25877"/>
    <cellStyle name="Currency1 5 2" xfId="25878"/>
    <cellStyle name="Currency1 5 2 2" xfId="25879"/>
    <cellStyle name="Currency1 5 3" xfId="25880"/>
    <cellStyle name="Currency1 5 3 2" xfId="25881"/>
    <cellStyle name="Currency1 5 4" xfId="25882"/>
    <cellStyle name="Currency1 5 4 2" xfId="25883"/>
    <cellStyle name="Currency1 5 5" xfId="25884"/>
    <cellStyle name="Currency1 5 5 2" xfId="25885"/>
    <cellStyle name="Currency1 5 6" xfId="25886"/>
    <cellStyle name="Currency1 5 6 2" xfId="25887"/>
    <cellStyle name="Currency1 5 7" xfId="25888"/>
    <cellStyle name="Currency1 5 7 2" xfId="25889"/>
    <cellStyle name="Currency1 5 8" xfId="25890"/>
    <cellStyle name="Currency1 6" xfId="25891"/>
    <cellStyle name="Currency1 6 2" xfId="25892"/>
    <cellStyle name="Currency1 6 2 2" xfId="25893"/>
    <cellStyle name="Currency1 6 3" xfId="25894"/>
    <cellStyle name="Currency1 6 3 2" xfId="25895"/>
    <cellStyle name="Currency1 6 4" xfId="25896"/>
    <cellStyle name="Currency1 6 4 2" xfId="25897"/>
    <cellStyle name="Currency1 6 5" xfId="25898"/>
    <cellStyle name="Currency1 6 5 2" xfId="25899"/>
    <cellStyle name="Currency1 6 6" xfId="25900"/>
    <cellStyle name="Currency1 6 6 2" xfId="25901"/>
    <cellStyle name="Currency1 6 7" xfId="25902"/>
    <cellStyle name="Currency1 6 7 2" xfId="25903"/>
    <cellStyle name="Currency1 6 8" xfId="25904"/>
    <cellStyle name="Currency1 7" xfId="25905"/>
    <cellStyle name="Currency1 7 2" xfId="25906"/>
    <cellStyle name="Currency1 7 2 2" xfId="25907"/>
    <cellStyle name="Currency1 7 3" xfId="25908"/>
    <cellStyle name="Currency1 7 3 2" xfId="25909"/>
    <cellStyle name="Currency1 7 4" xfId="25910"/>
    <cellStyle name="Currency1 7 4 2" xfId="25911"/>
    <cellStyle name="Currency1 7 5" xfId="25912"/>
    <cellStyle name="Currency1 7 5 2" xfId="25913"/>
    <cellStyle name="Currency1 7 6" xfId="25914"/>
    <cellStyle name="Currency1 7 6 2" xfId="25915"/>
    <cellStyle name="Currency1 7 7" xfId="25916"/>
    <cellStyle name="Currency1 7 7 2" xfId="25917"/>
    <cellStyle name="Currency1 7 8" xfId="25918"/>
    <cellStyle name="Currency1 8" xfId="25919"/>
    <cellStyle name="Currency1 8 2" xfId="25920"/>
    <cellStyle name="Currency1 8 2 2" xfId="25921"/>
    <cellStyle name="Currency1 8 3" xfId="25922"/>
    <cellStyle name="Currency1 8 3 2" xfId="25923"/>
    <cellStyle name="Currency1 8 4" xfId="25924"/>
    <cellStyle name="Currency1 8 4 2" xfId="25925"/>
    <cellStyle name="Currency1 8 5" xfId="25926"/>
    <cellStyle name="Currency1 8 5 2" xfId="25927"/>
    <cellStyle name="Currency1 8 6" xfId="25928"/>
    <cellStyle name="Currency1 8 6 2" xfId="25929"/>
    <cellStyle name="Currency1 8 7" xfId="25930"/>
    <cellStyle name="Currency1 8 7 2" xfId="25931"/>
    <cellStyle name="Currency1 8 8" xfId="25932"/>
    <cellStyle name="Currency1 9" xfId="25933"/>
    <cellStyle name="Currency1 9 2" xfId="25934"/>
    <cellStyle name="Curr䁥ncy [0]_laroux_mud plant bolted" xfId="25937"/>
    <cellStyle name="Cuzrency [0]_ SG&amp;A Bridge " xfId="25938"/>
    <cellStyle name="Data" xfId="26405"/>
    <cellStyle name="Data 2" xfId="26406"/>
    <cellStyle name="Date" xfId="26407"/>
    <cellStyle name="Date 10" xfId="26408"/>
    <cellStyle name="Date 10 2" xfId="26409"/>
    <cellStyle name="Date 11" xfId="26410"/>
    <cellStyle name="Date 11 2" xfId="26411"/>
    <cellStyle name="Date 12" xfId="26412"/>
    <cellStyle name="Date 12 2" xfId="26413"/>
    <cellStyle name="Date 13" xfId="26414"/>
    <cellStyle name="Date 13 2" xfId="26415"/>
    <cellStyle name="Date 14" xfId="26416"/>
    <cellStyle name="Date 14 2" xfId="26417"/>
    <cellStyle name="Date 15" xfId="26418"/>
    <cellStyle name="Date 15 2" xfId="26419"/>
    <cellStyle name="Date 16" xfId="26420"/>
    <cellStyle name="Date 16 2" xfId="26421"/>
    <cellStyle name="Date 17" xfId="26422"/>
    <cellStyle name="Date 17 2" xfId="26423"/>
    <cellStyle name="Date 18" xfId="26424"/>
    <cellStyle name="Date 2" xfId="26425"/>
    <cellStyle name="Date 2 2" xfId="26426"/>
    <cellStyle name="Date 2 2 2" xfId="26427"/>
    <cellStyle name="Date 2 3" xfId="26428"/>
    <cellStyle name="Date 3" xfId="26429"/>
    <cellStyle name="Date 3 2" xfId="26430"/>
    <cellStyle name="Date 4" xfId="26431"/>
    <cellStyle name="Date 4 2" xfId="26432"/>
    <cellStyle name="Date 5" xfId="26433"/>
    <cellStyle name="Date 5 2" xfId="26434"/>
    <cellStyle name="Date 6" xfId="26435"/>
    <cellStyle name="Date 6 2" xfId="26436"/>
    <cellStyle name="Date 7" xfId="26437"/>
    <cellStyle name="Date 7 2" xfId="26438"/>
    <cellStyle name="Date 8" xfId="26439"/>
    <cellStyle name="Date 8 2" xfId="26440"/>
    <cellStyle name="Date 9" xfId="26441"/>
    <cellStyle name="Date 9 2" xfId="26442"/>
    <cellStyle name="Date Short" xfId="26443"/>
    <cellStyle name="Date Short 2" xfId="26444"/>
    <cellStyle name="Date_가든5점_모던하우스_입찰공내역서(100416)" xfId="26447"/>
    <cellStyle name="Date-Time" xfId="26445"/>
    <cellStyle name="Date-Time 2" xfId="26446"/>
    <cellStyle name="DD" xfId="26448"/>
    <cellStyle name="DD 2" xfId="26449"/>
    <cellStyle name="de" xfId="26450"/>
    <cellStyle name="de 2" xfId="26451"/>
    <cellStyle name="Decimal 1" xfId="26452"/>
    <cellStyle name="Decimal 1 2" xfId="26453"/>
    <cellStyle name="Decimal 2" xfId="26454"/>
    <cellStyle name="Decimal 2 2" xfId="26455"/>
    <cellStyle name="Decimal 3" xfId="26456"/>
    <cellStyle name="Decimal 3 2" xfId="26457"/>
    <cellStyle name="DELTA" xfId="26458"/>
    <cellStyle name="DELTA 2" xfId="26459"/>
    <cellStyle name="Dezimal [0]_Ausdruck RUND (D)" xfId="26460"/>
    <cellStyle name="Dezimal_Ausdruck RUND (D)" xfId="26461"/>
    <cellStyle name="Display" xfId="26462"/>
    <cellStyle name="Display 2" xfId="26463"/>
    <cellStyle name="Display Price" xfId="26464"/>
    <cellStyle name="Display Price 2" xfId="26465"/>
    <cellStyle name="Dollar (zero dec)" xfId="26466"/>
    <cellStyle name="Dollar (zero dec) 10" xfId="26467"/>
    <cellStyle name="Dollar (zero dec) 10 2" xfId="26468"/>
    <cellStyle name="Dollar (zero dec) 11" xfId="26469"/>
    <cellStyle name="Dollar (zero dec) 11 2" xfId="26470"/>
    <cellStyle name="Dollar (zero dec) 12" xfId="26471"/>
    <cellStyle name="Dollar (zero dec) 12 2" xfId="26472"/>
    <cellStyle name="Dollar (zero dec) 13" xfId="26473"/>
    <cellStyle name="Dollar (zero dec) 13 2" xfId="26474"/>
    <cellStyle name="Dollar (zero dec) 14" xfId="26475"/>
    <cellStyle name="Dollar (zero dec) 2" xfId="26476"/>
    <cellStyle name="Dollar (zero dec) 2 2" xfId="26477"/>
    <cellStyle name="Dollar (zero dec) 2 2 2" xfId="26478"/>
    <cellStyle name="Dollar (zero dec) 2 3" xfId="26479"/>
    <cellStyle name="Dollar (zero dec) 3" xfId="26480"/>
    <cellStyle name="Dollar (zero dec) 3 2" xfId="26481"/>
    <cellStyle name="Dollar (zero dec) 4" xfId="26482"/>
    <cellStyle name="Dollar (zero dec) 4 2" xfId="26483"/>
    <cellStyle name="Dollar (zero dec) 5" xfId="26484"/>
    <cellStyle name="Dollar (zero dec) 5 2" xfId="26485"/>
    <cellStyle name="Dollar (zero dec) 6" xfId="26486"/>
    <cellStyle name="Dollar (zero dec) 6 2" xfId="26487"/>
    <cellStyle name="Dollar (zero dec) 7" xfId="26488"/>
    <cellStyle name="Dollar (zero dec) 7 2" xfId="26489"/>
    <cellStyle name="Dollar (zero dec) 8" xfId="26490"/>
    <cellStyle name="Dollar (zero dec) 8 2" xfId="26491"/>
    <cellStyle name="Dollar (zero dec) 9" xfId="26492"/>
    <cellStyle name="Dollar (zero dec) 9 2" xfId="26493"/>
    <cellStyle name="EA" xfId="26494"/>
    <cellStyle name="EA 2" xfId="26495"/>
    <cellStyle name="E­æo±ae￡" xfId="26515"/>
    <cellStyle name="È­æó±âè£" xfId="30945"/>
    <cellStyle name="È­Æó±âÈ£ 10" xfId="30905"/>
    <cellStyle name="È­Æó±âÈ£ 10 2" xfId="30906"/>
    <cellStyle name="È­Æó±âÈ£ 11" xfId="30907"/>
    <cellStyle name="È­Æó±âÈ£ 11 2" xfId="30908"/>
    <cellStyle name="È­æó±âè£ 12" xfId="30946"/>
    <cellStyle name="È­æó±âè£ 12 2" xfId="30947"/>
    <cellStyle name="È­æó±âè£ 13" xfId="30948"/>
    <cellStyle name="E­æo±ae￡ 2" xfId="26516"/>
    <cellStyle name="È­Æó±âÈ£ 2" xfId="30909"/>
    <cellStyle name="È­Æó±âÈ£ 2 2" xfId="30910"/>
    <cellStyle name="È­Æó±âÈ£ 3" xfId="30911"/>
    <cellStyle name="È­Æó±âÈ£ 3 2" xfId="30912"/>
    <cellStyle name="È­Æó±âÈ£ 4" xfId="30913"/>
    <cellStyle name="È­Æó±âÈ£ 4 2" xfId="30914"/>
    <cellStyle name="È­Æó±âÈ£ 5" xfId="30915"/>
    <cellStyle name="È­Æó±âÈ£ 5 2" xfId="30916"/>
    <cellStyle name="È­Æó±âÈ£ 6" xfId="30917"/>
    <cellStyle name="È­Æó±âÈ£ 6 2" xfId="30918"/>
    <cellStyle name="È­Æó±âÈ£ 7" xfId="30919"/>
    <cellStyle name="È­Æó±âÈ£ 7 2" xfId="30920"/>
    <cellStyle name="È­Æó±âÈ£ 8" xfId="30921"/>
    <cellStyle name="È­Æó±âÈ£ 8 2" xfId="30922"/>
    <cellStyle name="È­Æó±âÈ£ 9" xfId="30923"/>
    <cellStyle name="È­Æó±âÈ£ 9 2" xfId="30924"/>
    <cellStyle name="E­æo±ae￡0" xfId="26517"/>
    <cellStyle name="È­æó±âè£0" xfId="30949"/>
    <cellStyle name="È­Æó±âÈ£0 10" xfId="30925"/>
    <cellStyle name="È­Æó±âÈ£0 10 2" xfId="30926"/>
    <cellStyle name="È­Æó±âÈ£0 11" xfId="30927"/>
    <cellStyle name="È­Æó±âÈ£0 11 2" xfId="30928"/>
    <cellStyle name="È­æó±âè£0 12" xfId="30950"/>
    <cellStyle name="È­æó±âè£0 12 2" xfId="30951"/>
    <cellStyle name="È­æó±âè£0 13" xfId="30952"/>
    <cellStyle name="E­æo±ae￡0 2" xfId="26518"/>
    <cellStyle name="È­Æó±âÈ£0 2" xfId="30929"/>
    <cellStyle name="È­Æó±âÈ£0 2 2" xfId="30930"/>
    <cellStyle name="È­Æó±âÈ£0 3" xfId="30931"/>
    <cellStyle name="È­Æó±âÈ£0 3 2" xfId="30932"/>
    <cellStyle name="È­Æó±âÈ£0 4" xfId="30933"/>
    <cellStyle name="È­Æó±âÈ£0 4 2" xfId="30934"/>
    <cellStyle name="È­Æó±âÈ£0 5" xfId="30935"/>
    <cellStyle name="È­Æó±âÈ£0 5 2" xfId="30936"/>
    <cellStyle name="È­Æó±âÈ£0 6" xfId="30937"/>
    <cellStyle name="È­Æó±âÈ£0 6 2" xfId="30938"/>
    <cellStyle name="È­Æó±âÈ£0 7" xfId="30939"/>
    <cellStyle name="È­Æó±âÈ£0 7 2" xfId="30940"/>
    <cellStyle name="È­Æó±âÈ£0 8" xfId="30941"/>
    <cellStyle name="È­Æó±âÈ£0 8 2" xfId="30942"/>
    <cellStyle name="È­Æó±âÈ£0 9" xfId="30943"/>
    <cellStyle name="È­Æó±âÈ£0 9 2" xfId="30944"/>
    <cellStyle name="Enter Currency (0)" xfId="26496"/>
    <cellStyle name="Enter Currency (0) 2" xfId="26497"/>
    <cellStyle name="Enter Currency (2)" xfId="26498"/>
    <cellStyle name="Enter Currency (2) 2" xfId="26499"/>
    <cellStyle name="Enter Units (0)" xfId="26500"/>
    <cellStyle name="Enter Units (0) 2" xfId="26501"/>
    <cellStyle name="Enter Units (1)" xfId="26502"/>
    <cellStyle name="Enter Units (1) 2" xfId="26503"/>
    <cellStyle name="Enter Units (2)" xfId="26504"/>
    <cellStyle name="Enter Units (2) 2" xfId="26505"/>
    <cellStyle name="Entered" xfId="26506"/>
    <cellStyle name="Entered 2" xfId="26507"/>
    <cellStyle name="eria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십시오." xfId="26508"/>
    <cellStyle name="Euro" xfId="26509"/>
    <cellStyle name="Euro 2" xfId="26510"/>
    <cellStyle name="Euro 2 2" xfId="26511"/>
    <cellStyle name="Euro 3" xfId="26512"/>
    <cellStyle name="Excel Built-in Comma [0]" xfId="35627"/>
    <cellStyle name="Explanatory Text" xfId="26513"/>
    <cellStyle name="Explanatory Text 2" xfId="26514"/>
    <cellStyle name="F2" xfId="26519"/>
    <cellStyle name="F2 2" xfId="26520"/>
    <cellStyle name="F2 2 2" xfId="26521"/>
    <cellStyle name="F2 3" xfId="26522"/>
    <cellStyle name="F3" xfId="26523"/>
    <cellStyle name="F3 2" xfId="26524"/>
    <cellStyle name="F3 2 2" xfId="26525"/>
    <cellStyle name="F3 3" xfId="26526"/>
    <cellStyle name="F3 3 2" xfId="26527"/>
    <cellStyle name="F3 4" xfId="26528"/>
    <cellStyle name="F3 4 2" xfId="26529"/>
    <cellStyle name="F3 5" xfId="26530"/>
    <cellStyle name="F3 5 2" xfId="26531"/>
    <cellStyle name="F3 6" xfId="26532"/>
    <cellStyle name="F3 6 2" xfId="26533"/>
    <cellStyle name="F3 7" xfId="26534"/>
    <cellStyle name="F3 7 2" xfId="26535"/>
    <cellStyle name="F3 8" xfId="26536"/>
    <cellStyle name="F3 8 2" xfId="26537"/>
    <cellStyle name="F3 9" xfId="26538"/>
    <cellStyle name="F4" xfId="26539"/>
    <cellStyle name="F4 2" xfId="26540"/>
    <cellStyle name="F4 2 2" xfId="26541"/>
    <cellStyle name="F4 3" xfId="26542"/>
    <cellStyle name="F4 3 2" xfId="26543"/>
    <cellStyle name="F4 4" xfId="26544"/>
    <cellStyle name="F4 4 2" xfId="26545"/>
    <cellStyle name="F4 5" xfId="26546"/>
    <cellStyle name="F4 5 2" xfId="26547"/>
    <cellStyle name="F4 6" xfId="26548"/>
    <cellStyle name="F4 6 2" xfId="26549"/>
    <cellStyle name="F4 7" xfId="26550"/>
    <cellStyle name="F4 7 2" xfId="26551"/>
    <cellStyle name="F4 8" xfId="26552"/>
    <cellStyle name="F4 8 2" xfId="26553"/>
    <cellStyle name="F4 9" xfId="26554"/>
    <cellStyle name="F5" xfId="26555"/>
    <cellStyle name="F5 2" xfId="26556"/>
    <cellStyle name="F5 2 2" xfId="26557"/>
    <cellStyle name="F5 3" xfId="26558"/>
    <cellStyle name="F5 3 2" xfId="26559"/>
    <cellStyle name="F5 4" xfId="26560"/>
    <cellStyle name="F5 4 2" xfId="26561"/>
    <cellStyle name="F5 5" xfId="26562"/>
    <cellStyle name="F5 5 2" xfId="26563"/>
    <cellStyle name="F5 6" xfId="26564"/>
    <cellStyle name="F5 6 2" xfId="26565"/>
    <cellStyle name="F5 7" xfId="26566"/>
    <cellStyle name="F5 7 2" xfId="26567"/>
    <cellStyle name="F5 8" xfId="26568"/>
    <cellStyle name="F5 8 2" xfId="26569"/>
    <cellStyle name="F5 9" xfId="26570"/>
    <cellStyle name="F6" xfId="26571"/>
    <cellStyle name="F6 2" xfId="26572"/>
    <cellStyle name="F6 2 2" xfId="26573"/>
    <cellStyle name="F6 3" xfId="26574"/>
    <cellStyle name="F7" xfId="26575"/>
    <cellStyle name="F7 2" xfId="26576"/>
    <cellStyle name="F7 2 2" xfId="26577"/>
    <cellStyle name="F7 3" xfId="26578"/>
    <cellStyle name="F8" xfId="26579"/>
    <cellStyle name="F8 2" xfId="26580"/>
    <cellStyle name="F8 2 2" xfId="26581"/>
    <cellStyle name="F8 3" xfId="26582"/>
    <cellStyle name="F8 3 2" xfId="26583"/>
    <cellStyle name="F8 4" xfId="26584"/>
    <cellStyle name="F8 4 2" xfId="26585"/>
    <cellStyle name="F8 5" xfId="26586"/>
    <cellStyle name="F8 5 2" xfId="26587"/>
    <cellStyle name="F8 6" xfId="26588"/>
    <cellStyle name="F8 6 2" xfId="26589"/>
    <cellStyle name="F8 7" xfId="26590"/>
    <cellStyle name="F8 7 2" xfId="26591"/>
    <cellStyle name="F8 8" xfId="26592"/>
    <cellStyle name="F8 8 2" xfId="26593"/>
    <cellStyle name="F8 9" xfId="26594"/>
    <cellStyle name="FinePrint" xfId="26595"/>
    <cellStyle name="FinePrint 2" xfId="26596"/>
    <cellStyle name="Fixed" xfId="26597"/>
    <cellStyle name="Fixed 10" xfId="26598"/>
    <cellStyle name="Fixed 10 2" xfId="26599"/>
    <cellStyle name="Fixed 11" xfId="26600"/>
    <cellStyle name="Fixed 11 2" xfId="26601"/>
    <cellStyle name="Fixed 12" xfId="26602"/>
    <cellStyle name="Fixed 12 2" xfId="26603"/>
    <cellStyle name="Fixed 13" xfId="26604"/>
    <cellStyle name="Fixed 13 2" xfId="26605"/>
    <cellStyle name="Fixed 14" xfId="26606"/>
    <cellStyle name="Fixed 14 2" xfId="26607"/>
    <cellStyle name="Fixed 15" xfId="26608"/>
    <cellStyle name="Fixed 15 2" xfId="26609"/>
    <cellStyle name="Fixed 16" xfId="26610"/>
    <cellStyle name="Fixed 16 2" xfId="26611"/>
    <cellStyle name="Fixed 17" xfId="26612"/>
    <cellStyle name="Fixed 17 2" xfId="26613"/>
    <cellStyle name="Fixed 18" xfId="26614"/>
    <cellStyle name="Fixed 2" xfId="26615"/>
    <cellStyle name="Fixed 2 2" xfId="26616"/>
    <cellStyle name="Fixed 3" xfId="26617"/>
    <cellStyle name="Fixed 3 2" xfId="26618"/>
    <cellStyle name="Fixed 4" xfId="26619"/>
    <cellStyle name="Fixed 4 2" xfId="26620"/>
    <cellStyle name="Fixed 5" xfId="26621"/>
    <cellStyle name="Fixed 5 2" xfId="26622"/>
    <cellStyle name="Fixed 6" xfId="26623"/>
    <cellStyle name="Fixed 6 2" xfId="26624"/>
    <cellStyle name="Fixed 7" xfId="26625"/>
    <cellStyle name="Fixed 7 2" xfId="26626"/>
    <cellStyle name="Fixed 8" xfId="26627"/>
    <cellStyle name="Fixed 8 2" xfId="26628"/>
    <cellStyle name="Fixed 9" xfId="26629"/>
    <cellStyle name="Fixed 9 2" xfId="26630"/>
    <cellStyle name="Followed Hyperlink" xfId="26631"/>
    <cellStyle name="Followed Hyperlink 2" xfId="26632"/>
    <cellStyle name="Followed Hyperlink 3" xfId="26633"/>
    <cellStyle name="Followed Hyperlink 3 2" xfId="26634"/>
    <cellStyle name="Followed Hyperlink 4" xfId="26635"/>
    <cellStyle name="Followed Hyperlink 4 2" xfId="26636"/>
    <cellStyle name="Followed Hyperlink 5" xfId="26637"/>
    <cellStyle name="Followed Hyperlink 5 2" xfId="26638"/>
    <cellStyle name="Followed Hyperlink 6" xfId="26639"/>
    <cellStyle name="Followed Hyperlink 6 2" xfId="26640"/>
    <cellStyle name="Followed Hyperlink 7" xfId="26641"/>
    <cellStyle name="Followed Hyperlink 7 2" xfId="26642"/>
    <cellStyle name="Followed Hyperlink 8" xfId="26643"/>
    <cellStyle name="Followed Hyperlink 8 2" xfId="26644"/>
    <cellStyle name="Followed Hyperlink 9" xfId="26645"/>
    <cellStyle name="Followed Hyperlink 9 2" xfId="26646"/>
    <cellStyle name="g" xfId="26647"/>
    <cellStyle name="g 2" xfId="26648"/>
    <cellStyle name="G10" xfId="26649"/>
    <cellStyle name="G10 2" xfId="26650"/>
    <cellStyle name="ǦǦ_x0003_" xfId="30997"/>
    <cellStyle name="ǦǦ_x0003_ 2" xfId="30998"/>
    <cellStyle name="ǦǦ_x005f_x0003_" xfId="30999"/>
    <cellStyle name="Good 2" xfId="26651"/>
    <cellStyle name="Good 4" xfId="26652"/>
    <cellStyle name="Grey" xfId="26653"/>
    <cellStyle name="Grey 2" xfId="26654"/>
    <cellStyle name="Grey 2 2" xfId="26655"/>
    <cellStyle name="Grey 3" xfId="26656"/>
    <cellStyle name="Grey 3 2" xfId="26657"/>
    <cellStyle name="Grey 4" xfId="26658"/>
    <cellStyle name="Grey 4 2" xfId="26659"/>
    <cellStyle name="Grey 5" xfId="26660"/>
    <cellStyle name="Grey 5 2" xfId="26661"/>
    <cellStyle name="Grey 6" xfId="26662"/>
    <cellStyle name="Grey 6 2" xfId="26663"/>
    <cellStyle name="Grey 7" xfId="26664"/>
    <cellStyle name="H1" xfId="26665"/>
    <cellStyle name="H1 2" xfId="26666"/>
    <cellStyle name="H2" xfId="26667"/>
    <cellStyle name="H2 2" xfId="26668"/>
    <cellStyle name="head" xfId="26669"/>
    <cellStyle name="head 1" xfId="26670"/>
    <cellStyle name="head 1 2" xfId="26671"/>
    <cellStyle name="head 1-1" xfId="26672"/>
    <cellStyle name="head 1-1 2" xfId="26673"/>
    <cellStyle name="head 2" xfId="26674"/>
    <cellStyle name="HEADER" xfId="26675"/>
    <cellStyle name="HEADER 2" xfId="26676"/>
    <cellStyle name="HEADER 2 2" xfId="26677"/>
    <cellStyle name="HEADER 3" xfId="26678"/>
    <cellStyle name="Header1" xfId="26679"/>
    <cellStyle name="Header1 2" xfId="26680"/>
    <cellStyle name="Header2" xfId="26681"/>
    <cellStyle name="Header2 2" xfId="26682"/>
    <cellStyle name="Heading 1" xfId="26739"/>
    <cellStyle name="Heading 1 10" xfId="26683"/>
    <cellStyle name="Heading 1 10 2" xfId="26684"/>
    <cellStyle name="Heading 1 11" xfId="26685"/>
    <cellStyle name="Heading 1 11 2" xfId="26686"/>
    <cellStyle name="Heading 1 12" xfId="26687"/>
    <cellStyle name="Heading 1 12 2" xfId="26688"/>
    <cellStyle name="Heading 1 13" xfId="26689"/>
    <cellStyle name="Heading 1 14" xfId="26690"/>
    <cellStyle name="Heading 1 2" xfId="26691"/>
    <cellStyle name="Heading 1 2 2" xfId="26692"/>
    <cellStyle name="Heading 1 3" xfId="26693"/>
    <cellStyle name="Heading 1 3 2" xfId="26694"/>
    <cellStyle name="Heading 1 4" xfId="26695"/>
    <cellStyle name="Heading 1 4 2" xfId="26696"/>
    <cellStyle name="Heading 1 5" xfId="26697"/>
    <cellStyle name="Heading 1 5 2" xfId="26698"/>
    <cellStyle name="Heading 1 6" xfId="26699"/>
    <cellStyle name="Heading 1 6 2" xfId="26700"/>
    <cellStyle name="Heading 1 7" xfId="26701"/>
    <cellStyle name="Heading 1 7 2" xfId="26702"/>
    <cellStyle name="Heading 1 8" xfId="26703"/>
    <cellStyle name="Heading 1 8 2" xfId="26704"/>
    <cellStyle name="Heading 1 9" xfId="26705"/>
    <cellStyle name="Heading 1 9 2" xfId="26706"/>
    <cellStyle name="Heading 2 10" xfId="26707"/>
    <cellStyle name="Heading 2 10 2" xfId="26708"/>
    <cellStyle name="Heading 2 11" xfId="26709"/>
    <cellStyle name="Heading 2 11 2" xfId="26710"/>
    <cellStyle name="Heading 2 12" xfId="26711"/>
    <cellStyle name="Heading 2 12 2" xfId="26712"/>
    <cellStyle name="Heading 2 13" xfId="26713"/>
    <cellStyle name="Heading 2 15" xfId="26714"/>
    <cellStyle name="Heading 2 2" xfId="26715"/>
    <cellStyle name="Heading 2 2 2" xfId="26716"/>
    <cellStyle name="Heading 2 3" xfId="26717"/>
    <cellStyle name="Heading 2 3 2" xfId="26718"/>
    <cellStyle name="Heading 2 4" xfId="26719"/>
    <cellStyle name="Heading 2 4 2" xfId="26720"/>
    <cellStyle name="Heading 2 5" xfId="26721"/>
    <cellStyle name="Heading 2 5 2" xfId="26722"/>
    <cellStyle name="Heading 2 6" xfId="26723"/>
    <cellStyle name="Heading 2 6 2" xfId="26724"/>
    <cellStyle name="Heading 2 7" xfId="26725"/>
    <cellStyle name="Heading 2 7 2" xfId="26726"/>
    <cellStyle name="Heading 2 8" xfId="26727"/>
    <cellStyle name="Heading 2 8 2" xfId="26728"/>
    <cellStyle name="Heading 2 9" xfId="26729"/>
    <cellStyle name="Heading 2 9 2" xfId="26730"/>
    <cellStyle name="Heading 3" xfId="26731"/>
    <cellStyle name="Heading 3 2" xfId="26732"/>
    <cellStyle name="Heading 3 2 2" xfId="26733"/>
    <cellStyle name="Heading 3 3" xfId="26734"/>
    <cellStyle name="Heading 4" xfId="26735"/>
    <cellStyle name="Heading 4 2" xfId="26736"/>
    <cellStyle name="Heading 5" xfId="26737"/>
    <cellStyle name="Heading 6" xfId="26738"/>
    <cellStyle name="Heading1 10" xfId="26740"/>
    <cellStyle name="Heading1 10 2" xfId="26741"/>
    <cellStyle name="Heading1 11" xfId="26742"/>
    <cellStyle name="Heading1 11 2" xfId="26743"/>
    <cellStyle name="Heading1 12" xfId="26744"/>
    <cellStyle name="Heading1 12 2" xfId="26745"/>
    <cellStyle name="HEADING1 13" xfId="26746"/>
    <cellStyle name="HEADING1 13 2" xfId="26747"/>
    <cellStyle name="HEADING1 14" xfId="26748"/>
    <cellStyle name="HEADING1 14 2" xfId="26749"/>
    <cellStyle name="HEADING1 15" xfId="26750"/>
    <cellStyle name="HEADING1 15 2" xfId="26751"/>
    <cellStyle name="HEADING1 16" xfId="26752"/>
    <cellStyle name="HEADING1 16 2" xfId="26753"/>
    <cellStyle name="HEADING1 17" xfId="26754"/>
    <cellStyle name="HEADING1 17 2" xfId="26755"/>
    <cellStyle name="Heading1 18" xfId="26756"/>
    <cellStyle name="Heading1 2" xfId="26757"/>
    <cellStyle name="Heading1 2 2" xfId="26758"/>
    <cellStyle name="Heading1 3" xfId="26759"/>
    <cellStyle name="Heading1 3 2" xfId="26760"/>
    <cellStyle name="Heading1 4" xfId="26761"/>
    <cellStyle name="Heading1 4 2" xfId="26762"/>
    <cellStyle name="Heading1 5" xfId="26763"/>
    <cellStyle name="Heading1 5 2" xfId="26764"/>
    <cellStyle name="Heading1 6" xfId="26765"/>
    <cellStyle name="Heading1 6 2" xfId="26766"/>
    <cellStyle name="Heading1 7" xfId="26767"/>
    <cellStyle name="Heading1 7 2" xfId="26768"/>
    <cellStyle name="Heading1 8" xfId="26769"/>
    <cellStyle name="Heading1 8 2" xfId="26770"/>
    <cellStyle name="Heading1 9" xfId="26771"/>
    <cellStyle name="Heading1 9 2" xfId="26772"/>
    <cellStyle name="Heading2" xfId="26773"/>
    <cellStyle name="Heading2 10" xfId="26774"/>
    <cellStyle name="Heading2 10 2" xfId="26775"/>
    <cellStyle name="Heading2 11" xfId="26776"/>
    <cellStyle name="Heading2 11 2" xfId="26777"/>
    <cellStyle name="Heading2 12" xfId="26778"/>
    <cellStyle name="Heading2 12 2" xfId="26779"/>
    <cellStyle name="HEADING2 13" xfId="26780"/>
    <cellStyle name="HEADING2 13 2" xfId="26781"/>
    <cellStyle name="HEADING2 14" xfId="26782"/>
    <cellStyle name="HEADING2 14 2" xfId="26783"/>
    <cellStyle name="HEADING2 15" xfId="26784"/>
    <cellStyle name="HEADING2 15 2" xfId="26785"/>
    <cellStyle name="HEADING2 16" xfId="26786"/>
    <cellStyle name="HEADING2 16 2" xfId="26787"/>
    <cellStyle name="HEADING2 17" xfId="26788"/>
    <cellStyle name="HEADING2 17 2" xfId="26789"/>
    <cellStyle name="Heading2 18" xfId="26790"/>
    <cellStyle name="Heading2 2" xfId="26791"/>
    <cellStyle name="Heading2 2 2" xfId="26792"/>
    <cellStyle name="Heading2 3" xfId="26793"/>
    <cellStyle name="Heading2 3 2" xfId="26794"/>
    <cellStyle name="Heading2 4" xfId="26795"/>
    <cellStyle name="Heading2 4 2" xfId="26796"/>
    <cellStyle name="Heading2 5" xfId="26797"/>
    <cellStyle name="Heading2 5 2" xfId="26798"/>
    <cellStyle name="Heading2 6" xfId="26799"/>
    <cellStyle name="Heading2 6 2" xfId="26800"/>
    <cellStyle name="Heading2 7" xfId="26801"/>
    <cellStyle name="Heading2 7 2" xfId="26802"/>
    <cellStyle name="Heading2 8" xfId="26803"/>
    <cellStyle name="Heading2 8 2" xfId="26804"/>
    <cellStyle name="Heading2 9" xfId="26805"/>
    <cellStyle name="Heading2 9 2" xfId="26806"/>
    <cellStyle name="Heading2Divider" xfId="26807"/>
    <cellStyle name="Heading2Divider 2" xfId="26808"/>
    <cellStyle name="HEADINGS" xfId="26809"/>
    <cellStyle name="HEADINGS 2" xfId="26810"/>
    <cellStyle name="HEADINGSTOP" xfId="26811"/>
    <cellStyle name="HEADINGSTOP 2" xfId="26812"/>
    <cellStyle name="Helv8_PFD4.XLS" xfId="26813"/>
    <cellStyle name="HIGHLIGHT" xfId="26814"/>
    <cellStyle name="HIGHLIGHT 2" xfId="26815"/>
    <cellStyle name="Hyperlink 10" xfId="26816"/>
    <cellStyle name="Hyperlink 10 2" xfId="26817"/>
    <cellStyle name="Hyperlink 11" xfId="26818"/>
    <cellStyle name="Hyperlink 11 2" xfId="26819"/>
    <cellStyle name="Hyperlink 12" xfId="26820"/>
    <cellStyle name="Hyperlink 12 2" xfId="26821"/>
    <cellStyle name="Hyperlink 13" xfId="26822"/>
    <cellStyle name="Hyperlink 13 2" xfId="26823"/>
    <cellStyle name="Hyperlink 14" xfId="26824"/>
    <cellStyle name="Hyperlink 14 2" xfId="26825"/>
    <cellStyle name="Hyperlink 16" xfId="26826"/>
    <cellStyle name="Hyperlink 2" xfId="26827"/>
    <cellStyle name="Hyperlink 3" xfId="26828"/>
    <cellStyle name="Hyperlink 3 2" xfId="26829"/>
    <cellStyle name="Hyperlink 3 2 2" xfId="26830"/>
    <cellStyle name="Hyperlink 3 3" xfId="26831"/>
    <cellStyle name="Hyperlink 3 3 2" xfId="26832"/>
    <cellStyle name="Hyperlink 3 4" xfId="26833"/>
    <cellStyle name="Hyperlink 3 4 2" xfId="26834"/>
    <cellStyle name="Hyperlink 3 5" xfId="26835"/>
    <cellStyle name="Hyperlink 3 5 2" xfId="26836"/>
    <cellStyle name="Hyperlink 3 6" xfId="26837"/>
    <cellStyle name="Hyperlink 3 6 2" xfId="26838"/>
    <cellStyle name="Hyperlink 3 7" xfId="26839"/>
    <cellStyle name="Hyperlink 3 7 2" xfId="26840"/>
    <cellStyle name="Hyperlink 3 8" xfId="26841"/>
    <cellStyle name="Hyperlink 4" xfId="26842"/>
    <cellStyle name="Hyperlink 4 2" xfId="26843"/>
    <cellStyle name="Hyperlink 4 2 2" xfId="26844"/>
    <cellStyle name="Hyperlink 4 3" xfId="26845"/>
    <cellStyle name="Hyperlink 4 3 2" xfId="26846"/>
    <cellStyle name="Hyperlink 4 4" xfId="26847"/>
    <cellStyle name="Hyperlink 4 4 2" xfId="26848"/>
    <cellStyle name="Hyperlink 4 5" xfId="26849"/>
    <cellStyle name="Hyperlink 4 5 2" xfId="26850"/>
    <cellStyle name="Hyperlink 4 6" xfId="26851"/>
    <cellStyle name="Hyperlink 4 6 2" xfId="26852"/>
    <cellStyle name="Hyperlink 4 7" xfId="26853"/>
    <cellStyle name="Hyperlink 4 7 2" xfId="26854"/>
    <cellStyle name="Hyperlink 4 8" xfId="26855"/>
    <cellStyle name="Hyperlink 5" xfId="26856"/>
    <cellStyle name="Hyperlink 5 2" xfId="26857"/>
    <cellStyle name="Hyperlink 6" xfId="26858"/>
    <cellStyle name="Hyperlink 6 2" xfId="26859"/>
    <cellStyle name="Hyperlink 7" xfId="26860"/>
    <cellStyle name="Hyperlink 7 2" xfId="26861"/>
    <cellStyle name="Hyperlink 8" xfId="26862"/>
    <cellStyle name="Hyperlink 8 2" xfId="26863"/>
    <cellStyle name="Hyperlink 9" xfId="26864"/>
    <cellStyle name="Hyperlink 9 2" xfId="26865"/>
    <cellStyle name="Hyperlink_NEGS" xfId="26866"/>
    <cellStyle name="ia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십시오.Mi" xfId="26867"/>
    <cellStyle name="Iau÷iue_report-2 " xfId="26868"/>
    <cellStyle name="Input" xfId="26869"/>
    <cellStyle name="Input %" xfId="26870"/>
    <cellStyle name="Input % 2" xfId="26871"/>
    <cellStyle name="Input [yellow]" xfId="26879"/>
    <cellStyle name="Input [yellow] 2" xfId="26880"/>
    <cellStyle name="Input [yellow] 2 2" xfId="26881"/>
    <cellStyle name="Input [yellow] 3" xfId="26882"/>
    <cellStyle name="Input [yellow] 3 2" xfId="26883"/>
    <cellStyle name="Input [yellow] 4" xfId="26884"/>
    <cellStyle name="Input [yellow] 4 2" xfId="26885"/>
    <cellStyle name="Input [yellow] 5" xfId="26886"/>
    <cellStyle name="Input [yellow] 5 2" xfId="26887"/>
    <cellStyle name="Input [yellow] 6" xfId="26888"/>
    <cellStyle name="Input [yellow] 6 2" xfId="26889"/>
    <cellStyle name="Input [yellow] 7" xfId="26890"/>
    <cellStyle name="Input 1" xfId="26872"/>
    <cellStyle name="Input 1 2" xfId="26873"/>
    <cellStyle name="Input 2" xfId="26874"/>
    <cellStyle name="Input 2 2" xfId="26875"/>
    <cellStyle name="Input 3" xfId="26876"/>
    <cellStyle name="Input 3 2" xfId="26877"/>
    <cellStyle name="Input 4" xfId="26878"/>
    <cellStyle name="Input Cells" xfId="26891"/>
    <cellStyle name="Input Cells 2" xfId="26892"/>
    <cellStyle name="Input Price" xfId="26893"/>
    <cellStyle name="Input Price 2" xfId="26894"/>
    <cellStyle name="Input Quantity" xfId="26895"/>
    <cellStyle name="Input Quantity 2" xfId="26896"/>
    <cellStyle name="Input Single Cell" xfId="26897"/>
    <cellStyle name="Input Single Cell 2" xfId="26898"/>
    <cellStyle name="Input_견적서-사운드레이스" xfId="26899"/>
    <cellStyle name="InputBodyCurr" xfId="26900"/>
    <cellStyle name="InputBodyCurr 2" xfId="26901"/>
    <cellStyle name="InputBodyDate" xfId="26902"/>
    <cellStyle name="InputBodyDate 2" xfId="26903"/>
    <cellStyle name="InputBodyText" xfId="26904"/>
    <cellStyle name="InputBodyText 2" xfId="26905"/>
    <cellStyle name="InputColor" xfId="26906"/>
    <cellStyle name="InputColor 2" xfId="26907"/>
    <cellStyle name="Item" xfId="26908"/>
    <cellStyle name="Item 2" xfId="26909"/>
    <cellStyle name="Item Input" xfId="26910"/>
    <cellStyle name="Item Input 2" xfId="26911"/>
    <cellStyle name="_x0001__x0002_ĵĵ_x0007_ ĵĵ_x000d__x000d_ƨƬ_x0001__x0002_ƨƬ_x0007__x000d_ǒǓ _x000d_ǜǜ_x000d__x000d_ǪǪ_x0007__x0007__x0005__x0005__x0010__x0001_ဠ" xfId="3"/>
    <cellStyle name="_x0001__x0002_ĵĵ_x0007_ ĵĵ_x000d__x000d_ƨƬ_x0001__x0002_ƨƬ_x0007__x000d_ǒǓ _x000d_ǜǜ_x000d__x000d_ǪǪ_x0007__x0007__x0005__x0005__x0010__x0001_ဠ 2" xfId="4"/>
    <cellStyle name="Komma [0]_BINV" xfId="26912"/>
    <cellStyle name="Komma_BINV" xfId="26913"/>
    <cellStyle name="ʟ" xfId="31000"/>
    <cellStyle name="ʟ 2" xfId="31001"/>
    <cellStyle name="L`" xfId="26914"/>
    <cellStyle name="L` 2" xfId="26915"/>
    <cellStyle name="Link Currency (0)" xfId="26916"/>
    <cellStyle name="Link Currency (0) 2" xfId="26917"/>
    <cellStyle name="Link Currency (2)" xfId="26918"/>
    <cellStyle name="Link Currency (2) 2" xfId="26919"/>
    <cellStyle name="Link Units (0)" xfId="26920"/>
    <cellStyle name="Link Units (0) 2" xfId="26921"/>
    <cellStyle name="Link Units (1)" xfId="26922"/>
    <cellStyle name="Link Units (1) 2" xfId="26923"/>
    <cellStyle name="Link Units (2)" xfId="26924"/>
    <cellStyle name="Link Units (2) 2" xfId="26925"/>
    <cellStyle name="Linked Cell" xfId="26926"/>
    <cellStyle name="Linked Cell 2" xfId="26927"/>
    <cellStyle name="Linked Cells" xfId="26928"/>
    <cellStyle name="Linked Cells 2" xfId="26929"/>
    <cellStyle name="M3" xfId="26930"/>
    <cellStyle name="M3 2" xfId="26931"/>
    <cellStyle name="Midtitle" xfId="26932"/>
    <cellStyle name="Midtitle 2" xfId="26933"/>
    <cellStyle name="Midtitle 2 2" xfId="26934"/>
    <cellStyle name="Midtitle 3" xfId="26935"/>
    <cellStyle name="Millares [0]_IMPAGOS" xfId="26936"/>
    <cellStyle name="Millares_IMPAGOS" xfId="26937"/>
    <cellStyle name="Milliers [0]_399GC10" xfId="26938"/>
    <cellStyle name="Milliers_399GC10" xfId="26939"/>
    <cellStyle name="Model" xfId="26940"/>
    <cellStyle name="Model 2" xfId="26941"/>
    <cellStyle name="Model 2 2" xfId="26942"/>
    <cellStyle name="Model 3" xfId="26943"/>
    <cellStyle name="Mon?aire [0]_399GC10" xfId="26944"/>
    <cellStyle name="Mon?aire_399GC10" xfId="26945"/>
    <cellStyle name="Moneda [0]_IMPAGOS" xfId="26946"/>
    <cellStyle name="Moneda_IMPAGOS" xfId="26947"/>
    <cellStyle name="Monétaire [0]_CTC" xfId="26950"/>
    <cellStyle name="Monétaire_CTC" xfId="26951"/>
    <cellStyle name="Month" xfId="26948"/>
    <cellStyle name="Month 2" xfId="26949"/>
    <cellStyle name="n" xfId="26952"/>
    <cellStyle name="n 2" xfId="26953"/>
    <cellStyle name="Neutral 17" xfId="26954"/>
    <cellStyle name="Neutral 2" xfId="26955"/>
    <cellStyle name="NEW정렬" xfId="26956"/>
    <cellStyle name="NEW정렬 2" xfId="26957"/>
    <cellStyle name="no dec" xfId="26958"/>
    <cellStyle name="no dec 2" xfId="26959"/>
    <cellStyle name="nohs" xfId="26960"/>
    <cellStyle name="nohs 2" xfId="26961"/>
    <cellStyle name="Non_definito" xfId="26962"/>
    <cellStyle name="Nor?l_PRODUCT_총합계 " xfId="26963"/>
    <cellStyle name="Norial_mud plant bolted_KD2" xfId="26964"/>
    <cellStyle name="normal" xfId="26965"/>
    <cellStyle name="Normal - Style1" xfId="26966"/>
    <cellStyle name="Normal - Style1 10" xfId="26967"/>
    <cellStyle name="Normal - Style1 10 2" xfId="26968"/>
    <cellStyle name="Normal - Style1 11" xfId="26969"/>
    <cellStyle name="Normal - Style1 11 2" xfId="26970"/>
    <cellStyle name="Normal - Style1 12" xfId="26971"/>
    <cellStyle name="Normal - Style1 12 2" xfId="26972"/>
    <cellStyle name="Normal - Style1 13" xfId="26973"/>
    <cellStyle name="Normal - Style1 13 2" xfId="26974"/>
    <cellStyle name="Normal - Style1 14" xfId="26975"/>
    <cellStyle name="Normal - Style1 14 2" xfId="26976"/>
    <cellStyle name="Normal - Style1 15" xfId="26977"/>
    <cellStyle name="Normal - Style1 15 2" xfId="26978"/>
    <cellStyle name="Normal - Style1 16" xfId="26979"/>
    <cellStyle name="Normal - Style1 16 2" xfId="26980"/>
    <cellStyle name="Normal - Style1 17" xfId="26981"/>
    <cellStyle name="Normal - Style1 17 2" xfId="26982"/>
    <cellStyle name="Normal - Style1 18" xfId="26983"/>
    <cellStyle name="Normal - Style1 18 2" xfId="26984"/>
    <cellStyle name="Normal - Style1 19" xfId="26985"/>
    <cellStyle name="Normal - Style1 2" xfId="26986"/>
    <cellStyle name="Normal - Style1 2 2" xfId="26987"/>
    <cellStyle name="Normal - Style1 2 2 2" xfId="26988"/>
    <cellStyle name="Normal - Style1 2 3" xfId="26989"/>
    <cellStyle name="Normal - Style1 3" xfId="26990"/>
    <cellStyle name="Normal - Style1 3 2" xfId="26991"/>
    <cellStyle name="Normal - Style1 4" xfId="26992"/>
    <cellStyle name="Normal - Style1 4 2" xfId="26993"/>
    <cellStyle name="Normal - Style1 5" xfId="26994"/>
    <cellStyle name="Normal - Style1 5 2" xfId="26995"/>
    <cellStyle name="Normal - Style1 6" xfId="26996"/>
    <cellStyle name="Normal - Style1 6 2" xfId="26997"/>
    <cellStyle name="Normal - Style1 7" xfId="26998"/>
    <cellStyle name="Normal - Style1 7 2" xfId="26999"/>
    <cellStyle name="Normal - Style1 8" xfId="27000"/>
    <cellStyle name="Normal - Style1 8 2" xfId="27001"/>
    <cellStyle name="Normal - Style1 9" xfId="27002"/>
    <cellStyle name="Normal - Style1 9 2" xfId="27003"/>
    <cellStyle name="Normal - Style2" xfId="27004"/>
    <cellStyle name="Normal - Style2 2" xfId="27005"/>
    <cellStyle name="Normal - Style3" xfId="27006"/>
    <cellStyle name="Normal - Style3 2" xfId="27007"/>
    <cellStyle name="Normal - Style4" xfId="27008"/>
    <cellStyle name="Normal - Style4 2" xfId="27009"/>
    <cellStyle name="Normal - Style5" xfId="27010"/>
    <cellStyle name="Normal - Style5 2" xfId="27011"/>
    <cellStyle name="Normal - Style6" xfId="27012"/>
    <cellStyle name="Normal - Style6 2" xfId="27013"/>
    <cellStyle name="Normal - Style7" xfId="27014"/>
    <cellStyle name="Normal - Style7 2" xfId="27015"/>
    <cellStyle name="Normal - Style8" xfId="27016"/>
    <cellStyle name="Normal - Style8 2" xfId="27017"/>
    <cellStyle name="Normal - 유형1" xfId="27018"/>
    <cellStyle name="Normal - 유형1 2" xfId="27019"/>
    <cellStyle name="Normal 11" xfId="27020"/>
    <cellStyle name="Normal 11 2" xfId="27021"/>
    <cellStyle name="normal 2" xfId="27022"/>
    <cellStyle name="normal 3" xfId="27023"/>
    <cellStyle name="normal 3 2" xfId="27024"/>
    <cellStyle name="normal 4" xfId="27025"/>
    <cellStyle name="normal 4 2" xfId="27026"/>
    <cellStyle name="normal 5" xfId="27027"/>
    <cellStyle name="normal 5 2" xfId="27028"/>
    <cellStyle name="normal 6" xfId="27029"/>
    <cellStyle name="normal 6 2" xfId="27030"/>
    <cellStyle name="normal 7" xfId="27031"/>
    <cellStyle name="normal 7 2" xfId="27032"/>
    <cellStyle name="normal 8" xfId="27033"/>
    <cellStyle name="normal 8 2" xfId="27034"/>
    <cellStyle name="normal 9" xfId="27035"/>
    <cellStyle name="Normal_ " xfId="27040"/>
    <cellStyle name="Normal1" xfId="27036"/>
    <cellStyle name="Normal1 2" xfId="27037"/>
    <cellStyle name="Normal2" xfId="27038"/>
    <cellStyle name="Normal2 2" xfId="27039"/>
    <cellStyle name="Normal忈OTD thru NOR " xfId="27041"/>
    <cellStyle name="Normal忈OTD thru NOR  2" xfId="27042"/>
    <cellStyle name="Noroal_ SG&amp;A Bridge " xfId="27043"/>
    <cellStyle name="Note 18" xfId="27044"/>
    <cellStyle name="Note 2" xfId="27045"/>
    <cellStyle name="O" xfId="27046"/>
    <cellStyle name="_x000f_O" xfId="28"/>
    <cellStyle name="O 2" xfId="27047"/>
    <cellStyle name="_x000f_O 2" xfId="29"/>
    <cellStyle name="OD" xfId="27048"/>
    <cellStyle name="OD 2" xfId="27049"/>
    <cellStyle name="Œ…?æ맖?e [0.00]_guyan" xfId="30993"/>
    <cellStyle name="Œ…?æ맖?e_guyan" xfId="30994"/>
    <cellStyle name="oft Excel]_x000d__x000a_Comment=The open=/f lines load custom functions into the Paste Function list._x000d__x000a_Maximized=3_x000d__x000a_AutoFormat=" xfId="27050"/>
    <cellStyle name="oft Excel]_x000d__x000a_Comment=The open=/f lines load custom functions into the Paste Function list._x000d__x000a_Maximized=3_x000d__x000a_AutoFormat= 2" xfId="27051"/>
    <cellStyle name="oft Excel]_x005f_x000d__x005f_x000a_Comment=The open=/f lines load custom functions into the Paste Function list._x005f_x000d__x005f_x000a_Maximized=3_x005f_x000d__x005f_x000a_AutoFormat=" xfId="27052"/>
    <cellStyle name="oh" xfId="27053"/>
    <cellStyle name="oh 2" xfId="27054"/>
    <cellStyle name="Output" xfId="27055"/>
    <cellStyle name="Output 2" xfId="27056"/>
    <cellStyle name="Output Single Cell" xfId="27057"/>
    <cellStyle name="Output Single Cell 2" xfId="27058"/>
    <cellStyle name="Over1" xfId="27059"/>
    <cellStyle name="Over1 2" xfId="27060"/>
    <cellStyle name="P01" xfId="27061"/>
    <cellStyle name="P01 2" xfId="27062"/>
    <cellStyle name="Package Size" xfId="27063"/>
    <cellStyle name="Package Size 2" xfId="27064"/>
    <cellStyle name="per.style" xfId="27065"/>
    <cellStyle name="per.style 2" xfId="27066"/>
    <cellStyle name="Percent" xfId="27067"/>
    <cellStyle name="Percent ()" xfId="27068"/>
    <cellStyle name="Percent () 2" xfId="27069"/>
    <cellStyle name="Percent (0)" xfId="27070"/>
    <cellStyle name="Percent (0) 2" xfId="27071"/>
    <cellStyle name="Percent (0) 2 2" xfId="27072"/>
    <cellStyle name="Percent (0) 3" xfId="27073"/>
    <cellStyle name="Percent (1)" xfId="27074"/>
    <cellStyle name="Percent (1) 2" xfId="27075"/>
    <cellStyle name="Percent [0]" xfId="27190"/>
    <cellStyle name="Percent [0] 2" xfId="27191"/>
    <cellStyle name="Percent [00]" xfId="27188"/>
    <cellStyle name="Percent [00] 2" xfId="27189"/>
    <cellStyle name="Percent [2]" xfId="27192"/>
    <cellStyle name="Percent [2] 2" xfId="27193"/>
    <cellStyle name="Percent [2] 2 2" xfId="27194"/>
    <cellStyle name="Percent [2] 3" xfId="27195"/>
    <cellStyle name="Percent 1" xfId="27076"/>
    <cellStyle name="Percent 1 2" xfId="27077"/>
    <cellStyle name="Percent 10" xfId="27078"/>
    <cellStyle name="Percent 10 2" xfId="27079"/>
    <cellStyle name="Percent 11" xfId="27080"/>
    <cellStyle name="Percent 11 2" xfId="27081"/>
    <cellStyle name="Percent 12" xfId="27082"/>
    <cellStyle name="Percent 12 2" xfId="27083"/>
    <cellStyle name="Percent 13" xfId="27084"/>
    <cellStyle name="Percent 13 2" xfId="27085"/>
    <cellStyle name="Percent 14" xfId="27086"/>
    <cellStyle name="Percent 14 2" xfId="27087"/>
    <cellStyle name="Percent 15" xfId="27088"/>
    <cellStyle name="Percent 15 2" xfId="27089"/>
    <cellStyle name="Percent 16" xfId="27090"/>
    <cellStyle name="Percent 16 2" xfId="27091"/>
    <cellStyle name="Percent 17" xfId="27092"/>
    <cellStyle name="Percent 17 2" xfId="27093"/>
    <cellStyle name="Percent 18" xfId="27094"/>
    <cellStyle name="Percent 18 2" xfId="27095"/>
    <cellStyle name="Percent 19" xfId="27096"/>
    <cellStyle name="Percent 19 2" xfId="27097"/>
    <cellStyle name="Percent 2" xfId="27098"/>
    <cellStyle name="Percent 2 2" xfId="27099"/>
    <cellStyle name="Percent 2 2 2" xfId="27100"/>
    <cellStyle name="Percent 20" xfId="27101"/>
    <cellStyle name="Percent 3" xfId="27102"/>
    <cellStyle name="Percent 3 2" xfId="27103"/>
    <cellStyle name="Percent 3 2 2" xfId="27104"/>
    <cellStyle name="Percent 3 3" xfId="27105"/>
    <cellStyle name="Percent 3 3 2" xfId="27106"/>
    <cellStyle name="Percent 3 4" xfId="27107"/>
    <cellStyle name="Percent 3 4 2" xfId="27108"/>
    <cellStyle name="Percent 3 5" xfId="27109"/>
    <cellStyle name="Percent 3 5 2" xfId="27110"/>
    <cellStyle name="Percent 3 6" xfId="27111"/>
    <cellStyle name="Percent 3 6 2" xfId="27112"/>
    <cellStyle name="Percent 3 7" xfId="27113"/>
    <cellStyle name="Percent 3 7 2" xfId="27114"/>
    <cellStyle name="Percent 3 8" xfId="27115"/>
    <cellStyle name="Percent 4" xfId="27116"/>
    <cellStyle name="Percent 4 2" xfId="27117"/>
    <cellStyle name="Percent 4 2 2" xfId="27118"/>
    <cellStyle name="Percent 4 3" xfId="27119"/>
    <cellStyle name="Percent 4 3 2" xfId="27120"/>
    <cellStyle name="Percent 4 4" xfId="27121"/>
    <cellStyle name="Percent 4 4 2" xfId="27122"/>
    <cellStyle name="Percent 4 5" xfId="27123"/>
    <cellStyle name="Percent 4 5 2" xfId="27124"/>
    <cellStyle name="Percent 4 6" xfId="27125"/>
    <cellStyle name="Percent 4 6 2" xfId="27126"/>
    <cellStyle name="Percent 4 7" xfId="27127"/>
    <cellStyle name="Percent 4 7 2" xfId="27128"/>
    <cellStyle name="Percent 4 8" xfId="27129"/>
    <cellStyle name="Percent 5" xfId="27130"/>
    <cellStyle name="Percent 5 2" xfId="27131"/>
    <cellStyle name="Percent 5 2 2" xfId="27132"/>
    <cellStyle name="Percent 5 3" xfId="27133"/>
    <cellStyle name="Percent 5 3 2" xfId="27134"/>
    <cellStyle name="Percent 5 4" xfId="27135"/>
    <cellStyle name="Percent 5 4 2" xfId="27136"/>
    <cellStyle name="Percent 5 5" xfId="27137"/>
    <cellStyle name="Percent 5 5 2" xfId="27138"/>
    <cellStyle name="Percent 5 6" xfId="27139"/>
    <cellStyle name="Percent 5 6 2" xfId="27140"/>
    <cellStyle name="Percent 5 7" xfId="27141"/>
    <cellStyle name="Percent 5 7 2" xfId="27142"/>
    <cellStyle name="Percent 5 8" xfId="27143"/>
    <cellStyle name="Percent 6" xfId="27144"/>
    <cellStyle name="Percent 6 2" xfId="27145"/>
    <cellStyle name="Percent 6 2 2" xfId="27146"/>
    <cellStyle name="Percent 6 3" xfId="27147"/>
    <cellStyle name="Percent 6 3 2" xfId="27148"/>
    <cellStyle name="Percent 6 4" xfId="27149"/>
    <cellStyle name="Percent 6 4 2" xfId="27150"/>
    <cellStyle name="Percent 6 5" xfId="27151"/>
    <cellStyle name="Percent 6 5 2" xfId="27152"/>
    <cellStyle name="Percent 6 6" xfId="27153"/>
    <cellStyle name="Percent 6 6 2" xfId="27154"/>
    <cellStyle name="Percent 6 7" xfId="27155"/>
    <cellStyle name="Percent 6 7 2" xfId="27156"/>
    <cellStyle name="Percent 6 8" xfId="27157"/>
    <cellStyle name="Percent 7" xfId="27158"/>
    <cellStyle name="Percent 7 2" xfId="27159"/>
    <cellStyle name="Percent 7 2 2" xfId="27160"/>
    <cellStyle name="Percent 7 3" xfId="27161"/>
    <cellStyle name="Percent 7 3 2" xfId="27162"/>
    <cellStyle name="Percent 7 4" xfId="27163"/>
    <cellStyle name="Percent 7 4 2" xfId="27164"/>
    <cellStyle name="Percent 7 5" xfId="27165"/>
    <cellStyle name="Percent 7 5 2" xfId="27166"/>
    <cellStyle name="Percent 7 6" xfId="27167"/>
    <cellStyle name="Percent 7 6 2" xfId="27168"/>
    <cellStyle name="Percent 7 7" xfId="27169"/>
    <cellStyle name="Percent 7 7 2" xfId="27170"/>
    <cellStyle name="Percent 7 8" xfId="27171"/>
    <cellStyle name="Percent 8" xfId="27172"/>
    <cellStyle name="Percent 8 2" xfId="27173"/>
    <cellStyle name="Percent 8 2 2" xfId="27174"/>
    <cellStyle name="Percent 8 3" xfId="27175"/>
    <cellStyle name="Percent 8 3 2" xfId="27176"/>
    <cellStyle name="Percent 8 4" xfId="27177"/>
    <cellStyle name="Percent 8 4 2" xfId="27178"/>
    <cellStyle name="Percent 8 5" xfId="27179"/>
    <cellStyle name="Percent 8 5 2" xfId="27180"/>
    <cellStyle name="Percent 8 6" xfId="27181"/>
    <cellStyle name="Percent 8 6 2" xfId="27182"/>
    <cellStyle name="Percent 8 7" xfId="27183"/>
    <cellStyle name="Percent 8 7 2" xfId="27184"/>
    <cellStyle name="Percent 8 8" xfId="27185"/>
    <cellStyle name="Percent 9" xfId="27186"/>
    <cellStyle name="Percent 9 2" xfId="27187"/>
    <cellStyle name="Percent_#6 Temps &amp; Contractors" xfId="27196"/>
    <cellStyle name="PrePop Currency (0)" xfId="27197"/>
    <cellStyle name="PrePop Currency (0) 2" xfId="27198"/>
    <cellStyle name="PrePop Currency (2)" xfId="27199"/>
    <cellStyle name="PrePop Currency (2) 2" xfId="27200"/>
    <cellStyle name="PrePop Units (0)" xfId="27201"/>
    <cellStyle name="PrePop Units (0) 2" xfId="27202"/>
    <cellStyle name="PrePop Units (1)" xfId="27203"/>
    <cellStyle name="PrePop Units (1) 2" xfId="27204"/>
    <cellStyle name="PrePop Units (2)" xfId="27205"/>
    <cellStyle name="PrePop Units (2) 2" xfId="27206"/>
    <cellStyle name="PRICE2" xfId="27207"/>
    <cellStyle name="PRICE2 2" xfId="27208"/>
    <cellStyle name="pricing" xfId="27209"/>
    <cellStyle name="pricing 2" xfId="27210"/>
    <cellStyle name="Print Heading" xfId="27211"/>
    <cellStyle name="Print Heading 2" xfId="27212"/>
    <cellStyle name="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십시오.Micr" xfId="27213"/>
    <cellStyle name="Produkt oversk." xfId="27214"/>
    <cellStyle name="Produkt oversk. 2" xfId="27215"/>
    <cellStyle name="PSChar" xfId="27216"/>
    <cellStyle name="PSChar 2" xfId="27217"/>
    <cellStyle name="Q1" xfId="27218"/>
    <cellStyle name="Q1 2" xfId="27219"/>
    <cellStyle name="Q4" xfId="27220"/>
    <cellStyle name="Q4 2" xfId="27221"/>
    <cellStyle name="RAMEY" xfId="27222"/>
    <cellStyle name="Ramey $k" xfId="27223"/>
    <cellStyle name="Ramey $k 2" xfId="27224"/>
    <cellStyle name="RAMEY 2" xfId="27225"/>
    <cellStyle name="RAMEY_P&amp;O BKUP" xfId="27226"/>
    <cellStyle name="Recipe" xfId="27227"/>
    <cellStyle name="Recipe 2" xfId="27228"/>
    <cellStyle name="Recipe Heading" xfId="27229"/>
    <cellStyle name="Recipe Heading 2" xfId="27230"/>
    <cellStyle name="regstoresfromspecstores" xfId="27231"/>
    <cellStyle name="regstoresfromspecstores 2" xfId="27232"/>
    <cellStyle name="Revenue" xfId="27233"/>
    <cellStyle name="Revenue 2" xfId="27234"/>
    <cellStyle name="RevList" xfId="27235"/>
    <cellStyle name="RevList 2" xfId="27236"/>
    <cellStyle name="ri" xfId="27237"/>
    <cellStyle name="ri 2" xfId="27238"/>
    <cellStyle name="riaPrint_AreaPrint_TitlesRecorderData_FormAuto_ActivateAuto_DeactivateSheet_Title_FilterDatabase1WK? SettingsLoad_Chart_WndAFEMonospaceGridlinesProduct ID: 알 수 없는 사용자설치되지 않은 버전*.*메모리가 부족하여 Microsoft Office Excel을 실행할 수 없습니다. 다른 응용 프로그램을 닫은 후 다시 시도하십시오.M" xfId="27239"/>
    <cellStyle name="RptTitle" xfId="27240"/>
    <cellStyle name="RptTitle 2" xfId="27241"/>
    <cellStyle name="s" xfId="27242"/>
    <cellStyle name="S " xfId="27243"/>
    <cellStyle name="S  2" xfId="27244"/>
    <cellStyle name="S  2 2" xfId="27245"/>
    <cellStyle name="S  3" xfId="27246"/>
    <cellStyle name="S  3 2" xfId="27247"/>
    <cellStyle name="S  4" xfId="27248"/>
    <cellStyle name="S  4 2" xfId="27249"/>
    <cellStyle name="S  5" xfId="27250"/>
    <cellStyle name="S  5 2" xfId="27251"/>
    <cellStyle name="S  6" xfId="27252"/>
    <cellStyle name="S  6 2" xfId="27253"/>
    <cellStyle name="S  7" xfId="27254"/>
    <cellStyle name="S  7 2" xfId="27255"/>
    <cellStyle name="S  8" xfId="27256"/>
    <cellStyle name="S  8 2" xfId="27257"/>
    <cellStyle name="s 2" xfId="27258"/>
    <cellStyle name="SAPBEXaggData" xfId="27259"/>
    <cellStyle name="SAPBEXaggData 10" xfId="27260"/>
    <cellStyle name="SAPBEXaggData 10 2" xfId="27261"/>
    <cellStyle name="SAPBEXaggData 11" xfId="27262"/>
    <cellStyle name="SAPBEXaggData 11 2" xfId="27263"/>
    <cellStyle name="SAPBEXaggData 12" xfId="27264"/>
    <cellStyle name="SAPBEXaggData 2" xfId="27265"/>
    <cellStyle name="SAPBEXaggData 2 2" xfId="27266"/>
    <cellStyle name="SAPBEXaggData 3" xfId="27267"/>
    <cellStyle name="SAPBEXaggData 3 2" xfId="27268"/>
    <cellStyle name="SAPBEXaggData 4" xfId="27269"/>
    <cellStyle name="SAPBEXaggData 4 2" xfId="27270"/>
    <cellStyle name="SAPBEXaggData 5" xfId="27271"/>
    <cellStyle name="SAPBEXaggData 5 2" xfId="27272"/>
    <cellStyle name="SAPBEXaggData 6" xfId="27273"/>
    <cellStyle name="SAPBEXaggData 6 2" xfId="27274"/>
    <cellStyle name="SAPBEXaggData 7" xfId="27275"/>
    <cellStyle name="SAPBEXaggData 7 2" xfId="27276"/>
    <cellStyle name="SAPBEXaggData 8" xfId="27277"/>
    <cellStyle name="SAPBEXaggData 8 2" xfId="27278"/>
    <cellStyle name="SAPBEXaggData 9" xfId="27279"/>
    <cellStyle name="SAPBEXaggData 9 2" xfId="27280"/>
    <cellStyle name="SAPBEXaggDataEmph" xfId="27281"/>
    <cellStyle name="SAPBEXaggDataEmph 10" xfId="27282"/>
    <cellStyle name="SAPBEXaggDataEmph 10 2" xfId="27283"/>
    <cellStyle name="SAPBEXaggDataEmph 11" xfId="27284"/>
    <cellStyle name="SAPBEXaggDataEmph 11 2" xfId="27285"/>
    <cellStyle name="SAPBEXaggDataEmph 12" xfId="27286"/>
    <cellStyle name="SAPBEXaggDataEmph 2" xfId="27287"/>
    <cellStyle name="SAPBEXaggDataEmph 2 2" xfId="27288"/>
    <cellStyle name="SAPBEXaggDataEmph 3" xfId="27289"/>
    <cellStyle name="SAPBEXaggDataEmph 3 2" xfId="27290"/>
    <cellStyle name="SAPBEXaggDataEmph 4" xfId="27291"/>
    <cellStyle name="SAPBEXaggDataEmph 4 2" xfId="27292"/>
    <cellStyle name="SAPBEXaggDataEmph 5" xfId="27293"/>
    <cellStyle name="SAPBEXaggDataEmph 5 2" xfId="27294"/>
    <cellStyle name="SAPBEXaggDataEmph 6" xfId="27295"/>
    <cellStyle name="SAPBEXaggDataEmph 6 2" xfId="27296"/>
    <cellStyle name="SAPBEXaggDataEmph 7" xfId="27297"/>
    <cellStyle name="SAPBEXaggDataEmph 7 2" xfId="27298"/>
    <cellStyle name="SAPBEXaggDataEmph 8" xfId="27299"/>
    <cellStyle name="SAPBEXaggDataEmph 8 2" xfId="27300"/>
    <cellStyle name="SAPBEXaggDataEmph 9" xfId="27301"/>
    <cellStyle name="SAPBEXaggDataEmph 9 2" xfId="27302"/>
    <cellStyle name="SAPBEXaggItem" xfId="27303"/>
    <cellStyle name="SAPBEXaggItem 10" xfId="27304"/>
    <cellStyle name="SAPBEXaggItem 10 2" xfId="27305"/>
    <cellStyle name="SAPBEXaggItem 11" xfId="27306"/>
    <cellStyle name="SAPBEXaggItem 11 2" xfId="27307"/>
    <cellStyle name="SAPBEXaggItem 12" xfId="27308"/>
    <cellStyle name="SAPBEXaggItem 2" xfId="27309"/>
    <cellStyle name="SAPBEXaggItem 2 2" xfId="27310"/>
    <cellStyle name="SAPBEXaggItem 3" xfId="27311"/>
    <cellStyle name="SAPBEXaggItem 3 2" xfId="27312"/>
    <cellStyle name="SAPBEXaggItem 4" xfId="27313"/>
    <cellStyle name="SAPBEXaggItem 4 2" xfId="27314"/>
    <cellStyle name="SAPBEXaggItem 5" xfId="27315"/>
    <cellStyle name="SAPBEXaggItem 5 2" xfId="27316"/>
    <cellStyle name="SAPBEXaggItem 6" xfId="27317"/>
    <cellStyle name="SAPBEXaggItem 6 2" xfId="27318"/>
    <cellStyle name="SAPBEXaggItem 7" xfId="27319"/>
    <cellStyle name="SAPBEXaggItem 7 2" xfId="27320"/>
    <cellStyle name="SAPBEXaggItem 8" xfId="27321"/>
    <cellStyle name="SAPBEXaggItem 8 2" xfId="27322"/>
    <cellStyle name="SAPBEXaggItem 9" xfId="27323"/>
    <cellStyle name="SAPBEXaggItem 9 2" xfId="27324"/>
    <cellStyle name="SAPBEXaggItemX" xfId="27325"/>
    <cellStyle name="SAPBEXaggItemX 2" xfId="27326"/>
    <cellStyle name="SAPBEXchaText" xfId="27327"/>
    <cellStyle name="SAPBEXchaText 10" xfId="27328"/>
    <cellStyle name="SAPBEXchaText 10 2" xfId="27329"/>
    <cellStyle name="SAPBEXchaText 11" xfId="27330"/>
    <cellStyle name="SAPBEXchaText 11 2" xfId="27331"/>
    <cellStyle name="SAPBEXchaText 12" xfId="27332"/>
    <cellStyle name="SAPBEXchaText 2" xfId="27333"/>
    <cellStyle name="SAPBEXchaText 2 2" xfId="27334"/>
    <cellStyle name="SAPBEXchaText 3" xfId="27335"/>
    <cellStyle name="SAPBEXchaText 3 2" xfId="27336"/>
    <cellStyle name="SAPBEXchaText 4" xfId="27337"/>
    <cellStyle name="SAPBEXchaText 4 2" xfId="27338"/>
    <cellStyle name="SAPBEXchaText 5" xfId="27339"/>
    <cellStyle name="SAPBEXchaText 5 2" xfId="27340"/>
    <cellStyle name="SAPBEXchaText 6" xfId="27341"/>
    <cellStyle name="SAPBEXchaText 6 2" xfId="27342"/>
    <cellStyle name="SAPBEXchaText 7" xfId="27343"/>
    <cellStyle name="SAPBEXchaText 7 2" xfId="27344"/>
    <cellStyle name="SAPBEXchaText 8" xfId="27345"/>
    <cellStyle name="SAPBEXchaText 8 2" xfId="27346"/>
    <cellStyle name="SAPBEXchaText 9" xfId="27347"/>
    <cellStyle name="SAPBEXchaText 9 2" xfId="27348"/>
    <cellStyle name="SAPBEXexcBad7" xfId="27349"/>
    <cellStyle name="SAPBEXexcBad7 10" xfId="27350"/>
    <cellStyle name="SAPBEXexcBad7 10 2" xfId="27351"/>
    <cellStyle name="SAPBEXexcBad7 11" xfId="27352"/>
    <cellStyle name="SAPBEXexcBad7 11 2" xfId="27353"/>
    <cellStyle name="SAPBEXexcBad7 12" xfId="27354"/>
    <cellStyle name="SAPBEXexcBad7 2" xfId="27355"/>
    <cellStyle name="SAPBEXexcBad7 2 2" xfId="27356"/>
    <cellStyle name="SAPBEXexcBad7 3" xfId="27357"/>
    <cellStyle name="SAPBEXexcBad7 3 2" xfId="27358"/>
    <cellStyle name="SAPBEXexcBad7 4" xfId="27359"/>
    <cellStyle name="SAPBEXexcBad7 4 2" xfId="27360"/>
    <cellStyle name="SAPBEXexcBad7 5" xfId="27361"/>
    <cellStyle name="SAPBEXexcBad7 5 2" xfId="27362"/>
    <cellStyle name="SAPBEXexcBad7 6" xfId="27363"/>
    <cellStyle name="SAPBEXexcBad7 6 2" xfId="27364"/>
    <cellStyle name="SAPBEXexcBad7 7" xfId="27365"/>
    <cellStyle name="SAPBEXexcBad7 7 2" xfId="27366"/>
    <cellStyle name="SAPBEXexcBad7 8" xfId="27367"/>
    <cellStyle name="SAPBEXexcBad7 8 2" xfId="27368"/>
    <cellStyle name="SAPBEXexcBad7 9" xfId="27369"/>
    <cellStyle name="SAPBEXexcBad7 9 2" xfId="27370"/>
    <cellStyle name="SAPBEXexcBad8" xfId="27371"/>
    <cellStyle name="SAPBEXexcBad8 10" xfId="27372"/>
    <cellStyle name="SAPBEXexcBad8 10 2" xfId="27373"/>
    <cellStyle name="SAPBEXexcBad8 11" xfId="27374"/>
    <cellStyle name="SAPBEXexcBad8 11 2" xfId="27375"/>
    <cellStyle name="SAPBEXexcBad8 12" xfId="27376"/>
    <cellStyle name="SAPBEXexcBad8 2" xfId="27377"/>
    <cellStyle name="SAPBEXexcBad8 2 2" xfId="27378"/>
    <cellStyle name="SAPBEXexcBad8 3" xfId="27379"/>
    <cellStyle name="SAPBEXexcBad8 3 2" xfId="27380"/>
    <cellStyle name="SAPBEXexcBad8 4" xfId="27381"/>
    <cellStyle name="SAPBEXexcBad8 4 2" xfId="27382"/>
    <cellStyle name="SAPBEXexcBad8 5" xfId="27383"/>
    <cellStyle name="SAPBEXexcBad8 5 2" xfId="27384"/>
    <cellStyle name="SAPBEXexcBad8 6" xfId="27385"/>
    <cellStyle name="SAPBEXexcBad8 6 2" xfId="27386"/>
    <cellStyle name="SAPBEXexcBad8 7" xfId="27387"/>
    <cellStyle name="SAPBEXexcBad8 7 2" xfId="27388"/>
    <cellStyle name="SAPBEXexcBad8 8" xfId="27389"/>
    <cellStyle name="SAPBEXexcBad8 8 2" xfId="27390"/>
    <cellStyle name="SAPBEXexcBad8 9" xfId="27391"/>
    <cellStyle name="SAPBEXexcBad8 9 2" xfId="27392"/>
    <cellStyle name="SAPBEXexcBad9" xfId="27393"/>
    <cellStyle name="SAPBEXexcBad9 10" xfId="27394"/>
    <cellStyle name="SAPBEXexcBad9 10 2" xfId="27395"/>
    <cellStyle name="SAPBEXexcBad9 11" xfId="27396"/>
    <cellStyle name="SAPBEXexcBad9 11 2" xfId="27397"/>
    <cellStyle name="SAPBEXexcBad9 12" xfId="27398"/>
    <cellStyle name="SAPBEXexcBad9 2" xfId="27399"/>
    <cellStyle name="SAPBEXexcBad9 2 2" xfId="27400"/>
    <cellStyle name="SAPBEXexcBad9 3" xfId="27401"/>
    <cellStyle name="SAPBEXexcBad9 3 2" xfId="27402"/>
    <cellStyle name="SAPBEXexcBad9 4" xfId="27403"/>
    <cellStyle name="SAPBEXexcBad9 4 2" xfId="27404"/>
    <cellStyle name="SAPBEXexcBad9 5" xfId="27405"/>
    <cellStyle name="SAPBEXexcBad9 5 2" xfId="27406"/>
    <cellStyle name="SAPBEXexcBad9 6" xfId="27407"/>
    <cellStyle name="SAPBEXexcBad9 6 2" xfId="27408"/>
    <cellStyle name="SAPBEXexcBad9 7" xfId="27409"/>
    <cellStyle name="SAPBEXexcBad9 7 2" xfId="27410"/>
    <cellStyle name="SAPBEXexcBad9 8" xfId="27411"/>
    <cellStyle name="SAPBEXexcBad9 8 2" xfId="27412"/>
    <cellStyle name="SAPBEXexcBad9 9" xfId="27413"/>
    <cellStyle name="SAPBEXexcBad9 9 2" xfId="27414"/>
    <cellStyle name="SAPBEXexcCritical4" xfId="27415"/>
    <cellStyle name="SAPBEXexcCritical4 10" xfId="27416"/>
    <cellStyle name="SAPBEXexcCritical4 10 2" xfId="27417"/>
    <cellStyle name="SAPBEXexcCritical4 11" xfId="27418"/>
    <cellStyle name="SAPBEXexcCritical4 11 2" xfId="27419"/>
    <cellStyle name="SAPBEXexcCritical4 12" xfId="27420"/>
    <cellStyle name="SAPBEXexcCritical4 2" xfId="27421"/>
    <cellStyle name="SAPBEXexcCritical4 2 2" xfId="27422"/>
    <cellStyle name="SAPBEXexcCritical4 3" xfId="27423"/>
    <cellStyle name="SAPBEXexcCritical4 3 2" xfId="27424"/>
    <cellStyle name="SAPBEXexcCritical4 4" xfId="27425"/>
    <cellStyle name="SAPBEXexcCritical4 4 2" xfId="27426"/>
    <cellStyle name="SAPBEXexcCritical4 5" xfId="27427"/>
    <cellStyle name="SAPBEXexcCritical4 5 2" xfId="27428"/>
    <cellStyle name="SAPBEXexcCritical4 6" xfId="27429"/>
    <cellStyle name="SAPBEXexcCritical4 6 2" xfId="27430"/>
    <cellStyle name="SAPBEXexcCritical4 7" xfId="27431"/>
    <cellStyle name="SAPBEXexcCritical4 7 2" xfId="27432"/>
    <cellStyle name="SAPBEXexcCritical4 8" xfId="27433"/>
    <cellStyle name="SAPBEXexcCritical4 8 2" xfId="27434"/>
    <cellStyle name="SAPBEXexcCritical4 9" xfId="27435"/>
    <cellStyle name="SAPBEXexcCritical4 9 2" xfId="27436"/>
    <cellStyle name="SAPBEXexcCritical5" xfId="27437"/>
    <cellStyle name="SAPBEXexcCritical5 10" xfId="27438"/>
    <cellStyle name="SAPBEXexcCritical5 10 2" xfId="27439"/>
    <cellStyle name="SAPBEXexcCritical5 11" xfId="27440"/>
    <cellStyle name="SAPBEXexcCritical5 11 2" xfId="27441"/>
    <cellStyle name="SAPBEXexcCritical5 12" xfId="27442"/>
    <cellStyle name="SAPBEXexcCritical5 2" xfId="27443"/>
    <cellStyle name="SAPBEXexcCritical5 2 2" xfId="27444"/>
    <cellStyle name="SAPBEXexcCritical5 3" xfId="27445"/>
    <cellStyle name="SAPBEXexcCritical5 3 2" xfId="27446"/>
    <cellStyle name="SAPBEXexcCritical5 4" xfId="27447"/>
    <cellStyle name="SAPBEXexcCritical5 4 2" xfId="27448"/>
    <cellStyle name="SAPBEXexcCritical5 5" xfId="27449"/>
    <cellStyle name="SAPBEXexcCritical5 5 2" xfId="27450"/>
    <cellStyle name="SAPBEXexcCritical5 6" xfId="27451"/>
    <cellStyle name="SAPBEXexcCritical5 6 2" xfId="27452"/>
    <cellStyle name="SAPBEXexcCritical5 7" xfId="27453"/>
    <cellStyle name="SAPBEXexcCritical5 7 2" xfId="27454"/>
    <cellStyle name="SAPBEXexcCritical5 8" xfId="27455"/>
    <cellStyle name="SAPBEXexcCritical5 8 2" xfId="27456"/>
    <cellStyle name="SAPBEXexcCritical5 9" xfId="27457"/>
    <cellStyle name="SAPBEXexcCritical5 9 2" xfId="27458"/>
    <cellStyle name="SAPBEXexcCritical6" xfId="27459"/>
    <cellStyle name="SAPBEXexcCritical6 10" xfId="27460"/>
    <cellStyle name="SAPBEXexcCritical6 10 2" xfId="27461"/>
    <cellStyle name="SAPBEXexcCritical6 11" xfId="27462"/>
    <cellStyle name="SAPBEXexcCritical6 11 2" xfId="27463"/>
    <cellStyle name="SAPBEXexcCritical6 12" xfId="27464"/>
    <cellStyle name="SAPBEXexcCritical6 2" xfId="27465"/>
    <cellStyle name="SAPBEXexcCritical6 2 2" xfId="27466"/>
    <cellStyle name="SAPBEXexcCritical6 3" xfId="27467"/>
    <cellStyle name="SAPBEXexcCritical6 3 2" xfId="27468"/>
    <cellStyle name="SAPBEXexcCritical6 4" xfId="27469"/>
    <cellStyle name="SAPBEXexcCritical6 4 2" xfId="27470"/>
    <cellStyle name="SAPBEXexcCritical6 5" xfId="27471"/>
    <cellStyle name="SAPBEXexcCritical6 5 2" xfId="27472"/>
    <cellStyle name="SAPBEXexcCritical6 6" xfId="27473"/>
    <cellStyle name="SAPBEXexcCritical6 6 2" xfId="27474"/>
    <cellStyle name="SAPBEXexcCritical6 7" xfId="27475"/>
    <cellStyle name="SAPBEXexcCritical6 7 2" xfId="27476"/>
    <cellStyle name="SAPBEXexcCritical6 8" xfId="27477"/>
    <cellStyle name="SAPBEXexcCritical6 8 2" xfId="27478"/>
    <cellStyle name="SAPBEXexcCritical6 9" xfId="27479"/>
    <cellStyle name="SAPBEXexcCritical6 9 2" xfId="27480"/>
    <cellStyle name="SAPBEXexcGood1" xfId="27481"/>
    <cellStyle name="SAPBEXexcGood1 10" xfId="27482"/>
    <cellStyle name="SAPBEXexcGood1 10 2" xfId="27483"/>
    <cellStyle name="SAPBEXexcGood1 11" xfId="27484"/>
    <cellStyle name="SAPBEXexcGood1 11 2" xfId="27485"/>
    <cellStyle name="SAPBEXexcGood1 12" xfId="27486"/>
    <cellStyle name="SAPBEXexcGood1 2" xfId="27487"/>
    <cellStyle name="SAPBEXexcGood1 2 2" xfId="27488"/>
    <cellStyle name="SAPBEXexcGood1 3" xfId="27489"/>
    <cellStyle name="SAPBEXexcGood1 3 2" xfId="27490"/>
    <cellStyle name="SAPBEXexcGood1 4" xfId="27491"/>
    <cellStyle name="SAPBEXexcGood1 4 2" xfId="27492"/>
    <cellStyle name="SAPBEXexcGood1 5" xfId="27493"/>
    <cellStyle name="SAPBEXexcGood1 5 2" xfId="27494"/>
    <cellStyle name="SAPBEXexcGood1 6" xfId="27495"/>
    <cellStyle name="SAPBEXexcGood1 6 2" xfId="27496"/>
    <cellStyle name="SAPBEXexcGood1 7" xfId="27497"/>
    <cellStyle name="SAPBEXexcGood1 7 2" xfId="27498"/>
    <cellStyle name="SAPBEXexcGood1 8" xfId="27499"/>
    <cellStyle name="SAPBEXexcGood1 8 2" xfId="27500"/>
    <cellStyle name="SAPBEXexcGood1 9" xfId="27501"/>
    <cellStyle name="SAPBEXexcGood1 9 2" xfId="27502"/>
    <cellStyle name="SAPBEXexcGood2" xfId="27503"/>
    <cellStyle name="SAPBEXexcGood2 10" xfId="27504"/>
    <cellStyle name="SAPBEXexcGood2 10 2" xfId="27505"/>
    <cellStyle name="SAPBEXexcGood2 11" xfId="27506"/>
    <cellStyle name="SAPBEXexcGood2 11 2" xfId="27507"/>
    <cellStyle name="SAPBEXexcGood2 12" xfId="27508"/>
    <cellStyle name="SAPBEXexcGood2 2" xfId="27509"/>
    <cellStyle name="SAPBEXexcGood2 2 2" xfId="27510"/>
    <cellStyle name="SAPBEXexcGood2 3" xfId="27511"/>
    <cellStyle name="SAPBEXexcGood2 3 2" xfId="27512"/>
    <cellStyle name="SAPBEXexcGood2 4" xfId="27513"/>
    <cellStyle name="SAPBEXexcGood2 4 2" xfId="27514"/>
    <cellStyle name="SAPBEXexcGood2 5" xfId="27515"/>
    <cellStyle name="SAPBEXexcGood2 5 2" xfId="27516"/>
    <cellStyle name="SAPBEXexcGood2 6" xfId="27517"/>
    <cellStyle name="SAPBEXexcGood2 6 2" xfId="27518"/>
    <cellStyle name="SAPBEXexcGood2 7" xfId="27519"/>
    <cellStyle name="SAPBEXexcGood2 7 2" xfId="27520"/>
    <cellStyle name="SAPBEXexcGood2 8" xfId="27521"/>
    <cellStyle name="SAPBEXexcGood2 8 2" xfId="27522"/>
    <cellStyle name="SAPBEXexcGood2 9" xfId="27523"/>
    <cellStyle name="SAPBEXexcGood2 9 2" xfId="27524"/>
    <cellStyle name="SAPBEXexcGood3" xfId="27525"/>
    <cellStyle name="SAPBEXexcGood3 10" xfId="27526"/>
    <cellStyle name="SAPBEXexcGood3 10 2" xfId="27527"/>
    <cellStyle name="SAPBEXexcGood3 11" xfId="27528"/>
    <cellStyle name="SAPBEXexcGood3 11 2" xfId="27529"/>
    <cellStyle name="SAPBEXexcGood3 12" xfId="27530"/>
    <cellStyle name="SAPBEXexcGood3 2" xfId="27531"/>
    <cellStyle name="SAPBEXexcGood3 2 2" xfId="27532"/>
    <cellStyle name="SAPBEXexcGood3 3" xfId="27533"/>
    <cellStyle name="SAPBEXexcGood3 3 2" xfId="27534"/>
    <cellStyle name="SAPBEXexcGood3 4" xfId="27535"/>
    <cellStyle name="SAPBEXexcGood3 4 2" xfId="27536"/>
    <cellStyle name="SAPBEXexcGood3 5" xfId="27537"/>
    <cellStyle name="SAPBEXexcGood3 5 2" xfId="27538"/>
    <cellStyle name="SAPBEXexcGood3 6" xfId="27539"/>
    <cellStyle name="SAPBEXexcGood3 6 2" xfId="27540"/>
    <cellStyle name="SAPBEXexcGood3 7" xfId="27541"/>
    <cellStyle name="SAPBEXexcGood3 7 2" xfId="27542"/>
    <cellStyle name="SAPBEXexcGood3 8" xfId="27543"/>
    <cellStyle name="SAPBEXexcGood3 8 2" xfId="27544"/>
    <cellStyle name="SAPBEXexcGood3 9" xfId="27545"/>
    <cellStyle name="SAPBEXexcGood3 9 2" xfId="27546"/>
    <cellStyle name="SAPBEXfilterDrill" xfId="27547"/>
    <cellStyle name="SAPBEXfilterDrill 10" xfId="27548"/>
    <cellStyle name="SAPBEXfilterDrill 10 2" xfId="27549"/>
    <cellStyle name="SAPBEXfilterDrill 11" xfId="27550"/>
    <cellStyle name="SAPBEXfilterDrill 11 2" xfId="27551"/>
    <cellStyle name="SAPBEXfilterDrill 12" xfId="27552"/>
    <cellStyle name="SAPBEXfilterDrill 2" xfId="27553"/>
    <cellStyle name="SAPBEXfilterDrill 2 2" xfId="27554"/>
    <cellStyle name="SAPBEXfilterDrill 3" xfId="27555"/>
    <cellStyle name="SAPBEXfilterDrill 3 2" xfId="27556"/>
    <cellStyle name="SAPBEXfilterDrill 4" xfId="27557"/>
    <cellStyle name="SAPBEXfilterDrill 4 2" xfId="27558"/>
    <cellStyle name="SAPBEXfilterDrill 5" xfId="27559"/>
    <cellStyle name="SAPBEXfilterDrill 5 2" xfId="27560"/>
    <cellStyle name="SAPBEXfilterDrill 6" xfId="27561"/>
    <cellStyle name="SAPBEXfilterDrill 6 2" xfId="27562"/>
    <cellStyle name="SAPBEXfilterDrill 7" xfId="27563"/>
    <cellStyle name="SAPBEXfilterDrill 7 2" xfId="27564"/>
    <cellStyle name="SAPBEXfilterDrill 8" xfId="27565"/>
    <cellStyle name="SAPBEXfilterDrill 8 2" xfId="27566"/>
    <cellStyle name="SAPBEXfilterDrill 9" xfId="27567"/>
    <cellStyle name="SAPBEXfilterDrill 9 2" xfId="27568"/>
    <cellStyle name="SAPBEXfilterItem" xfId="27569"/>
    <cellStyle name="SAPBEXfilterItem 10" xfId="27570"/>
    <cellStyle name="SAPBEXfilterItem 10 2" xfId="27571"/>
    <cellStyle name="SAPBEXfilterItem 11" xfId="27572"/>
    <cellStyle name="SAPBEXfilterItem 11 2" xfId="27573"/>
    <cellStyle name="SAPBEXfilterItem 12" xfId="27574"/>
    <cellStyle name="SAPBEXfilterItem 2" xfId="27575"/>
    <cellStyle name="SAPBEXfilterItem 2 2" xfId="27576"/>
    <cellStyle name="SAPBEXfilterItem 3" xfId="27577"/>
    <cellStyle name="SAPBEXfilterItem 3 2" xfId="27578"/>
    <cellStyle name="SAPBEXfilterItem 4" xfId="27579"/>
    <cellStyle name="SAPBEXfilterItem 4 2" xfId="27580"/>
    <cellStyle name="SAPBEXfilterItem 5" xfId="27581"/>
    <cellStyle name="SAPBEXfilterItem 5 2" xfId="27582"/>
    <cellStyle name="SAPBEXfilterItem 6" xfId="27583"/>
    <cellStyle name="SAPBEXfilterItem 6 2" xfId="27584"/>
    <cellStyle name="SAPBEXfilterItem 7" xfId="27585"/>
    <cellStyle name="SAPBEXfilterItem 7 2" xfId="27586"/>
    <cellStyle name="SAPBEXfilterItem 8" xfId="27587"/>
    <cellStyle name="SAPBEXfilterItem 8 2" xfId="27588"/>
    <cellStyle name="SAPBEXfilterItem 9" xfId="27589"/>
    <cellStyle name="SAPBEXfilterItem 9 2" xfId="27590"/>
    <cellStyle name="SAPBEXfilterText" xfId="27591"/>
    <cellStyle name="SAPBEXfilterText 2" xfId="27592"/>
    <cellStyle name="SAPBEXformats" xfId="27593"/>
    <cellStyle name="SAPBEXformats 10" xfId="27594"/>
    <cellStyle name="SAPBEXformats 10 2" xfId="27595"/>
    <cellStyle name="SAPBEXformats 11" xfId="27596"/>
    <cellStyle name="SAPBEXformats 11 2" xfId="27597"/>
    <cellStyle name="SAPBEXformats 12" xfId="27598"/>
    <cellStyle name="SAPBEXformats 2" xfId="27599"/>
    <cellStyle name="SAPBEXformats 2 2" xfId="27600"/>
    <cellStyle name="SAPBEXformats 3" xfId="27601"/>
    <cellStyle name="SAPBEXformats 3 2" xfId="27602"/>
    <cellStyle name="SAPBEXformats 4" xfId="27603"/>
    <cellStyle name="SAPBEXformats 4 2" xfId="27604"/>
    <cellStyle name="SAPBEXformats 5" xfId="27605"/>
    <cellStyle name="SAPBEXformats 5 2" xfId="27606"/>
    <cellStyle name="SAPBEXformats 6" xfId="27607"/>
    <cellStyle name="SAPBEXformats 6 2" xfId="27608"/>
    <cellStyle name="SAPBEXformats 7" xfId="27609"/>
    <cellStyle name="SAPBEXformats 7 2" xfId="27610"/>
    <cellStyle name="SAPBEXformats 8" xfId="27611"/>
    <cellStyle name="SAPBEXformats 8 2" xfId="27612"/>
    <cellStyle name="SAPBEXformats 9" xfId="27613"/>
    <cellStyle name="SAPBEXformats 9 2" xfId="27614"/>
    <cellStyle name="SAPBEXheaderItem" xfId="27615"/>
    <cellStyle name="SAPBEXheaderItem 10" xfId="27616"/>
    <cellStyle name="SAPBEXheaderItem 10 2" xfId="27617"/>
    <cellStyle name="SAPBEXheaderItem 11" xfId="27618"/>
    <cellStyle name="SAPBEXheaderItem 11 2" xfId="27619"/>
    <cellStyle name="SAPBEXheaderItem 12" xfId="27620"/>
    <cellStyle name="SAPBEXheaderItem 2" xfId="27621"/>
    <cellStyle name="SAPBEXheaderItem 2 2" xfId="27622"/>
    <cellStyle name="SAPBEXheaderItem 3" xfId="27623"/>
    <cellStyle name="SAPBEXheaderItem 3 2" xfId="27624"/>
    <cellStyle name="SAPBEXheaderItem 4" xfId="27625"/>
    <cellStyle name="SAPBEXheaderItem 4 2" xfId="27626"/>
    <cellStyle name="SAPBEXheaderItem 5" xfId="27627"/>
    <cellStyle name="SAPBEXheaderItem 5 2" xfId="27628"/>
    <cellStyle name="SAPBEXheaderItem 6" xfId="27629"/>
    <cellStyle name="SAPBEXheaderItem 6 2" xfId="27630"/>
    <cellStyle name="SAPBEXheaderItem 7" xfId="27631"/>
    <cellStyle name="SAPBEXheaderItem 7 2" xfId="27632"/>
    <cellStyle name="SAPBEXheaderItem 8" xfId="27633"/>
    <cellStyle name="SAPBEXheaderItem 8 2" xfId="27634"/>
    <cellStyle name="SAPBEXheaderItem 9" xfId="27635"/>
    <cellStyle name="SAPBEXheaderItem 9 2" xfId="27636"/>
    <cellStyle name="SAPBEXheaderText" xfId="27637"/>
    <cellStyle name="SAPBEXheaderText 10" xfId="27638"/>
    <cellStyle name="SAPBEXheaderText 10 2" xfId="27639"/>
    <cellStyle name="SAPBEXheaderText 11" xfId="27640"/>
    <cellStyle name="SAPBEXheaderText 11 2" xfId="27641"/>
    <cellStyle name="SAPBEXheaderText 12" xfId="27642"/>
    <cellStyle name="SAPBEXheaderText 2" xfId="27643"/>
    <cellStyle name="SAPBEXheaderText 2 2" xfId="27644"/>
    <cellStyle name="SAPBEXheaderText 3" xfId="27645"/>
    <cellStyle name="SAPBEXheaderText 3 2" xfId="27646"/>
    <cellStyle name="SAPBEXheaderText 4" xfId="27647"/>
    <cellStyle name="SAPBEXheaderText 4 2" xfId="27648"/>
    <cellStyle name="SAPBEXheaderText 5" xfId="27649"/>
    <cellStyle name="SAPBEXheaderText 5 2" xfId="27650"/>
    <cellStyle name="SAPBEXheaderText 6" xfId="27651"/>
    <cellStyle name="SAPBEXheaderText 6 2" xfId="27652"/>
    <cellStyle name="SAPBEXheaderText 7" xfId="27653"/>
    <cellStyle name="SAPBEXheaderText 7 2" xfId="27654"/>
    <cellStyle name="SAPBEXheaderText 8" xfId="27655"/>
    <cellStyle name="SAPBEXheaderText 8 2" xfId="27656"/>
    <cellStyle name="SAPBEXheaderText 9" xfId="27657"/>
    <cellStyle name="SAPBEXheaderText 9 2" xfId="27658"/>
    <cellStyle name="SAPBEXHLevel0" xfId="27659"/>
    <cellStyle name="SAPBEXHLevel0 2" xfId="27660"/>
    <cellStyle name="SAPBEXHLevel0X" xfId="27661"/>
    <cellStyle name="SAPBEXHLevel0X 2" xfId="27662"/>
    <cellStyle name="SAPBEXHLevel1" xfId="27663"/>
    <cellStyle name="SAPBEXHLevel1 2" xfId="27664"/>
    <cellStyle name="SAPBEXHLevel1X" xfId="27665"/>
    <cellStyle name="SAPBEXHLevel1X 2" xfId="27666"/>
    <cellStyle name="SAPBEXHLevel2" xfId="27667"/>
    <cellStyle name="SAPBEXHLevel2 2" xfId="27668"/>
    <cellStyle name="SAPBEXHLevel2X" xfId="27669"/>
    <cellStyle name="SAPBEXHLevel2X 2" xfId="27670"/>
    <cellStyle name="SAPBEXHLevel3" xfId="27671"/>
    <cellStyle name="SAPBEXHLevel3 2" xfId="27672"/>
    <cellStyle name="SAPBEXHLevel3X" xfId="27673"/>
    <cellStyle name="SAPBEXHLevel3X 2" xfId="27674"/>
    <cellStyle name="SAPBEXresData" xfId="27675"/>
    <cellStyle name="SAPBEXresData 10" xfId="27676"/>
    <cellStyle name="SAPBEXresData 10 2" xfId="27677"/>
    <cellStyle name="SAPBEXresData 11" xfId="27678"/>
    <cellStyle name="SAPBEXresData 11 2" xfId="27679"/>
    <cellStyle name="SAPBEXresData 12" xfId="27680"/>
    <cellStyle name="SAPBEXresData 2" xfId="27681"/>
    <cellStyle name="SAPBEXresData 2 2" xfId="27682"/>
    <cellStyle name="SAPBEXresData 3" xfId="27683"/>
    <cellStyle name="SAPBEXresData 3 2" xfId="27684"/>
    <cellStyle name="SAPBEXresData 4" xfId="27685"/>
    <cellStyle name="SAPBEXresData 4 2" xfId="27686"/>
    <cellStyle name="SAPBEXresData 5" xfId="27687"/>
    <cellStyle name="SAPBEXresData 5 2" xfId="27688"/>
    <cellStyle name="SAPBEXresData 6" xfId="27689"/>
    <cellStyle name="SAPBEXresData 6 2" xfId="27690"/>
    <cellStyle name="SAPBEXresData 7" xfId="27691"/>
    <cellStyle name="SAPBEXresData 7 2" xfId="27692"/>
    <cellStyle name="SAPBEXresData 8" xfId="27693"/>
    <cellStyle name="SAPBEXresData 8 2" xfId="27694"/>
    <cellStyle name="SAPBEXresData 9" xfId="27695"/>
    <cellStyle name="SAPBEXresData 9 2" xfId="27696"/>
    <cellStyle name="SAPBEXresDataEmph" xfId="27697"/>
    <cellStyle name="SAPBEXresDataEmph 10" xfId="27698"/>
    <cellStyle name="SAPBEXresDataEmph 10 2" xfId="27699"/>
    <cellStyle name="SAPBEXresDataEmph 11" xfId="27700"/>
    <cellStyle name="SAPBEXresDataEmph 11 2" xfId="27701"/>
    <cellStyle name="SAPBEXresDataEmph 12" xfId="27702"/>
    <cellStyle name="SAPBEXresDataEmph 2" xfId="27703"/>
    <cellStyle name="SAPBEXresDataEmph 2 2" xfId="27704"/>
    <cellStyle name="SAPBEXresDataEmph 3" xfId="27705"/>
    <cellStyle name="SAPBEXresDataEmph 3 2" xfId="27706"/>
    <cellStyle name="SAPBEXresDataEmph 4" xfId="27707"/>
    <cellStyle name="SAPBEXresDataEmph 4 2" xfId="27708"/>
    <cellStyle name="SAPBEXresDataEmph 5" xfId="27709"/>
    <cellStyle name="SAPBEXresDataEmph 5 2" xfId="27710"/>
    <cellStyle name="SAPBEXresDataEmph 6" xfId="27711"/>
    <cellStyle name="SAPBEXresDataEmph 6 2" xfId="27712"/>
    <cellStyle name="SAPBEXresDataEmph 7" xfId="27713"/>
    <cellStyle name="SAPBEXresDataEmph 7 2" xfId="27714"/>
    <cellStyle name="SAPBEXresDataEmph 8" xfId="27715"/>
    <cellStyle name="SAPBEXresDataEmph 8 2" xfId="27716"/>
    <cellStyle name="SAPBEXresDataEmph 9" xfId="27717"/>
    <cellStyle name="SAPBEXresDataEmph 9 2" xfId="27718"/>
    <cellStyle name="SAPBEXresItem" xfId="27719"/>
    <cellStyle name="SAPBEXresItem 10" xfId="27720"/>
    <cellStyle name="SAPBEXresItem 10 2" xfId="27721"/>
    <cellStyle name="SAPBEXresItem 11" xfId="27722"/>
    <cellStyle name="SAPBEXresItem 11 2" xfId="27723"/>
    <cellStyle name="SAPBEXresItem 12" xfId="27724"/>
    <cellStyle name="SAPBEXresItem 2" xfId="27725"/>
    <cellStyle name="SAPBEXresItem 2 2" xfId="27726"/>
    <cellStyle name="SAPBEXresItem 3" xfId="27727"/>
    <cellStyle name="SAPBEXresItem 3 2" xfId="27728"/>
    <cellStyle name="SAPBEXresItem 4" xfId="27729"/>
    <cellStyle name="SAPBEXresItem 4 2" xfId="27730"/>
    <cellStyle name="SAPBEXresItem 5" xfId="27731"/>
    <cellStyle name="SAPBEXresItem 5 2" xfId="27732"/>
    <cellStyle name="SAPBEXresItem 6" xfId="27733"/>
    <cellStyle name="SAPBEXresItem 6 2" xfId="27734"/>
    <cellStyle name="SAPBEXresItem 7" xfId="27735"/>
    <cellStyle name="SAPBEXresItem 7 2" xfId="27736"/>
    <cellStyle name="SAPBEXresItem 8" xfId="27737"/>
    <cellStyle name="SAPBEXresItem 8 2" xfId="27738"/>
    <cellStyle name="SAPBEXresItem 9" xfId="27739"/>
    <cellStyle name="SAPBEXresItem 9 2" xfId="27740"/>
    <cellStyle name="SAPBEXresItemX" xfId="27741"/>
    <cellStyle name="SAPBEXresItemX 2" xfId="27742"/>
    <cellStyle name="SAPBEXstdData" xfId="27743"/>
    <cellStyle name="SAPBEXstdData 10" xfId="27744"/>
    <cellStyle name="SAPBEXstdData 10 2" xfId="27745"/>
    <cellStyle name="SAPBEXstdData 11" xfId="27746"/>
    <cellStyle name="SAPBEXstdData 11 2" xfId="27747"/>
    <cellStyle name="SAPBEXstdData 12" xfId="27748"/>
    <cellStyle name="SAPBEXstdData 2" xfId="27749"/>
    <cellStyle name="SAPBEXstdData 2 2" xfId="27750"/>
    <cellStyle name="SAPBEXstdData 3" xfId="27751"/>
    <cellStyle name="SAPBEXstdData 3 2" xfId="27752"/>
    <cellStyle name="SAPBEXstdData 4" xfId="27753"/>
    <cellStyle name="SAPBEXstdData 4 2" xfId="27754"/>
    <cellStyle name="SAPBEXstdData 5" xfId="27755"/>
    <cellStyle name="SAPBEXstdData 5 2" xfId="27756"/>
    <cellStyle name="SAPBEXstdData 6" xfId="27757"/>
    <cellStyle name="SAPBEXstdData 6 2" xfId="27758"/>
    <cellStyle name="SAPBEXstdData 7" xfId="27759"/>
    <cellStyle name="SAPBEXstdData 7 2" xfId="27760"/>
    <cellStyle name="SAPBEXstdData 8" xfId="27761"/>
    <cellStyle name="SAPBEXstdData 8 2" xfId="27762"/>
    <cellStyle name="SAPBEXstdData 9" xfId="27763"/>
    <cellStyle name="SAPBEXstdData 9 2" xfId="27764"/>
    <cellStyle name="SAPBEXstdDataEmph" xfId="27765"/>
    <cellStyle name="SAPBEXstdDataEmph 10" xfId="27766"/>
    <cellStyle name="SAPBEXstdDataEmph 10 2" xfId="27767"/>
    <cellStyle name="SAPBEXstdDataEmph 11" xfId="27768"/>
    <cellStyle name="SAPBEXstdDataEmph 11 2" xfId="27769"/>
    <cellStyle name="SAPBEXstdDataEmph 12" xfId="27770"/>
    <cellStyle name="SAPBEXstdDataEmph 2" xfId="27771"/>
    <cellStyle name="SAPBEXstdDataEmph 2 2" xfId="27772"/>
    <cellStyle name="SAPBEXstdDataEmph 3" xfId="27773"/>
    <cellStyle name="SAPBEXstdDataEmph 3 2" xfId="27774"/>
    <cellStyle name="SAPBEXstdDataEmph 4" xfId="27775"/>
    <cellStyle name="SAPBEXstdDataEmph 4 2" xfId="27776"/>
    <cellStyle name="SAPBEXstdDataEmph 5" xfId="27777"/>
    <cellStyle name="SAPBEXstdDataEmph 5 2" xfId="27778"/>
    <cellStyle name="SAPBEXstdDataEmph 6" xfId="27779"/>
    <cellStyle name="SAPBEXstdDataEmph 6 2" xfId="27780"/>
    <cellStyle name="SAPBEXstdDataEmph 7" xfId="27781"/>
    <cellStyle name="SAPBEXstdDataEmph 7 2" xfId="27782"/>
    <cellStyle name="SAPBEXstdDataEmph 8" xfId="27783"/>
    <cellStyle name="SAPBEXstdDataEmph 8 2" xfId="27784"/>
    <cellStyle name="SAPBEXstdDataEmph 9" xfId="27785"/>
    <cellStyle name="SAPBEXstdDataEmph 9 2" xfId="27786"/>
    <cellStyle name="SAPBEXstdItem" xfId="27787"/>
    <cellStyle name="SAPBEXstdItem 10" xfId="27788"/>
    <cellStyle name="SAPBEXstdItem 10 2" xfId="27789"/>
    <cellStyle name="SAPBEXstdItem 11" xfId="27790"/>
    <cellStyle name="SAPBEXstdItem 11 2" xfId="27791"/>
    <cellStyle name="SAPBEXstdItem 12" xfId="27792"/>
    <cellStyle name="SAPBEXstdItem 2" xfId="27793"/>
    <cellStyle name="SAPBEXstdItem 2 2" xfId="27794"/>
    <cellStyle name="SAPBEXstdItem 3" xfId="27795"/>
    <cellStyle name="SAPBEXstdItem 3 2" xfId="27796"/>
    <cellStyle name="SAPBEXstdItem 4" xfId="27797"/>
    <cellStyle name="SAPBEXstdItem 4 2" xfId="27798"/>
    <cellStyle name="SAPBEXstdItem 5" xfId="27799"/>
    <cellStyle name="SAPBEXstdItem 5 2" xfId="27800"/>
    <cellStyle name="SAPBEXstdItem 6" xfId="27801"/>
    <cellStyle name="SAPBEXstdItem 6 2" xfId="27802"/>
    <cellStyle name="SAPBEXstdItem 7" xfId="27803"/>
    <cellStyle name="SAPBEXstdItem 7 2" xfId="27804"/>
    <cellStyle name="SAPBEXstdItem 8" xfId="27805"/>
    <cellStyle name="SAPBEXstdItem 8 2" xfId="27806"/>
    <cellStyle name="SAPBEXstdItem 9" xfId="27807"/>
    <cellStyle name="SAPBEXstdItem 9 2" xfId="27808"/>
    <cellStyle name="SAPBEXstdItemX" xfId="27809"/>
    <cellStyle name="SAPBEXstdItemX 2" xfId="27810"/>
    <cellStyle name="SAPBEXtitle" xfId="27811"/>
    <cellStyle name="SAPBEXtitle 10" xfId="27812"/>
    <cellStyle name="SAPBEXtitle 10 2" xfId="27813"/>
    <cellStyle name="SAPBEXtitle 11" xfId="27814"/>
    <cellStyle name="SAPBEXtitle 11 2" xfId="27815"/>
    <cellStyle name="SAPBEXtitle 12" xfId="27816"/>
    <cellStyle name="SAPBEXtitle 2" xfId="27817"/>
    <cellStyle name="SAPBEXtitle 2 2" xfId="27818"/>
    <cellStyle name="SAPBEXtitle 3" xfId="27819"/>
    <cellStyle name="SAPBEXtitle 3 2" xfId="27820"/>
    <cellStyle name="SAPBEXtitle 4" xfId="27821"/>
    <cellStyle name="SAPBEXtitle 4 2" xfId="27822"/>
    <cellStyle name="SAPBEXtitle 5" xfId="27823"/>
    <cellStyle name="SAPBEXtitle 5 2" xfId="27824"/>
    <cellStyle name="SAPBEXtitle 6" xfId="27825"/>
    <cellStyle name="SAPBEXtitle 6 2" xfId="27826"/>
    <cellStyle name="SAPBEXtitle 7" xfId="27827"/>
    <cellStyle name="SAPBEXtitle 7 2" xfId="27828"/>
    <cellStyle name="SAPBEXtitle 8" xfId="27829"/>
    <cellStyle name="SAPBEXtitle 8 2" xfId="27830"/>
    <cellStyle name="SAPBEXtitle 9" xfId="27831"/>
    <cellStyle name="SAPBEXtitle 9 2" xfId="27832"/>
    <cellStyle name="SAPBEXundefined" xfId="27833"/>
    <cellStyle name="SAPBEXundefined 10" xfId="27834"/>
    <cellStyle name="SAPBEXundefined 10 2" xfId="27835"/>
    <cellStyle name="SAPBEXundefined 11" xfId="27836"/>
    <cellStyle name="SAPBEXundefined 11 2" xfId="27837"/>
    <cellStyle name="SAPBEXundefined 12" xfId="27838"/>
    <cellStyle name="SAPBEXundefined 2" xfId="27839"/>
    <cellStyle name="SAPBEXundefined 2 2" xfId="27840"/>
    <cellStyle name="SAPBEXundefined 3" xfId="27841"/>
    <cellStyle name="SAPBEXundefined 3 2" xfId="27842"/>
    <cellStyle name="SAPBEXundefined 4" xfId="27843"/>
    <cellStyle name="SAPBEXundefined 4 2" xfId="27844"/>
    <cellStyle name="SAPBEXundefined 5" xfId="27845"/>
    <cellStyle name="SAPBEXundefined 5 2" xfId="27846"/>
    <cellStyle name="SAPBEXundefined 6" xfId="27847"/>
    <cellStyle name="SAPBEXundefined 6 2" xfId="27848"/>
    <cellStyle name="SAPBEXundefined 7" xfId="27849"/>
    <cellStyle name="SAPBEXundefined 7 2" xfId="27850"/>
    <cellStyle name="SAPBEXundefined 8" xfId="27851"/>
    <cellStyle name="SAPBEXundefined 8 2" xfId="27852"/>
    <cellStyle name="SAPBEXundefined 9" xfId="27853"/>
    <cellStyle name="SAPBEXundefined 9 2" xfId="27854"/>
    <cellStyle name="sh" xfId="27855"/>
    <cellStyle name="sh 2" xfId="27856"/>
    <cellStyle name="Shaded" xfId="27857"/>
    <cellStyle name="Shaded 2" xfId="27858"/>
    <cellStyle name="SHADEDSTORES" xfId="27859"/>
    <cellStyle name="SHADEDSTORES 2" xfId="27860"/>
    <cellStyle name="specstores" xfId="27861"/>
    <cellStyle name="specstores 2" xfId="27862"/>
    <cellStyle name="ssh" xfId="27863"/>
    <cellStyle name="ssh 2" xfId="27864"/>
    <cellStyle name="_x0001__x0002_ƨƬ_x0007__x000d_ǒǓ _x000d_ǜǜ_x000d__x000d_ǪǪ_x0007__x0007__x0005__x0005__x0010__x0001_ဠ" xfId="5"/>
    <cellStyle name="_x0001__x0002_ƨƬ_x0007__x000d_ǒǓ _x000d_ǜǜ_x000d__x000d_ǪǪ_x0007__x0007__x0005__x0005__x0010__x0001_ဠ 2" xfId="6"/>
    <cellStyle name="STANDARD" xfId="27865"/>
    <cellStyle name="STANDARD 2" xfId="27866"/>
    <cellStyle name="STANDARD 2 2" xfId="27867"/>
    <cellStyle name="STANDARD 3" xfId="27868"/>
    <cellStyle name="STA서식" xfId="27869"/>
    <cellStyle name="STA서식 2" xfId="27870"/>
    <cellStyle name="STD" xfId="27871"/>
    <cellStyle name="STD 2" xfId="27872"/>
    <cellStyle name="Style 1" xfId="27873"/>
    <cellStyle name="Style 1 2" xfId="27874"/>
    <cellStyle name="Sub" xfId="27875"/>
    <cellStyle name="Sub 2" xfId="27876"/>
    <cellStyle name="subhead" xfId="27877"/>
    <cellStyle name="subhead 2" xfId="27878"/>
    <cellStyle name="subhead 2 2" xfId="27879"/>
    <cellStyle name="subhead 3" xfId="27880"/>
    <cellStyle name="SubHeading" xfId="27881"/>
    <cellStyle name="SubHeading 2" xfId="27882"/>
    <cellStyle name="Subtotal" xfId="27883"/>
    <cellStyle name="Subtotal 1" xfId="27884"/>
    <cellStyle name="Subtotal 1 2" xfId="27885"/>
    <cellStyle name="Subtotal 2" xfId="27886"/>
    <cellStyle name="Suggested Quantity" xfId="27887"/>
    <cellStyle name="Suggested Quantity 2" xfId="27888"/>
    <cellStyle name="Sum" xfId="27889"/>
    <cellStyle name="Sum %of HV" xfId="27890"/>
    <cellStyle name="Sum %of HV 2" xfId="27891"/>
    <cellStyle name="Sum 2" xfId="27892"/>
    <cellStyle name="t1" xfId="27893"/>
    <cellStyle name="t1 2" xfId="27894"/>
    <cellStyle name="testtitle" xfId="27895"/>
    <cellStyle name="testtitle 2" xfId="27896"/>
    <cellStyle name="testtitle 3" xfId="27897"/>
    <cellStyle name="Text Indent A" xfId="27898"/>
    <cellStyle name="Text Indent A 2" xfId="27899"/>
    <cellStyle name="Text Indent B" xfId="27900"/>
    <cellStyle name="Text Indent B 2" xfId="27901"/>
    <cellStyle name="Text Indent C" xfId="27902"/>
    <cellStyle name="Text Indent C 2" xfId="27903"/>
    <cellStyle name="þ_x001d_ð'&amp;Oy?Hy9_x0008__x000f__x0007_æ_x0007__x0007__x0001__x0001_" xfId="30953"/>
    <cellStyle name="þ_x001d_ð'&amp;Oy?Hy9_x0008__x000f__x0007_æ_x0007__x0007__x0001__x0001_ 10" xfId="30954"/>
    <cellStyle name="þ_x001d_ð'&amp;Oy?Hy9_x0008__x000f__x0007_æ_x0007__x0007__x0001__x0001_ 11" xfId="30955"/>
    <cellStyle name="þ_x001d_ð'&amp;Oy?Hy9_x0008__x000f__x0007_æ_x0007__x0007__x0001__x0001_ 12" xfId="30956"/>
    <cellStyle name="þ_x001d_ð'&amp;Oy?Hy9_x0008__x000f__x0007_æ_x0007__x0007__x0001__x0001_ 13" xfId="30957"/>
    <cellStyle name="þ_x001d_ð'&amp;Oy?Hy9_x0008__x000f__x0007_æ_x0007__x0007__x0001__x0001_ 14" xfId="30958"/>
    <cellStyle name="þ_x001d_ð'&amp;Oy?Hy9_x0008__x000f__x0007_æ_x0007__x0007__x0001__x0001_ 15" xfId="30959"/>
    <cellStyle name="þ_x001d_ð'&amp;Oy?Hy9_x0008__x000f__x0007_æ_x0007__x0007__x0001__x0001_ 16" xfId="30960"/>
    <cellStyle name="þ_x001d_ð'&amp;Oy?Hy9_x0008__x000f__x0007_æ_x0007__x0007__x0001__x0001_ 17" xfId="30961"/>
    <cellStyle name="þ_x001d_ð'&amp;Oy?Hy9_x0008__x000f__x0007_æ_x0007__x0007__x0001__x0001_ 18" xfId="30962"/>
    <cellStyle name="þ_x001d_ð'&amp;Oy?Hy9_x0008__x000f__x0007_æ_x0007__x0007__x0001__x0001_ 19" xfId="30963"/>
    <cellStyle name="þ_x001d_ð'&amp;Oy?Hy9_x0008__x000f__x0007_æ_x0007__x0007__x0001__x0001_ 2" xfId="30964"/>
    <cellStyle name="þ_x001d_ð'&amp;Oy?Hy9_x0008__x000f__x0007_æ_x0007__x0007__x0001__x0001_ 3" xfId="30965"/>
    <cellStyle name="þ_x001d_ð'&amp;Oy?Hy9_x0008__x000f__x0007_æ_x0007__x0007__x0001__x0001_ 4" xfId="30966"/>
    <cellStyle name="þ_x001d_ð'&amp;Oy?Hy9_x0008__x000f__x0007_æ_x0007__x0007__x0001__x0001_ 5" xfId="30967"/>
    <cellStyle name="þ_x001d_ð'&amp;Oy?Hy9_x0008__x000f__x0007_æ_x0007__x0007__x0001__x0001_ 6" xfId="30968"/>
    <cellStyle name="þ_x001d_ð'&amp;Oy?Hy9_x0008__x000f__x0007_æ_x0007__x0007__x0001__x0001_ 7" xfId="30969"/>
    <cellStyle name="þ_x001d_ð'&amp;Oy?Hy9_x0008__x000f__x0007_æ_x0007__x0007__x0001__x0001_ 8" xfId="30970"/>
    <cellStyle name="þ_x001d_ð'&amp;Oy?Hy9_x0008__x000f__x0007_æ_x0007__x0007__x0001__x0001_ 9" xfId="30971"/>
    <cellStyle name="þ_x001d_ð'&amp;Oy?Hy9_x0008_E_x000c_￠_x000d__x0007__x0001__x0001_" xfId="30972"/>
    <cellStyle name="þ_x001d_ð'&amp;Oy?Hy9_x0008_E_x000c_￠_x000d__x0007__x0001__x0001_ 10" xfId="30973"/>
    <cellStyle name="þ_x001d_ð'&amp;Oy?Hy9_x0008_E_x000c_￠_x000d__x0007__x0001__x0001_ 11" xfId="30974"/>
    <cellStyle name="þ_x001d_ð'&amp;Oy?Hy9_x0008_E_x000c_￠_x000d__x0007__x0001__x0001_ 12" xfId="30975"/>
    <cellStyle name="þ_x001d_ð'&amp;Oy?Hy9_x0008_E_x000c_￠_x000d__x0007__x0001__x0001_ 13" xfId="30976"/>
    <cellStyle name="þ_x001d_ð'&amp;Oy?Hy9_x0008_E_x000c_￠_x000d__x0007__x0001__x0001_ 14" xfId="30977"/>
    <cellStyle name="þ_x001d_ð'&amp;Oy?Hy9_x0008_E_x000c_￠_x000d__x0007__x0001__x0001_ 15" xfId="30978"/>
    <cellStyle name="þ_x001d_ð'&amp;Oy?Hy9_x0008_E_x000c_￠_x000d__x0007__x0001__x0001_ 16" xfId="30979"/>
    <cellStyle name="þ_x001d_ð'&amp;Oy?Hy9_x0008_E_x000c_￠_x000d__x0007__x0001__x0001_ 17" xfId="30980"/>
    <cellStyle name="þ_x001d_ð'&amp;Oy?Hy9_x0008_E_x000c_￠_x000d__x0007__x0001__x0001_ 18" xfId="30981"/>
    <cellStyle name="þ_x001d_ð'&amp;Oy?Hy9_x0008_E_x000c_￠_x000d__x0007__x0001__x0001_ 19" xfId="30982"/>
    <cellStyle name="þ_x001d_ð'&amp;Oy?Hy9_x0008_E_x000c_￠_x000d__x0007__x0001__x0001_ 2" xfId="30983"/>
    <cellStyle name="þ_x001d_ð'&amp;Oy?Hy9_x0008_E_x000c_￠_x000d__x0007__x0001__x0001_ 3" xfId="30984"/>
    <cellStyle name="þ_x001d_ð'&amp;Oy?Hy9_x0008_E_x000c_￠_x000d__x0007__x0001__x0001_ 4" xfId="30985"/>
    <cellStyle name="þ_x001d_ð'&amp;Oy?Hy9_x0008_E_x000c_￠_x000d__x0007__x0001__x0001_ 5" xfId="30986"/>
    <cellStyle name="þ_x001d_ð'&amp;Oy?Hy9_x0008_E_x000c_￠_x000d__x0007__x0001__x0001_ 6" xfId="30987"/>
    <cellStyle name="þ_x001d_ð'&amp;Oy?Hy9_x0008_E_x000c_￠_x000d__x0007__x0001__x0001_ 7" xfId="30988"/>
    <cellStyle name="þ_x001d_ð'&amp;Oy?Hy9_x0008_E_x000c_￠_x000d__x0007__x0001__x0001_ 8" xfId="30989"/>
    <cellStyle name="þ_x001d_ð'&amp;Oy?Hy9_x0008_E_x000c_￠_x000d__x0007__x0001__x0001_ 9" xfId="30990"/>
    <cellStyle name="Thousands (0)" xfId="27904"/>
    <cellStyle name="Thousands (0) 2" xfId="27905"/>
    <cellStyle name="Thousands (1)" xfId="27906"/>
    <cellStyle name="Thousands (1) 2" xfId="27907"/>
    <cellStyle name="time" xfId="27908"/>
    <cellStyle name="time 2" xfId="27909"/>
    <cellStyle name="Title" xfId="27910"/>
    <cellStyle name="title [1]" xfId="27935"/>
    <cellStyle name="title [1] 2" xfId="27936"/>
    <cellStyle name="title [2]" xfId="27937"/>
    <cellStyle name="title [2] 2" xfId="27938"/>
    <cellStyle name="Title 10" xfId="27911"/>
    <cellStyle name="Title 10 2" xfId="27912"/>
    <cellStyle name="Title 11" xfId="27913"/>
    <cellStyle name="Title 11 2" xfId="27914"/>
    <cellStyle name="Title 12" xfId="27915"/>
    <cellStyle name="Title 12 2" xfId="27916"/>
    <cellStyle name="Title 13" xfId="27917"/>
    <cellStyle name="Title 14" xfId="27918"/>
    <cellStyle name="Title 2" xfId="27919"/>
    <cellStyle name="Title 2 2" xfId="27920"/>
    <cellStyle name="Title 3" xfId="27921"/>
    <cellStyle name="Title 3 2" xfId="27922"/>
    <cellStyle name="Title 4" xfId="27923"/>
    <cellStyle name="Title 4 2" xfId="27924"/>
    <cellStyle name="Title 5" xfId="27925"/>
    <cellStyle name="Title 5 2" xfId="27926"/>
    <cellStyle name="Title 6" xfId="27927"/>
    <cellStyle name="Title 6 2" xfId="27928"/>
    <cellStyle name="Title 7" xfId="27929"/>
    <cellStyle name="Title 7 2" xfId="27930"/>
    <cellStyle name="Title 8" xfId="27931"/>
    <cellStyle name="Title 8 2" xfId="27932"/>
    <cellStyle name="Title 9" xfId="27933"/>
    <cellStyle name="Title 9 2" xfId="27934"/>
    <cellStyle name="Title_견적서-사운드레이스" xfId="27941"/>
    <cellStyle name="Title2" xfId="27939"/>
    <cellStyle name="Title2 2" xfId="27940"/>
    <cellStyle name="ton" xfId="27942"/>
    <cellStyle name="ton 2" xfId="27943"/>
    <cellStyle name="Total" xfId="27944"/>
    <cellStyle name="Total 10" xfId="27945"/>
    <cellStyle name="Total 10 2" xfId="27946"/>
    <cellStyle name="Total 11" xfId="27947"/>
    <cellStyle name="Total 11 2" xfId="27948"/>
    <cellStyle name="Total 12" xfId="27949"/>
    <cellStyle name="Total 12 2" xfId="27950"/>
    <cellStyle name="Total 13" xfId="27951"/>
    <cellStyle name="Total 13 2" xfId="27952"/>
    <cellStyle name="Total 14" xfId="27953"/>
    <cellStyle name="Total 14 2" xfId="27954"/>
    <cellStyle name="Total 15" xfId="27955"/>
    <cellStyle name="Total 15 2" xfId="27956"/>
    <cellStyle name="Total 16" xfId="27957"/>
    <cellStyle name="Total 16 2" xfId="27958"/>
    <cellStyle name="Total 17" xfId="27959"/>
    <cellStyle name="Total 17 2" xfId="27960"/>
    <cellStyle name="Total 18" xfId="27961"/>
    <cellStyle name="Total 2" xfId="27962"/>
    <cellStyle name="Total 2 2" xfId="27963"/>
    <cellStyle name="Total 2 2 2" xfId="27964"/>
    <cellStyle name="Total 2 3" xfId="27965"/>
    <cellStyle name="Total 3" xfId="27966"/>
    <cellStyle name="Total 3 2" xfId="27967"/>
    <cellStyle name="Total 4" xfId="27968"/>
    <cellStyle name="Total 4 2" xfId="27969"/>
    <cellStyle name="Total 5" xfId="27970"/>
    <cellStyle name="Total 5 2" xfId="27971"/>
    <cellStyle name="Total 6" xfId="27972"/>
    <cellStyle name="Total 6 2" xfId="27973"/>
    <cellStyle name="Total 7" xfId="27974"/>
    <cellStyle name="Total 7 2" xfId="27975"/>
    <cellStyle name="Total 8" xfId="27976"/>
    <cellStyle name="Total 8 2" xfId="27977"/>
    <cellStyle name="Total 9" xfId="27978"/>
    <cellStyle name="Total 9 2" xfId="27979"/>
    <cellStyle name="Total_06-14 서두 교회" xfId="27980"/>
    <cellStyle name="TotalCurr" xfId="27981"/>
    <cellStyle name="TotalCurr 2" xfId="27982"/>
    <cellStyle name="TotalHdr" xfId="27983"/>
    <cellStyle name="TotalHdr 2" xfId="27984"/>
    <cellStyle name="UM" xfId="27985"/>
    <cellStyle name="UM 2" xfId="27986"/>
    <cellStyle name="under overskrft" xfId="27987"/>
    <cellStyle name="under overskrft 2" xfId="27988"/>
    <cellStyle name="Underline 2" xfId="27989"/>
    <cellStyle name="Underline 2 2" xfId="27990"/>
    <cellStyle name="Unprot" xfId="27991"/>
    <cellStyle name="Unprot 2" xfId="27992"/>
    <cellStyle name="Unprot$" xfId="27993"/>
    <cellStyle name="Unprot$ 2" xfId="27994"/>
    <cellStyle name="Unprotect" xfId="27995"/>
    <cellStyle name="Unprotect 2" xfId="27996"/>
    <cellStyle name="Valuta_PLDT" xfId="27997"/>
    <cellStyle name="W?rung [0]_Ausdruck RUND (D)" xfId="27998"/>
    <cellStyle name="W?rung_Ausdruck RUND (D)" xfId="27999"/>
    <cellStyle name="Warning Text" xfId="28000"/>
    <cellStyle name="Warning Text 2" xfId="28001"/>
    <cellStyle name="Year" xfId="28002"/>
    <cellStyle name="Year 2" xfId="28003"/>
    <cellStyle name="_x0008_z" xfId="20"/>
    <cellStyle name="_x0008_z 2" xfId="21"/>
    <cellStyle name="ƸōዊbǜōዚbǸōዪbɄōዺb쉀ōጊb쉬ōጚb슔ōጪb싀ōጺb쌐ōፊbɤōፚbʀō፪bʘō፺bʼōᎊb˜ō᎚b쌼ōᎪb쎄ōᎺb쎨ōᏊb쏄ōᏚb쏜ōᏪb̀ōᏺb̤ōᐊb͔ōᐚb΀ōᐪbΰōᐺb쏸ō" xfId="30995"/>
    <cellStyle name="ƸōዊbǜōዚbǸōዪbɄōዺb쉀ōጊb쉬ōጚb슔ōጪb싀ōጺb쌐ōፊbɤōፚbʀō፪bʘō፺bʼōᎊb˜ō᎚b쌼ōᎪb쎄ōᎺb쎨ōᏊb쏄ōᏚb쏜ōᏪb̀ōᏺb̤ōᐊb͔ōᐚb΀ōᐪbΰōᐺb쏸ō 2" xfId="30996"/>
    <cellStyle name="μU¿¡ ¿A´A CIAIÆU¸μAⓒ" xfId="31002"/>
    <cellStyle name="μU¿¡ ¿A´A CIAIÆU¸μAⓒ 2" xfId="31003"/>
    <cellStyle name="パーセント_技計ｾﾝﾀ" xfId="31030"/>
    <cellStyle name="්b뉜ōේb뉼ō෪b늠ō෺b부ōชb붘ōบb붴ōสb뷄ōฺb뷘ō๊b닄ō๚b닜ō๪b닰ō๺b댜ōຊb댸ōບb뷬ōສb븄ō຺b블ō໊b븨ō໚b븼ō໪b덐ō໺b덠ō༊b델ō༚b뎔ō༪b뎬ō༺b빘ōཊb빰ōཚb뺌ōཪb뻘ōེb뻴ōྊb돌ōྚb돴ōྪb된ōྺb됸ō࿊b둔ō࿚b뼘ō࿪b뼸ō࿺b뽨ōညb뾔ōယb뿄ōဪb뒜ō်b뒸ō၊b듌ōၚb들ōၪb듸ōၺb뿴ōႊb쀐ōႚb쀬ōႪb쁴ōႺb삐ō჊b딐ōლb따ōცb땔ōჺb땬ōᄊb떀ōᄚb산ōᄪb새ōᄺb샘ōᅋb샬ōᅛb샴ōᅪb_x000c_ōᅺb0ōᆊbXōᆚbōᆪb¨ōᆺb섄" xfId="31004"/>
    <cellStyle name="_x0010__x0001_ဠ" xfId="30"/>
    <cellStyle name="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 xfId="31010"/>
    <cellStyle name="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ō៪b‬ō៺bᏜō᠊b᐀ō᠚bᐬōᠪbᑜōᠺbᒌōᡊb⁜ōᡚb€ōᡪb⃔ō᡺bℌōᢊb⅀ōᢚbⅸōᢪb⇐" xfId="31011"/>
    <cellStyle name="Ꮺb̀ōᏺb̤ōᐊb͔ōᐚb΀ōᐪbΰōᐺb쏸ōᑊb쐨ōᑚb쑀ōᑪb쑜ōᑺb쑸ōᒊbЄōᒚbЬōᒪbјōᒺbҤōᓊbӐōᓚb쒤ōᓪb쓄ōᓺb쓠ōᔊb씈ōᔚb씬ōᔪbӰōᔺbԈōᕊbԤōᕚbՀōᕪb՜ōᕺb앐ōᖊb앴ōᖚb얐ōᖪb얼ōᖺb엤ōᗊbոōᗚb֐ōᗪbְōᗺbלōᘊb؄ōᘚbذōᘪbڀōᘺbڬōᙊbیōᙚb۰ōᙪbᇤōᙺbሀōᚊbሜōᚚbሼōᚪbቘōᚺb܈ōᛊbܬōᛚb݌ōᛪbݬō᛺bބōᜊbኌō᜚bከōᜪbዌō᜺bዤōᝊbጄō᝚bጨōᝪbፐō᝺b፰ōដb᎘ōរbᎸōឪb὘ōឺbᾬō៊bῐō៚bῼ" xfId="31009"/>
    <cellStyle name="ሚbôōሪbŀōሺbŨōቊbƀōቚb솴ōቪb쇌ōቺb쇬ōኊb숄ōኚb술ōኪbƜōኺbƸōዊbǜōዚbǸōዪbɄōዺb쉀ōጊb쉬ōጚb슔ōጪb싀ōጺb쌐ōፊbɤōፚbʀō፪bʘō፺bʼōᎊb˜ō᎚b쌼ōᎪb쎄ōᎺb쎨ōᏊb쏄ōᏚb쏜ōᏪb̀ōᏺb̤ōᐊb͔ōᐚb΀ōᐪbΰōᐺb쏸ōᑊb쐨ōᑚb쑀ōᑪb쑜ōᑺb쑸ōᒊbЄōᒚbЬōᒪbјōᒺbҤōᓊbӐōᓚb쒤ōᓪb쓄ōᓺb쓠ōᔊb씈ōᔚb씬ōᔪbӰōᔺbԈōᕊbԤōᕚbՀōᕪb՜ōᕺb앐ōᖊb앴ōᖚb얐ōᖪb얼ōᖺb엤ōᗊbոōᗚb֐ōᗪbְōᗺbלōᘊb؄" xfId="31007"/>
    <cellStyle name="ꯠōකb갈ōඪb눠ōයb눸ō්b뉜ōේb뉼ō෪b늠ō෺b부ōชb붘ōบb붴ōสb뷄ōฺb뷘ō๊b닄ō๚b닜ō๪b닰ō๺b댜ōຊb댸ōບb뷬ōສb븄ō຺b블ō໊b븨ō໚b븼ō໪b덐ō໺b덠ō༊b델ō" xfId="31174"/>
    <cellStyle name="ꯠōකb갈ōඪb눠ōයb눸ō්b뉜ōේb뉼ō෪b늠ō෺b부ōชb붘ōบb붴ōสb뷄ōฺb뷘ō๊b닄ō๚b닜ō๪b닰ō๺b댜ōຊb댸ōບb뷬ōສb븄ō຺b블ō໊b븨ō໚b븼ō໪b덐ō໺b덠ō༊b델ō 2" xfId="31175"/>
    <cellStyle name="|?ドE" xfId="35621"/>
    <cellStyle name="|?ドE 2" xfId="35622"/>
    <cellStyle name="" xfId="35623"/>
    <cellStyle name=" 2" xfId="35624"/>
    <cellStyle name="" xfId="35625"/>
    <cellStyle name=" 2" xfId="35626"/>
    <cellStyle name="강조색1 2" xfId="31176"/>
    <cellStyle name="강조색1 2 2" xfId="31177"/>
    <cellStyle name="강조색1 3" xfId="31178"/>
    <cellStyle name="강조색1 3 2" xfId="31179"/>
    <cellStyle name="강조색2 2" xfId="31180"/>
    <cellStyle name="강조색2 2 2" xfId="31181"/>
    <cellStyle name="강조색2 3" xfId="31182"/>
    <cellStyle name="강조색2 3 2" xfId="31183"/>
    <cellStyle name="강조색3 2" xfId="31184"/>
    <cellStyle name="강조색3 2 2" xfId="31185"/>
    <cellStyle name="강조색3 3" xfId="31186"/>
    <cellStyle name="강조색3 3 2" xfId="31187"/>
    <cellStyle name="강조색4 2" xfId="31188"/>
    <cellStyle name="강조색4 2 2" xfId="31189"/>
    <cellStyle name="강조색4 3" xfId="31190"/>
    <cellStyle name="강조색4 3 2" xfId="31191"/>
    <cellStyle name="강조색5 2" xfId="31192"/>
    <cellStyle name="강조색5 2 2" xfId="31193"/>
    <cellStyle name="강조색5 3" xfId="31194"/>
    <cellStyle name="강조색5 3 2" xfId="31195"/>
    <cellStyle name="강조색6 2" xfId="31196"/>
    <cellStyle name="강조색6 2 2" xfId="31197"/>
    <cellStyle name="강조색6 3" xfId="31198"/>
    <cellStyle name="강조색6 3 2" xfId="31199"/>
    <cellStyle name="견적" xfId="31200"/>
    <cellStyle name="견적 2" xfId="31201"/>
    <cellStyle name="견적 2 2" xfId="31202"/>
    <cellStyle name="견적 3" xfId="31203"/>
    <cellStyle name="견적_ '.:" xfId="31204"/>
    <cellStyle name="견적부" xfId="31205"/>
    <cellStyle name="견적부 2" xfId="31206"/>
    <cellStyle name="경고문 2" xfId="31207"/>
    <cellStyle name="경고문 2 2" xfId="31208"/>
    <cellStyle name="경고문 3" xfId="31209"/>
    <cellStyle name="경고문 3 2" xfId="31210"/>
    <cellStyle name="계산 2" xfId="31211"/>
    <cellStyle name="계산 2 2" xfId="31212"/>
    <cellStyle name="계산 3" xfId="31213"/>
    <cellStyle name="계산 3 2" xfId="31214"/>
    <cellStyle name="고정소숫점" xfId="31215"/>
    <cellStyle name="고정소숫점 10" xfId="31216"/>
    <cellStyle name="고정소숫점 10 2" xfId="31217"/>
    <cellStyle name="고정소숫점 11" xfId="31218"/>
    <cellStyle name="고정소숫점 11 2" xfId="31219"/>
    <cellStyle name="고정소숫점 12" xfId="31220"/>
    <cellStyle name="고정소숫점 12 2" xfId="31221"/>
    <cellStyle name="고정소숫점 13" xfId="31222"/>
    <cellStyle name="고정소숫점 13 2" xfId="31223"/>
    <cellStyle name="고정소숫점 14" xfId="31224"/>
    <cellStyle name="고정소숫점 14 2" xfId="31225"/>
    <cellStyle name="고정소숫점 15" xfId="31226"/>
    <cellStyle name="고정소숫점 15 2" xfId="31227"/>
    <cellStyle name="고정소숫점 16" xfId="31228"/>
    <cellStyle name="고정소숫점 16 2" xfId="31229"/>
    <cellStyle name="고정소숫점 17" xfId="31230"/>
    <cellStyle name="고정소숫점 17 2" xfId="31231"/>
    <cellStyle name="고정소숫점 18" xfId="31232"/>
    <cellStyle name="고정소숫점 18 2" xfId="31233"/>
    <cellStyle name="고정소숫점 19" xfId="31234"/>
    <cellStyle name="고정소숫점 2" xfId="31235"/>
    <cellStyle name="고정소숫점 2 2" xfId="31236"/>
    <cellStyle name="고정소숫점 2 2 2" xfId="31237"/>
    <cellStyle name="고정소숫점 2 3" xfId="31238"/>
    <cellStyle name="고정소숫점 3" xfId="31239"/>
    <cellStyle name="고정소숫점 3 2" xfId="31240"/>
    <cellStyle name="고정소숫점 4" xfId="31241"/>
    <cellStyle name="고정소숫점 4 2" xfId="31242"/>
    <cellStyle name="고정소숫점 5" xfId="31243"/>
    <cellStyle name="고정소숫점 5 2" xfId="31244"/>
    <cellStyle name="고정소숫점 6" xfId="31245"/>
    <cellStyle name="고정소숫점 6 2" xfId="31246"/>
    <cellStyle name="고정소숫점 7" xfId="31247"/>
    <cellStyle name="고정소숫점 7 2" xfId="31248"/>
    <cellStyle name="고정소숫점 8" xfId="31249"/>
    <cellStyle name="고정소숫점 8 2" xfId="31250"/>
    <cellStyle name="고정소숫점 9" xfId="31251"/>
    <cellStyle name="고정소숫점 9 2" xfId="31252"/>
    <cellStyle name="고정출력1" xfId="31253"/>
    <cellStyle name="고정출력1 10" xfId="31254"/>
    <cellStyle name="고정출력1 10 2" xfId="31255"/>
    <cellStyle name="고정출력1 11" xfId="31256"/>
    <cellStyle name="고정출력1 11 2" xfId="31257"/>
    <cellStyle name="고정출력1 12" xfId="31258"/>
    <cellStyle name="고정출력1 2" xfId="31259"/>
    <cellStyle name="고정출력1 2 2" xfId="31260"/>
    <cellStyle name="고정출력1 3" xfId="31261"/>
    <cellStyle name="고정출력1 3 2" xfId="31262"/>
    <cellStyle name="고정출력1 4" xfId="31263"/>
    <cellStyle name="고정출력1 4 2" xfId="31264"/>
    <cellStyle name="고정출력1 5" xfId="31265"/>
    <cellStyle name="고정출력1 5 2" xfId="31266"/>
    <cellStyle name="고정출력1 6" xfId="31267"/>
    <cellStyle name="고정출력1 6 2" xfId="31268"/>
    <cellStyle name="고정출력1 7" xfId="31269"/>
    <cellStyle name="고정출력1 7 2" xfId="31270"/>
    <cellStyle name="고정출력1 8" xfId="31271"/>
    <cellStyle name="고정출력1 8 2" xfId="31272"/>
    <cellStyle name="고정출력1 9" xfId="31273"/>
    <cellStyle name="고정출력1 9 2" xfId="31274"/>
    <cellStyle name="고정출력2" xfId="31275"/>
    <cellStyle name="고정출력2 10" xfId="31276"/>
    <cellStyle name="고정출력2 10 2" xfId="31277"/>
    <cellStyle name="고정출력2 11" xfId="31278"/>
    <cellStyle name="고정출력2 11 2" xfId="31279"/>
    <cellStyle name="고정출력2 12" xfId="31280"/>
    <cellStyle name="고정출력2 2" xfId="31281"/>
    <cellStyle name="고정출력2 2 2" xfId="31282"/>
    <cellStyle name="고정출력2 3" xfId="31283"/>
    <cellStyle name="고정출력2 3 2" xfId="31284"/>
    <cellStyle name="고정출력2 4" xfId="31285"/>
    <cellStyle name="고정출력2 4 2" xfId="31286"/>
    <cellStyle name="고정출력2 5" xfId="31287"/>
    <cellStyle name="고정출력2 5 2" xfId="31288"/>
    <cellStyle name="고정출력2 6" xfId="31289"/>
    <cellStyle name="고정출력2 6 2" xfId="31290"/>
    <cellStyle name="고정출력2 7" xfId="31291"/>
    <cellStyle name="고정출력2 7 2" xfId="31292"/>
    <cellStyle name="고정출력2 8" xfId="31293"/>
    <cellStyle name="고정출력2 8 2" xfId="31294"/>
    <cellStyle name="고정출력2 9" xfId="31295"/>
    <cellStyle name="고정출력2 9 2" xfId="31296"/>
    <cellStyle name="공사원가계산서(조경)" xfId="31297"/>
    <cellStyle name="공사원가계산서(조경) 2" xfId="31298"/>
    <cellStyle name="咬訌裝?INCOM1" xfId="31048"/>
    <cellStyle name="咬訌裝?INCOM1 2" xfId="31049"/>
    <cellStyle name="咬訌裝?INCOM1 2 2" xfId="31050"/>
    <cellStyle name="咬訌裝?INCOM1 3" xfId="31051"/>
    <cellStyle name="咬訌裝?INCOM1 3 2" xfId="31052"/>
    <cellStyle name="咬訌裝?INCOM1 4" xfId="31053"/>
    <cellStyle name="咬訌裝?INCOM1 4 2" xfId="31054"/>
    <cellStyle name="咬訌裝?INCOM1 5" xfId="31055"/>
    <cellStyle name="咬訌裝?INCOM10" xfId="31056"/>
    <cellStyle name="咬訌裝?INCOM10 2" xfId="31057"/>
    <cellStyle name="咬訌裝?INCOM10 2 2" xfId="31058"/>
    <cellStyle name="咬訌裝?INCOM10 3" xfId="31059"/>
    <cellStyle name="咬訌裝?INCOM10 3 2" xfId="31060"/>
    <cellStyle name="咬訌裝?INCOM10 4" xfId="31061"/>
    <cellStyle name="咬訌裝?INCOM10 4 2" xfId="31062"/>
    <cellStyle name="咬訌裝?INCOM10 5" xfId="31063"/>
    <cellStyle name="咬訌裝?INCOM2" xfId="31064"/>
    <cellStyle name="咬訌裝?INCOM2 2" xfId="31065"/>
    <cellStyle name="咬訌裝?INCOM2 2 2" xfId="31066"/>
    <cellStyle name="咬訌裝?INCOM2 3" xfId="31067"/>
    <cellStyle name="咬訌裝?INCOM2 3 2" xfId="31068"/>
    <cellStyle name="咬訌裝?INCOM2 4" xfId="31069"/>
    <cellStyle name="咬訌裝?INCOM2 4 2" xfId="31070"/>
    <cellStyle name="咬訌裝?INCOM2 5" xfId="31071"/>
    <cellStyle name="咬訌裝?INCOM3" xfId="31072"/>
    <cellStyle name="咬訌裝?INCOM3 2" xfId="31073"/>
    <cellStyle name="咬訌裝?INCOM3 2 2" xfId="31074"/>
    <cellStyle name="咬訌裝?INCOM3 3" xfId="31075"/>
    <cellStyle name="咬訌裝?INCOM3 3 2" xfId="31076"/>
    <cellStyle name="咬訌裝?INCOM3 4" xfId="31077"/>
    <cellStyle name="咬訌裝?INCOM3 4 2" xfId="31078"/>
    <cellStyle name="咬訌裝?INCOM3 5" xfId="31079"/>
    <cellStyle name="咬訌裝?INCOM4" xfId="31080"/>
    <cellStyle name="咬訌裝?INCOM4 2" xfId="31081"/>
    <cellStyle name="咬訌裝?INCOM4 2 2" xfId="31082"/>
    <cellStyle name="咬訌裝?INCOM4 3" xfId="31083"/>
    <cellStyle name="咬訌裝?INCOM4 3 2" xfId="31084"/>
    <cellStyle name="咬訌裝?INCOM4 4" xfId="31085"/>
    <cellStyle name="咬訌裝?INCOM4 4 2" xfId="31086"/>
    <cellStyle name="咬訌裝?INCOM4 5" xfId="31087"/>
    <cellStyle name="咬訌裝?INCOM5" xfId="31088"/>
    <cellStyle name="咬訌裝?INCOM5 2" xfId="31089"/>
    <cellStyle name="咬訌裝?INCOM5 2 2" xfId="31090"/>
    <cellStyle name="咬訌裝?INCOM5 3" xfId="31091"/>
    <cellStyle name="咬訌裝?INCOM5 3 2" xfId="31092"/>
    <cellStyle name="咬訌裝?INCOM5 4" xfId="31093"/>
    <cellStyle name="咬訌裝?INCOM5 4 2" xfId="31094"/>
    <cellStyle name="咬訌裝?INCOM5 5" xfId="31095"/>
    <cellStyle name="咬訌裝?INCOM6" xfId="31096"/>
    <cellStyle name="咬訌裝?INCOM6 2" xfId="31097"/>
    <cellStyle name="咬訌裝?INCOM6 2 2" xfId="31098"/>
    <cellStyle name="咬訌裝?INCOM6 3" xfId="31099"/>
    <cellStyle name="咬訌裝?INCOM6 3 2" xfId="31100"/>
    <cellStyle name="咬訌裝?INCOM6 4" xfId="31101"/>
    <cellStyle name="咬訌裝?INCOM6 4 2" xfId="31102"/>
    <cellStyle name="咬訌裝?INCOM6 5" xfId="31103"/>
    <cellStyle name="咬訌裝?INCOM7" xfId="31104"/>
    <cellStyle name="咬訌裝?INCOM7 2" xfId="31105"/>
    <cellStyle name="咬訌裝?INCOM7 2 2" xfId="31106"/>
    <cellStyle name="咬訌裝?INCOM7 3" xfId="31107"/>
    <cellStyle name="咬訌裝?INCOM7 3 2" xfId="31108"/>
    <cellStyle name="咬訌裝?INCOM7 4" xfId="31109"/>
    <cellStyle name="咬訌裝?INCOM7 4 2" xfId="31110"/>
    <cellStyle name="咬訌裝?INCOM7 5" xfId="31111"/>
    <cellStyle name="咬訌裝?INCOM8" xfId="31112"/>
    <cellStyle name="咬訌裝?INCOM8 2" xfId="31113"/>
    <cellStyle name="咬訌裝?INCOM8 2 2" xfId="31114"/>
    <cellStyle name="咬訌裝?INCOM8 3" xfId="31115"/>
    <cellStyle name="咬訌裝?INCOM8 3 2" xfId="31116"/>
    <cellStyle name="咬訌裝?INCOM8 4" xfId="31117"/>
    <cellStyle name="咬訌裝?INCOM8 4 2" xfId="31118"/>
    <cellStyle name="咬訌裝?INCOM8 5" xfId="31119"/>
    <cellStyle name="咬訌裝?INCOM9" xfId="31120"/>
    <cellStyle name="咬訌裝?INCOM9 2" xfId="31121"/>
    <cellStyle name="咬訌裝?INCOM9 2 2" xfId="31122"/>
    <cellStyle name="咬訌裝?INCOM9 3" xfId="31123"/>
    <cellStyle name="咬訌裝?INCOM9 3 2" xfId="31124"/>
    <cellStyle name="咬訌裝?INCOM9 4" xfId="31125"/>
    <cellStyle name="咬訌裝?INCOM9 4 2" xfId="31126"/>
    <cellStyle name="咬訌裝?INCOM9 5" xfId="31127"/>
    <cellStyle name="咬訌裝?PRIB11" xfId="31128"/>
    <cellStyle name="咬訌裝?PRIB11 2" xfId="31129"/>
    <cellStyle name="咬訌裝?PRIB11 2 2" xfId="31130"/>
    <cellStyle name="咬訌裝?PRIB11 3" xfId="31131"/>
    <cellStyle name="咬訌裝?PRIB11 3 2" xfId="31132"/>
    <cellStyle name="咬訌裝?PRIB11 4" xfId="31133"/>
    <cellStyle name="咬訌裝?PRIB11 4 2" xfId="31134"/>
    <cellStyle name="咬訌裝?PRIB11 5" xfId="31135"/>
    <cellStyle name="咬訌裝?report-2 " xfId="31136"/>
    <cellStyle name="咬訌裝?report-2  2" xfId="31137"/>
    <cellStyle name="구        분" xfId="31299"/>
    <cellStyle name="구        분 2" xfId="31300"/>
    <cellStyle name="국종합건설" xfId="31301"/>
    <cellStyle name="국종합건설 2" xfId="31302"/>
    <cellStyle name="금액" xfId="31303"/>
    <cellStyle name="금액 2" xfId="31304"/>
    <cellStyle name="금액 2 2" xfId="31305"/>
    <cellStyle name="금액 3" xfId="31306"/>
    <cellStyle name="금액 3 2" xfId="31307"/>
    <cellStyle name="금액 4" xfId="31308"/>
    <cellStyle name="금액_06-14 서두 교회" xfId="31309"/>
    <cellStyle name="기계" xfId="31310"/>
    <cellStyle name="기계 2" xfId="31311"/>
    <cellStyle name="기계 2 2" xfId="31312"/>
    <cellStyle name="기계 3" xfId="31313"/>
    <cellStyle name="기본내역서" xfId="31314"/>
    <cellStyle name="기본내역서 2" xfId="31315"/>
    <cellStyle name="기본숫자" xfId="31316"/>
    <cellStyle name="기본숫자 2" xfId="31317"/>
    <cellStyle name="김해전기" xfId="31318"/>
    <cellStyle name="김해전기 2" xfId="31319"/>
    <cellStyle name="김호(E4전환)" xfId="31320"/>
    <cellStyle name="김호(E4전환) 2" xfId="31321"/>
    <cellStyle name="끼_x0001_?" xfId="31322"/>
    <cellStyle name="끼_x0001_? 2" xfId="31323"/>
    <cellStyle name="나쁨 2" xfId="31324"/>
    <cellStyle name="나쁨 2 2" xfId="31325"/>
    <cellStyle name="나쁨 3" xfId="31326"/>
    <cellStyle name="나쁨 3 2" xfId="31327"/>
    <cellStyle name="날짜" xfId="31328"/>
    <cellStyle name="날짜 10" xfId="31329"/>
    <cellStyle name="날짜 10 2" xfId="31330"/>
    <cellStyle name="날짜 11" xfId="31331"/>
    <cellStyle name="날짜 11 2" xfId="31332"/>
    <cellStyle name="날짜 12" xfId="31333"/>
    <cellStyle name="날짜 2" xfId="31334"/>
    <cellStyle name="날짜 2 2" xfId="31335"/>
    <cellStyle name="날짜 3" xfId="31336"/>
    <cellStyle name="날짜 3 2" xfId="31337"/>
    <cellStyle name="날짜 4" xfId="31338"/>
    <cellStyle name="날짜 4 2" xfId="31339"/>
    <cellStyle name="날짜 5" xfId="31340"/>
    <cellStyle name="날짜 5 2" xfId="31341"/>
    <cellStyle name="날짜 6" xfId="31342"/>
    <cellStyle name="날짜 6 2" xfId="31343"/>
    <cellStyle name="날짜 7" xfId="31344"/>
    <cellStyle name="날짜 7 2" xfId="31345"/>
    <cellStyle name="날짜 8" xfId="31346"/>
    <cellStyle name="날짜 8 2" xfId="31347"/>
    <cellStyle name="날짜 9" xfId="31348"/>
    <cellStyle name="날짜 9 2" xfId="31349"/>
    <cellStyle name="내역" xfId="31350"/>
    <cellStyle name="내역 2" xfId="31351"/>
    <cellStyle name="내역서" xfId="31352"/>
    <cellStyle name="내역서 2" xfId="31353"/>
    <cellStyle name="단가" xfId="31354"/>
    <cellStyle name="단가 2" xfId="31355"/>
    <cellStyle name="단위" xfId="31356"/>
    <cellStyle name="단위 2" xfId="31357"/>
    <cellStyle name="단위 2 2" xfId="31358"/>
    <cellStyle name="단위 3" xfId="31359"/>
    <cellStyle name="단위(원)" xfId="31360"/>
    <cellStyle name="단위(원) 2" xfId="31361"/>
    <cellStyle name="달러" xfId="31362"/>
    <cellStyle name="달러 10" xfId="31363"/>
    <cellStyle name="달러 10 2" xfId="31364"/>
    <cellStyle name="달러 11" xfId="31365"/>
    <cellStyle name="달러 11 2" xfId="31366"/>
    <cellStyle name="달러 12" xfId="31367"/>
    <cellStyle name="달러 2" xfId="31368"/>
    <cellStyle name="달러 2 2" xfId="31369"/>
    <cellStyle name="달러 3" xfId="31370"/>
    <cellStyle name="달러 3 2" xfId="31371"/>
    <cellStyle name="달러 4" xfId="31372"/>
    <cellStyle name="달러 4 2" xfId="31373"/>
    <cellStyle name="달러 5" xfId="31374"/>
    <cellStyle name="달러 5 2" xfId="31375"/>
    <cellStyle name="달러 6" xfId="31376"/>
    <cellStyle name="달러 6 2" xfId="31377"/>
    <cellStyle name="달러 7" xfId="31378"/>
    <cellStyle name="달러 7 2" xfId="31379"/>
    <cellStyle name="달러 8" xfId="31380"/>
    <cellStyle name="달러 8 2" xfId="31381"/>
    <cellStyle name="달러 9" xfId="31382"/>
    <cellStyle name="달러 9 2" xfId="31383"/>
    <cellStyle name="데이터 영역" xfId="31384"/>
    <cellStyle name="데이터 영역 2" xfId="31385"/>
    <cellStyle name="델ō༚b뎔ō༪b뎬ō༺b빘ōཊb빰ōཚb뺌ōཪb뻘ōེb뻴ōྊb돌ōྚb돴ōྪb된ōྺb됸ō࿊b둔ō࿚b뼘ō࿪b뼸ō࿺b뽨ōညb뾔ōယb뿄ōဪb뒜ō်b뒸ō၊b듌ōၚb들ōၪb듸ōၺb뿴ōႊb쀐ō" xfId="31386"/>
    <cellStyle name="델ō༚b뎔ō༪b뎬ō༺b빘ōཊb빰ōཚb뺌ōཪb뻘ōེb뻴ōྊb돌ōྚb돴ōྪb된ōྺb됸ō࿊b둔ō࿚b뼘ō࿪b뼸ō࿺b뽨ōညb뾔ōယb뿄ōဪb뒜ō်b뒸ō၊b듌ōၚb들ōၪb듸ōၺb뿴ōႊb쀐ō 2" xfId="31387"/>
    <cellStyle name="돋움채" xfId="31388"/>
    <cellStyle name="돋움채 2" xfId="31389"/>
    <cellStyle name="㼿?_제품특성표_MultiV Super3_2" xfId="31033"/>
    <cellStyle name="㼿?㼀㼿?" xfId="31034"/>
    <cellStyle name="㼿?㼀㼿? 2" xfId="31035"/>
    <cellStyle name="㼿?㼀㼿_제품특성표_MultiV Super3_1" xfId="31036"/>
    <cellStyle name="㼿_제품특성표_MultiV Super3_2" xfId="31037"/>
    <cellStyle name="㼿_제품특성표_MultiV Super3_2 2" xfId="31038"/>
    <cellStyle name="㼿㼀㼿" xfId="31039"/>
    <cellStyle name="㼿㼀㼿 2" xfId="31040"/>
    <cellStyle name="㼿㼀㼿?" xfId="31041"/>
    <cellStyle name="㼿㼀㼿? 2" xfId="31042"/>
    <cellStyle name="㼿㼿?_제품특성표_MultiV Super3_3" xfId="31043"/>
    <cellStyle name="㼿㼿_제품특성표_MultiV Super3" xfId="31044"/>
    <cellStyle name="㼿㼿㼿㼿_제품특성표_MultiV Super3_1" xfId="31045"/>
    <cellStyle name="둔ō࿚b뼘ō࿪b뼸ō࿺b뽨ōညb뾔ōယb뿄ōဪb뒜ō်b뒸ō၊b듌ōၚb들ōၪb듸ōၺb뿴ōႊb쀐ōႚb쀬ōႪb쁴ōႺb삐ō჊b딐ōლb따ōცb땔ōჺb땬ōᄊb떀ōᄚb산ōᄪb새ōᄺb샘ōᅋb샬ō" xfId="31390"/>
    <cellStyle name="둔ō࿚b뼘ō࿪b뼸ō࿺b뽨ōညb뾔ōယb뿄ōဪb뒜ō်b뒸ō၊b듌ōၚb들ōၪb듸ōၺb뿴ōႊb쀐ōႚb쀬ōႪb쁴ōႺb삐ō჊b딐ōლb따ōცb땔ōჺb땬ōᄊb떀ōᄚb산ōᄪb새ōᄺb샘ōᅋb샬ō 2" xfId="31391"/>
    <cellStyle name="뒤에 오는 하이퍼링크" xfId="31392"/>
    <cellStyle name="뒤에 오는 하이퍼링크 2" xfId="31393"/>
    <cellStyle name="뒤에 오는 하이퍼링크 2 2" xfId="31394"/>
    <cellStyle name="뒤에 오는 하이퍼링크 3" xfId="31395"/>
    <cellStyle name="뒤에 오는 하이퍼링크 3 2" xfId="31396"/>
    <cellStyle name="뒤에 오는 하이퍼링크 4" xfId="31397"/>
    <cellStyle name="뒤에 오는 하이퍼링크 4 2" xfId="31398"/>
    <cellStyle name="뒤에 오는 하이퍼링크 5" xfId="31399"/>
    <cellStyle name="뒤에 오는 하이퍼링크_국제선1청사 시설개선공사내역서(제출)" xfId="31400"/>
    <cellStyle name="뒸ō၊b듌ōၚb들ōၪb듸ōၺb뿴ōႊb쀐ōႚb쀬ōႪb쁴ōႺb삐ō჊b딐ōლb따ōცb땔ōჺb땬ōᄊb떀ōᄚb산ōᄪb새ōᄺb샘ōᅋb샬ōᅛb샴ōᅪb_x000c_ōᅺb0ōᆊbXōᆚbōᆪb¨ōᆺb섄ō" xfId="31401"/>
    <cellStyle name="뒸ō၊b듌ōၚb들ōၪb듸ōၺb뿴ōႊb쀐ōႚb쀬ōႪb쁴ōႺb삐ō჊b딐ōლb따ōცb땔ōჺb땬ōᄊb떀ōᄚb산ōᄪb새ōᄺb샘ōᅋb샬ōᅛb샴ōᅪb_x000c_ōᅺb0ōᆊbXōᆚbōᆪb¨ōᆺb섄ō 2" xfId="31402"/>
    <cellStyle name="딐ōლb따ōცb땔ōჺb땬ōᄊb떀ōᄚb산ōᄪb새ōᄺb샘ōᅋb샬ōᅛb샴ōᅪb_x000c_ōᅺb0ōᆊbXōᆚbōᆪb¨ōᆺb섄ōᇊb섰ōᇚb셌ōᇪb셨ōᇺb손ōሊbÌōሚbôōሪbŀōሺbŨōቊbƀō" xfId="31403"/>
    <cellStyle name="딐ōლb따ōცb땔ōჺb땬ōᄊb떀ōᄚb산ōᄪb새ōᄺb샘ōᅋb샬ōᅛb샴ōᅪb_x000c_ōᅺb0ōᆊbXōᆚbōᆪb¨ōᆺb섄ōᇊb섰ōᇚb셌ōᇪb셨ōᇺb손ōሊbÌōሚbôōሪbŀōሺbŨōቊbƀō 2" xfId="31404"/>
    <cellStyle name="똿떓죶Ø괻 [0.00]_NT Server " xfId="31405"/>
    <cellStyle name="똿떓죶Ø괻_NT Server " xfId="31406"/>
    <cellStyle name="똿뗦먛귟 [0.00]_laroux" xfId="31407"/>
    <cellStyle name="똿뗦먛귟_laroux" xfId="31408"/>
    <cellStyle name="_x0004_마 [0]" xfId="18"/>
    <cellStyle name="_x0004_마 [0] 2" xfId="19"/>
    <cellStyle name="마이너스키" xfId="31411"/>
    <cellStyle name="마이너스키 2" xfId="31412"/>
    <cellStyle name="마ㅊ춤" xfId="31409"/>
    <cellStyle name="마ㅊ춤 2" xfId="31410"/>
    <cellStyle name="메모 2" xfId="31413"/>
    <cellStyle name="메모 2 10" xfId="31414"/>
    <cellStyle name="메모 2 10 2" xfId="31415"/>
    <cellStyle name="메모 2 11" xfId="31416"/>
    <cellStyle name="메모 2 11 2" xfId="31417"/>
    <cellStyle name="메모 2 12" xfId="31418"/>
    <cellStyle name="메모 2 12 2" xfId="31419"/>
    <cellStyle name="메모 2 13" xfId="31420"/>
    <cellStyle name="메모 2 13 2" xfId="31421"/>
    <cellStyle name="메모 2 14" xfId="31422"/>
    <cellStyle name="메모 2 14 2" xfId="31423"/>
    <cellStyle name="메모 2 15" xfId="31424"/>
    <cellStyle name="메모 2 15 2" xfId="31425"/>
    <cellStyle name="메모 2 16" xfId="31426"/>
    <cellStyle name="메모 2 16 2" xfId="31427"/>
    <cellStyle name="메모 2 17" xfId="31428"/>
    <cellStyle name="메모 2 17 2" xfId="31429"/>
    <cellStyle name="메모 2 18" xfId="31430"/>
    <cellStyle name="메모 2 18 2" xfId="31431"/>
    <cellStyle name="메모 2 19" xfId="31432"/>
    <cellStyle name="메모 2 19 2" xfId="31433"/>
    <cellStyle name="메모 2 2" xfId="31434"/>
    <cellStyle name="메모 2 2 2" xfId="31435"/>
    <cellStyle name="메모 2 20" xfId="31436"/>
    <cellStyle name="메모 2 20 2" xfId="31437"/>
    <cellStyle name="메모 2 21" xfId="31438"/>
    <cellStyle name="메모 2 21 2" xfId="31439"/>
    <cellStyle name="메모 2 22" xfId="31440"/>
    <cellStyle name="메모 2 22 2" xfId="31441"/>
    <cellStyle name="메모 2 23" xfId="31442"/>
    <cellStyle name="메모 2 23 2" xfId="31443"/>
    <cellStyle name="메모 2 24" xfId="31444"/>
    <cellStyle name="메모 2 24 2" xfId="31445"/>
    <cellStyle name="메모 2 25" xfId="31446"/>
    <cellStyle name="메모 2 25 2" xfId="31447"/>
    <cellStyle name="메모 2 26" xfId="31448"/>
    <cellStyle name="메모 2 26 2" xfId="31449"/>
    <cellStyle name="메모 2 27" xfId="31450"/>
    <cellStyle name="메모 2 27 2" xfId="31451"/>
    <cellStyle name="메모 2 28" xfId="31452"/>
    <cellStyle name="메모 2 28 2" xfId="31453"/>
    <cellStyle name="메모 2 29" xfId="31454"/>
    <cellStyle name="메모 2 29 2" xfId="31455"/>
    <cellStyle name="메모 2 3" xfId="31456"/>
    <cellStyle name="메모 2 3 2" xfId="31457"/>
    <cellStyle name="메모 2 30" xfId="31458"/>
    <cellStyle name="메모 2 30 2" xfId="31459"/>
    <cellStyle name="메모 2 31" xfId="31460"/>
    <cellStyle name="메모 2 31 2" xfId="31461"/>
    <cellStyle name="메모 2 32" xfId="31462"/>
    <cellStyle name="메모 2 32 2" xfId="31463"/>
    <cellStyle name="메모 2 33" xfId="31464"/>
    <cellStyle name="메모 2 33 2" xfId="31465"/>
    <cellStyle name="메모 2 34" xfId="31466"/>
    <cellStyle name="메모 2 34 2" xfId="31467"/>
    <cellStyle name="메모 2 35" xfId="31468"/>
    <cellStyle name="메모 2 35 2" xfId="31469"/>
    <cellStyle name="메모 2 36" xfId="31470"/>
    <cellStyle name="메모 2 36 2" xfId="31471"/>
    <cellStyle name="메모 2 37" xfId="31472"/>
    <cellStyle name="메모 2 37 2" xfId="31473"/>
    <cellStyle name="메모 2 38" xfId="31474"/>
    <cellStyle name="메모 2 4" xfId="31475"/>
    <cellStyle name="메모 2 4 2" xfId="31476"/>
    <cellStyle name="메모 2 5" xfId="31477"/>
    <cellStyle name="메모 2 5 2" xfId="31478"/>
    <cellStyle name="메모 2 6" xfId="31479"/>
    <cellStyle name="메모 2 6 2" xfId="31480"/>
    <cellStyle name="메모 2 7" xfId="31481"/>
    <cellStyle name="메모 2 7 2" xfId="31482"/>
    <cellStyle name="메모 2 8" xfId="31483"/>
    <cellStyle name="메모 2 8 2" xfId="31484"/>
    <cellStyle name="메모 2 9" xfId="31485"/>
    <cellStyle name="메모 2 9 2" xfId="31486"/>
    <cellStyle name="메모 2_김포한강 A-5BL AL창호중량" xfId="31487"/>
    <cellStyle name="메모 3" xfId="31488"/>
    <cellStyle name="메모 3 2" xfId="31489"/>
    <cellStyle name="메모 3 2 2" xfId="31490"/>
    <cellStyle name="메모 3 3" xfId="31491"/>
    <cellStyle name="메모 4" xfId="31492"/>
    <cellStyle name="메모 4 2" xfId="31493"/>
    <cellStyle name="메모 4 2 2" xfId="31494"/>
    <cellStyle name="메모 4 3" xfId="31495"/>
    <cellStyle name="메모 5" xfId="31496"/>
    <cellStyle name="메모 5 2" xfId="31497"/>
    <cellStyle name="메모 6" xfId="31498"/>
    <cellStyle name="메모 6 2" xfId="31499"/>
    <cellStyle name="메모 7" xfId="31500"/>
    <cellStyle name="메모 7 2" xfId="31501"/>
    <cellStyle name="메모 8" xfId="31502"/>
    <cellStyle name="메모 8 2" xfId="31503"/>
    <cellStyle name="묮뎋 [0.00]_NT Server " xfId="31504"/>
    <cellStyle name="묮뎋_NT Server " xfId="31505"/>
    <cellStyle name="물량집계(갑)" xfId="31506"/>
    <cellStyle name="물량집계(갑) 2" xfId="31507"/>
    <cellStyle name="믅됞 [0.00]_laroux" xfId="31508"/>
    <cellStyle name="믅됞_laroux" xfId="31509"/>
    <cellStyle name="未定義" xfId="31149"/>
    <cellStyle name="未定義 2" xfId="31150"/>
    <cellStyle name="반공사.xls" xfId="31510"/>
    <cellStyle name="반공사.xls 2" xfId="31511"/>
    <cellStyle name="攀䌀爀椀琀攀爀椀愀" xfId="31143"/>
    <cellStyle name="攀䌀爀椀琀攀爀椀愀 2" xfId="31144"/>
    <cellStyle name="攀䌀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45"/>
    <cellStyle name="攀䌀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19" xfId="31146"/>
    <cellStyle name="攀䔀砀琀爀愀挀琀䐀愀琀愀戀愀猀攀䌀爀椀琀攀爀" xfId="31147"/>
    <cellStyle name="攀䔀砀琀爀愀挀琀䐀愀琀愀戀愀猀攀䌀爀椀琀攀爀 2" xfId="31148"/>
    <cellStyle name="배분" xfId="31512"/>
    <cellStyle name="배분 2" xfId="31513"/>
    <cellStyle name="배분 2 2" xfId="31514"/>
    <cellStyle name="배분 3" xfId="31515"/>
    <cellStyle name="백" xfId="31516"/>
    <cellStyle name="백 " xfId="31517"/>
    <cellStyle name="백  2" xfId="31518"/>
    <cellStyle name="백  2 2" xfId="31519"/>
    <cellStyle name="백  3" xfId="31520"/>
    <cellStyle name="백  3 2" xfId="31521"/>
    <cellStyle name="백  4" xfId="31522"/>
    <cellStyle name="백  4 2" xfId="31523"/>
    <cellStyle name="백  5" xfId="31524"/>
    <cellStyle name="백  5 2" xfId="31525"/>
    <cellStyle name="백  6" xfId="31526"/>
    <cellStyle name="백  6 2" xfId="31527"/>
    <cellStyle name="백  7" xfId="31528"/>
    <cellStyle name="백  7 2" xfId="31529"/>
    <cellStyle name="백  8" xfId="31530"/>
    <cellStyle name="백 2" xfId="31531"/>
    <cellStyle name="백_여수-죽림 세대" xfId="31532"/>
    <cellStyle name="백_여수-죽림 세대 2" xfId="31533"/>
    <cellStyle name="백_여수-죽림 세대_1" xfId="31534"/>
    <cellStyle name="백_여수-죽림 세대_1 2" xfId="31535"/>
    <cellStyle name="백_우수1(변경)_발주내역서 " xfId="31536"/>
    <cellStyle name="백_우수공_발주내역서 " xfId="31537"/>
    <cellStyle name="백분율 [△1]" xfId="31595"/>
    <cellStyle name="백분율 [△1] 2" xfId="31596"/>
    <cellStyle name="백분율 [△2]" xfId="31597"/>
    <cellStyle name="백분율 [△2] 2" xfId="31598"/>
    <cellStyle name="백분율 [0]" xfId="31589"/>
    <cellStyle name="백분율 [0] 2" xfId="31590"/>
    <cellStyle name="백분율 [1]" xfId="31591"/>
    <cellStyle name="백분율 [1] 2" xfId="31592"/>
    <cellStyle name="백분율 [2]" xfId="31593"/>
    <cellStyle name="백분율 [2] 2" xfId="31594"/>
    <cellStyle name="백분율 2" xfId="31538"/>
    <cellStyle name="백분율 2 10" xfId="31539"/>
    <cellStyle name="백분율 2 10 2" xfId="31540"/>
    <cellStyle name="백분율 2 11" xfId="31541"/>
    <cellStyle name="백분율 2 11 2" xfId="31542"/>
    <cellStyle name="백분율 2 12" xfId="31543"/>
    <cellStyle name="백분율 2 12 2" xfId="31544"/>
    <cellStyle name="백분율 2 13" xfId="31545"/>
    <cellStyle name="백분율 2 13 2" xfId="31546"/>
    <cellStyle name="백분율 2 14" xfId="31547"/>
    <cellStyle name="백분율 2 14 2" xfId="31548"/>
    <cellStyle name="백분율 2 15" xfId="31549"/>
    <cellStyle name="백분율 2 15 2" xfId="31550"/>
    <cellStyle name="백분율 2 16" xfId="31551"/>
    <cellStyle name="백분율 2 16 2" xfId="31552"/>
    <cellStyle name="백분율 2 17" xfId="31553"/>
    <cellStyle name="백분율 2 17 2" xfId="31554"/>
    <cellStyle name="백분율 2 18" xfId="31555"/>
    <cellStyle name="백분율 2 18 2" xfId="31556"/>
    <cellStyle name="백분율 2 19" xfId="31557"/>
    <cellStyle name="백분율 2 2" xfId="31558"/>
    <cellStyle name="백분율 2 2 2" xfId="31559"/>
    <cellStyle name="백분율 2 3" xfId="31560"/>
    <cellStyle name="백분율 2 3 2" xfId="31561"/>
    <cellStyle name="백분율 2 3 2 2" xfId="31562"/>
    <cellStyle name="백분율 2 3 3" xfId="31563"/>
    <cellStyle name="백분율 2 4" xfId="31564"/>
    <cellStyle name="백분율 2 4 2" xfId="31565"/>
    <cellStyle name="백분율 2 5" xfId="31566"/>
    <cellStyle name="백분율 2 5 2" xfId="31567"/>
    <cellStyle name="백분율 2 6" xfId="31568"/>
    <cellStyle name="백분율 2 6 2" xfId="31569"/>
    <cellStyle name="백분율 2 7" xfId="31570"/>
    <cellStyle name="백분율 2 7 2" xfId="31571"/>
    <cellStyle name="백분율 2 8" xfId="31572"/>
    <cellStyle name="백분율 2 8 2" xfId="31573"/>
    <cellStyle name="백분율 2 9" xfId="31574"/>
    <cellStyle name="백분율 2 9 2" xfId="31575"/>
    <cellStyle name="백분율 3" xfId="31576"/>
    <cellStyle name="백분율 3 2" xfId="31577"/>
    <cellStyle name="백분율 3 2 2" xfId="31578"/>
    <cellStyle name="백분율 3 3" xfId="31579"/>
    <cellStyle name="백분율 4" xfId="31580"/>
    <cellStyle name="백분율 4 2" xfId="31581"/>
    <cellStyle name="백분율 4 2 2" xfId="31582"/>
    <cellStyle name="백분율 4 3" xfId="31583"/>
    <cellStyle name="백분율 5" xfId="31584"/>
    <cellStyle name="백분율 5 2" xfId="31585"/>
    <cellStyle name="백분율 6" xfId="31586"/>
    <cellStyle name="백분율 6 2" xfId="31587"/>
    <cellStyle name="백분율 7" xfId="31588"/>
    <cellStyle name="백분율［△1］" xfId="31601"/>
    <cellStyle name="백분율［△1］ 2" xfId="31602"/>
    <cellStyle name="백분율［△1］ 2 2" xfId="31603"/>
    <cellStyle name="백분율［△1］ 3" xfId="31604"/>
    <cellStyle name="백분율［△2］" xfId="31605"/>
    <cellStyle name="백분율［△2］ 2" xfId="31606"/>
    <cellStyle name="백분율［△2］ 2 2" xfId="31607"/>
    <cellStyle name="백분율［△2］ 3" xfId="31608"/>
    <cellStyle name="백분율[1]" xfId="31599"/>
    <cellStyle name="백분율[1] 2" xfId="31600"/>
    <cellStyle name="벭?_Q1 PRODUCT ACTUAL_4월 (2)" xfId="31609"/>
    <cellStyle name="挀琀䐀愀琀愀戀愀猀攀䌀爀椀琀攀爀" xfId="31141"/>
    <cellStyle name="挀琀䐀愀琀愀戀愀猀攀䌀爀椀琀攀爀 2" xfId="31142"/>
    <cellStyle name="보통 2" xfId="31610"/>
    <cellStyle name="보통 2 2" xfId="31611"/>
    <cellStyle name="보통 3" xfId="31612"/>
    <cellStyle name="보통 3 2" xfId="31613"/>
    <cellStyle name="본문" xfId="31614"/>
    <cellStyle name="본문 2" xfId="31615"/>
    <cellStyle name="본문체" xfId="31616"/>
    <cellStyle name="본문체 2" xfId="31617"/>
    <cellStyle name="분수" xfId="31618"/>
    <cellStyle name="분수 2" xfId="31619"/>
    <cellStyle name="붘ōบb붴ōสb뷄ōฺb뷘ō๊b닄ō๚b닜ō๪b닰ō๺b댜ōຊb댸ōບb뷬ōສb븄ō຺b블ō໊b븨ō໚b븼ō໪b덐ō໺b덠ō༊b델ō༚b뎔ō༪b뎬ō༺b빘ōཊb빰ōཚb뺌ōཪb뻘ōེb뻴ōྊb돌ō" xfId="31620"/>
    <cellStyle name="붘ōบb붴ōสb뷄ōฺb뷘ō๊b닄ō๚b닜ō๪b닰ō๺b댜ōຊb댸ōບb뷬ōສb븄ō຺b블ō໊b븨ō໚b븼ō໪b덐ō໺b덠ō༊b델ō༚b뎔ō༪b뎬ō༺b빘ōཊb빰ōཚb뺌ōཪb뻘ōེb뻴ōྊb돌ō 2" xfId="31621"/>
    <cellStyle name="뷭?" xfId="31622"/>
    <cellStyle name="뷭? 2" xfId="31623"/>
    <cellStyle name="뷭? 2 2" xfId="31624"/>
    <cellStyle name="뷭? 3" xfId="31625"/>
    <cellStyle name="븨ō໚b븼ō໪b덐ō໺b덠ō༊b델ō༚b뎔ō༪b뎬ō༺b빘ōཊb빰ōཚb뺌ōཪb뻘ōེb뻴ōྊb돌ōྚb돴ōྪb된ōྺb됸ō࿊b둔ō࿚b뼘ō࿪b뼸ō࿺b뽨ōညb뾔ōယb뿄ōဪb뒜ō်b뒸ō၊b듌ō" xfId="31626"/>
    <cellStyle name="븨ō໚b븼ō໪b덐ō໺b덠ō༊b델ō༚b뎔ō༪b뎬ō༺b빘ōཊb빰ōཚb뺌ōཪb뻘ōེb뻴ōྊb돌ōྚb돴ōྪb된ōྺb됸ō࿊b둔ō࿚b뼘ō࿪b뼸ō࿺b뽨ōညb뾔ōယb뿄ōဪb뒜ō်b뒸ō၊b듌ō 2" xfId="31627"/>
    <cellStyle name="빨강" xfId="31628"/>
    <cellStyle name="빨강 2" xfId="31629"/>
    <cellStyle name="빨강 2 2" xfId="31630"/>
    <cellStyle name="빨강 3" xfId="31631"/>
    <cellStyle name="뻴ōྊb돌ōྚb돴ōྪb된ōྺb됸ō࿊b둔ō࿚b뼘ō࿪b뼸ō࿺b뽨ōညb뾔ōယb뿄ōဪb뒜ō်b뒸ō၊b듌ōၚb들ōၪb듸ōၺb뿴ōႊb쀐ōႚb쀬ōႪb쁴ōႺb삐ō჊b딐ōლb따ōცb땔ōჺb땬ō" xfId="31632"/>
    <cellStyle name="뻴ōྊb돌ōྚb돴ōྪb된ōྺb됸ō࿊b둔ō࿚b뼘ō࿪b뼸ō࿺b뽨ōညb뾔ōယb뿄ōဪb뒜ō်b뒸ō၊b듌ōၚb들ōၪb듸ōၺb뿴ōႊb쀐ōႚb쀬ōႪb쁴ōႺb삐ō჊b딐ōლb따ōცb땔ōჺb땬ō 2" xfId="31633"/>
    <cellStyle name="猀Ԁ" xfId="31162"/>
    <cellStyle name="猀Ԁ 2" xfId="31163"/>
    <cellStyle name="猀攀䌀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64"/>
    <cellStyle name="猀攀䌀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0" xfId="31165"/>
    <cellStyle name="猀攀䔀砀琀爀愀挀琀䐀愀琀愀戀愀猀攀䌀爀椀琀攀爀椀" xfId="31166"/>
    <cellStyle name="猀攀䔀砀琀爀愀挀琀䐀愀琀愀戀愀猀攀䌀爀椀琀攀爀椀 2" xfId="31167"/>
    <cellStyle name="猀攀䔀砀琀爀愀挀琀䐀愀琀愀戀愀猀攀䌀爀椀琀攀爀椀愀倀" xfId="31168"/>
    <cellStyle name="猀攀䔀砀琀爀愀挀琀䐀愀琀愀戀愀猀攀䌀爀椀琀攀爀椀愀倀 2" xfId="31169"/>
    <cellStyle name="사업장별" xfId="31634"/>
    <cellStyle name="사업장별 2" xfId="31635"/>
    <cellStyle name="삽입" xfId="31636"/>
    <cellStyle name="삽입 2" xfId="31637"/>
    <cellStyle name="常规_02物动" xfId="31138"/>
    <cellStyle name="새귑[0]_撚젬목駕 " xfId="31638"/>
    <cellStyle name="새귑_撚젬목駕 " xfId="31639"/>
    <cellStyle name="새로 만들기" xfId="31640"/>
    <cellStyle name="새로 만들기 2" xfId="31641"/>
    <cellStyle name="선택영역" xfId="31642"/>
    <cellStyle name="선택영역 2" xfId="31643"/>
    <cellStyle name="선택영역의 가운데로" xfId="31644"/>
    <cellStyle name="선택영역의 가운데로 2" xfId="31645"/>
    <cellStyle name="선택영역의 가운데로 2 2" xfId="31646"/>
    <cellStyle name="선택영역의 가운데로 3" xfId="31647"/>
    <cellStyle name="설계서" xfId="31648"/>
    <cellStyle name="설계서 2" xfId="31649"/>
    <cellStyle name="설계서-내용" xfId="31650"/>
    <cellStyle name="설계서-내용 2" xfId="31651"/>
    <cellStyle name="설계서-내용-소수점" xfId="31652"/>
    <cellStyle name="설계서-내용-소수점 2" xfId="31653"/>
    <cellStyle name="설계서-내용-우" xfId="31654"/>
    <cellStyle name="설계서-내용-우 2" xfId="31655"/>
    <cellStyle name="설계서-내용-좌" xfId="31656"/>
    <cellStyle name="설계서-내용-좌 2" xfId="31657"/>
    <cellStyle name="설계서-소제목" xfId="31658"/>
    <cellStyle name="설계서-소제목 2" xfId="31659"/>
    <cellStyle name="설계서-타이틀" xfId="31660"/>
    <cellStyle name="설계서-타이틀 2" xfId="31661"/>
    <cellStyle name="설계서-항목" xfId="31662"/>
    <cellStyle name="설계서-항목 2" xfId="31663"/>
    <cellStyle name="설명 텍스트 2" xfId="31664"/>
    <cellStyle name="설명 텍스트 2 2" xfId="31665"/>
    <cellStyle name="설명 텍스트 3" xfId="31666"/>
    <cellStyle name="설명 텍스트 3 2" xfId="31667"/>
    <cellStyle name="셀 확인 2" xfId="31668"/>
    <cellStyle name="셀 확인 2 2" xfId="31669"/>
    <cellStyle name="셀 확인 3" xfId="31670"/>
    <cellStyle name="셀 확인 3 2" xfId="31671"/>
    <cellStyle name="소수" xfId="31672"/>
    <cellStyle name="소수 2" xfId="31673"/>
    <cellStyle name="소수3" xfId="31674"/>
    <cellStyle name="소수3 2" xfId="31675"/>
    <cellStyle name="소수4" xfId="31676"/>
    <cellStyle name="소수4 2" xfId="31677"/>
    <cellStyle name="소수점" xfId="31678"/>
    <cellStyle name="소수점 2" xfId="31679"/>
    <cellStyle name="소수점 2 2" xfId="31680"/>
    <cellStyle name="소수점 3" xfId="31681"/>
    <cellStyle name="수량" xfId="31682"/>
    <cellStyle name="수량 10" xfId="31683"/>
    <cellStyle name="수량 10 2" xfId="31684"/>
    <cellStyle name="수량 11" xfId="31685"/>
    <cellStyle name="수량 11 2" xfId="31686"/>
    <cellStyle name="수량 12" xfId="31687"/>
    <cellStyle name="수량 12 2" xfId="31688"/>
    <cellStyle name="수량 13" xfId="31689"/>
    <cellStyle name="수량 2" xfId="31690"/>
    <cellStyle name="수량 2 2" xfId="31691"/>
    <cellStyle name="수량 3" xfId="31692"/>
    <cellStyle name="수량 3 2" xfId="31693"/>
    <cellStyle name="수량 4" xfId="31694"/>
    <cellStyle name="수량 4 2" xfId="31695"/>
    <cellStyle name="수량 5" xfId="31696"/>
    <cellStyle name="수량 5 2" xfId="31697"/>
    <cellStyle name="수량 6" xfId="31698"/>
    <cellStyle name="수량 6 2" xfId="31699"/>
    <cellStyle name="수량 7" xfId="31700"/>
    <cellStyle name="수량 7 2" xfId="31701"/>
    <cellStyle name="수량 8" xfId="31702"/>
    <cellStyle name="수량 8 2" xfId="31703"/>
    <cellStyle name="수량 9" xfId="31704"/>
    <cellStyle name="수량 9 2" xfId="31705"/>
    <cellStyle name="숨기기" xfId="31706"/>
    <cellStyle name="숨기기 2" xfId="31707"/>
    <cellStyle name="숫자" xfId="31708"/>
    <cellStyle name="숫자 2" xfId="31709"/>
    <cellStyle name="숫자 2 2" xfId="31710"/>
    <cellStyle name="숫자 3" xfId="31711"/>
    <cellStyle name="숫자(R)" xfId="31712"/>
    <cellStyle name="숫자(R) 10" xfId="31713"/>
    <cellStyle name="숫자(R) 10 2" xfId="31714"/>
    <cellStyle name="숫자(R) 11" xfId="31715"/>
    <cellStyle name="숫자(R) 11 2" xfId="31716"/>
    <cellStyle name="숫자(R) 12" xfId="31717"/>
    <cellStyle name="숫자(R) 12 2" xfId="31718"/>
    <cellStyle name="숫자(R) 13" xfId="31719"/>
    <cellStyle name="숫자(R) 13 2" xfId="31720"/>
    <cellStyle name="숫자(R) 14" xfId="31721"/>
    <cellStyle name="숫자(R) 14 2" xfId="31722"/>
    <cellStyle name="숫자(R) 15" xfId="31723"/>
    <cellStyle name="숫자(R) 15 2" xfId="31724"/>
    <cellStyle name="숫자(R) 16" xfId="31725"/>
    <cellStyle name="숫자(R) 16 2" xfId="31726"/>
    <cellStyle name="숫자(R) 17" xfId="31727"/>
    <cellStyle name="숫자(R) 17 2" xfId="31728"/>
    <cellStyle name="숫자(R) 18" xfId="31729"/>
    <cellStyle name="숫자(R) 18 2" xfId="31730"/>
    <cellStyle name="숫자(R) 19" xfId="31731"/>
    <cellStyle name="숫자(R) 2" xfId="31732"/>
    <cellStyle name="숫자(R) 2 2" xfId="31733"/>
    <cellStyle name="숫자(R) 3" xfId="31734"/>
    <cellStyle name="숫자(R) 3 2" xfId="31735"/>
    <cellStyle name="숫자(R) 4" xfId="31736"/>
    <cellStyle name="숫자(R) 4 2" xfId="31737"/>
    <cellStyle name="숫자(R) 5" xfId="31738"/>
    <cellStyle name="숫자(R) 5 2" xfId="31739"/>
    <cellStyle name="숫자(R) 6" xfId="31740"/>
    <cellStyle name="숫자(R) 6 2" xfId="31741"/>
    <cellStyle name="숫자(R) 7" xfId="31742"/>
    <cellStyle name="숫자(R) 7 2" xfId="31743"/>
    <cellStyle name="숫자(R) 8" xfId="31744"/>
    <cellStyle name="숫자(R) 8 2" xfId="31745"/>
    <cellStyle name="숫자(R) 9" xfId="31746"/>
    <cellStyle name="숫자(R) 9 2" xfId="31747"/>
    <cellStyle name="숫자_구로이천일아울렛파머스렛견적서" xfId="31748"/>
    <cellStyle name="쉼표 [0] 10" xfId="31749"/>
    <cellStyle name="쉼표 [0] 10 2" xfId="31750"/>
    <cellStyle name="쉼표 [0] 11" xfId="31751"/>
    <cellStyle name="쉼표 [0] 11 2" xfId="31752"/>
    <cellStyle name="쉼표 [0] 12" xfId="31753"/>
    <cellStyle name="쉼표 [0] 12 2" xfId="31754"/>
    <cellStyle name="쉼표 [0] 13" xfId="31755"/>
    <cellStyle name="쉼표 [0] 13 2" xfId="31756"/>
    <cellStyle name="쉼표 [0] 14" xfId="31757"/>
    <cellStyle name="쉼표 [0] 14 2" xfId="31758"/>
    <cellStyle name="쉼표 [0] 15" xfId="31759"/>
    <cellStyle name="쉼표 [0] 15 2" xfId="31760"/>
    <cellStyle name="쉼표 [0] 16" xfId="31761"/>
    <cellStyle name="쉼표 [0] 16 2" xfId="31762"/>
    <cellStyle name="쉼표 [0] 17" xfId="31763"/>
    <cellStyle name="쉼표 [0] 17 2" xfId="31764"/>
    <cellStyle name="쉼표 [0] 18" xfId="31765"/>
    <cellStyle name="쉼표 [0] 18 2" xfId="31766"/>
    <cellStyle name="쉼표 [0] 19" xfId="31767"/>
    <cellStyle name="쉼표 [0] 19 2" xfId="31768"/>
    <cellStyle name="쉼표 [0] 2" xfId="31769"/>
    <cellStyle name="쉼표 [0] 2 10" xfId="31770"/>
    <cellStyle name="쉼표 [0] 2 10 2" xfId="31771"/>
    <cellStyle name="쉼표 [0] 2 11" xfId="31772"/>
    <cellStyle name="쉼표 [0] 2 11 2" xfId="31773"/>
    <cellStyle name="쉼표 [0] 2 12" xfId="31774"/>
    <cellStyle name="쉼표 [0] 2 12 2" xfId="31775"/>
    <cellStyle name="쉼표 [0] 2 13" xfId="31776"/>
    <cellStyle name="쉼표 [0] 2 13 2" xfId="31777"/>
    <cellStyle name="쉼표 [0] 2 14" xfId="31778"/>
    <cellStyle name="쉼표 [0] 2 14 2" xfId="31779"/>
    <cellStyle name="쉼표 [0] 2 15" xfId="31780"/>
    <cellStyle name="쉼표 [0] 2 15 2" xfId="31781"/>
    <cellStyle name="쉼표 [0] 2 16" xfId="31782"/>
    <cellStyle name="쉼표 [0] 2 16 2" xfId="31783"/>
    <cellStyle name="쉼표 [0] 2 17" xfId="31784"/>
    <cellStyle name="쉼표 [0] 2 17 2" xfId="31785"/>
    <cellStyle name="쉼표 [0] 2 18" xfId="31786"/>
    <cellStyle name="쉼표 [0] 2 19" xfId="31787"/>
    <cellStyle name="쉼표 [0] 2 19 2" xfId="31788"/>
    <cellStyle name="쉼표 [0] 2 2" xfId="31789"/>
    <cellStyle name="쉼표 [0] 2 2 10" xfId="31790"/>
    <cellStyle name="쉼표 [0] 2 2 10 2" xfId="31791"/>
    <cellStyle name="쉼표 [0] 2 2 11" xfId="31792"/>
    <cellStyle name="쉼표 [0] 2 2 11 2" xfId="31793"/>
    <cellStyle name="쉼표 [0] 2 2 12" xfId="31794"/>
    <cellStyle name="쉼표 [0] 2 2 12 2" xfId="31795"/>
    <cellStyle name="쉼표 [0] 2 2 13" xfId="31796"/>
    <cellStyle name="쉼표 [0] 2 2 13 2" xfId="31797"/>
    <cellStyle name="쉼표 [0] 2 2 14" xfId="31798"/>
    <cellStyle name="쉼표 [0] 2 2 14 2" xfId="31799"/>
    <cellStyle name="쉼표 [0] 2 2 15" xfId="31800"/>
    <cellStyle name="쉼표 [0] 2 2 15 2" xfId="31801"/>
    <cellStyle name="쉼표 [0] 2 2 16" xfId="31802"/>
    <cellStyle name="쉼표 [0] 2 2 16 2" xfId="31803"/>
    <cellStyle name="쉼표 [0] 2 2 17" xfId="31804"/>
    <cellStyle name="쉼표 [0] 2 2 17 2" xfId="31805"/>
    <cellStyle name="쉼표 [0] 2 2 18" xfId="31806"/>
    <cellStyle name="쉼표 [0] 2 2 19" xfId="31807"/>
    <cellStyle name="쉼표 [0] 2 2 2" xfId="31808"/>
    <cellStyle name="쉼표 [0] 2 2 2 2" xfId="31809"/>
    <cellStyle name="쉼표 [0] 2 2 2 2 2" xfId="31810"/>
    <cellStyle name="쉼표 [0] 2 2 2 2 2 2" xfId="31811"/>
    <cellStyle name="쉼표 [0] 2 2 2 2 2 2 2" xfId="31812"/>
    <cellStyle name="쉼표 [0] 2 2 2 2 2 3" xfId="31813"/>
    <cellStyle name="쉼표 [0] 2 2 2 2 3" xfId="31814"/>
    <cellStyle name="쉼표 [0] 2 2 2 2 3 2" xfId="31815"/>
    <cellStyle name="쉼표 [0] 2 2 2 2 4" xfId="31816"/>
    <cellStyle name="쉼표 [0] 2 2 2 2 4 2" xfId="31817"/>
    <cellStyle name="쉼표 [0] 2 2 2 2 5" xfId="31818"/>
    <cellStyle name="쉼표 [0] 2 2 2 2 5 2" xfId="31819"/>
    <cellStyle name="쉼표 [0] 2 2 2 2 6" xfId="31820"/>
    <cellStyle name="쉼표 [0] 2 2 2 2 6 2" xfId="31821"/>
    <cellStyle name="쉼표 [0] 2 2 2 2 7" xfId="31822"/>
    <cellStyle name="쉼표 [0] 2 2 2 3" xfId="31823"/>
    <cellStyle name="쉼표 [0] 2 2 2 3 2" xfId="31824"/>
    <cellStyle name="쉼표 [0] 2 2 2 4" xfId="31825"/>
    <cellStyle name="쉼표 [0] 2 2 2 4 2" xfId="31826"/>
    <cellStyle name="쉼표 [0] 2 2 2 4 2 2" xfId="31827"/>
    <cellStyle name="쉼표 [0] 2 2 2 4 3" xfId="31828"/>
    <cellStyle name="쉼표 [0] 2 2 2 5" xfId="31829"/>
    <cellStyle name="쉼표 [0] 2 2 2 5 2" xfId="31830"/>
    <cellStyle name="쉼표 [0] 2 2 2 6" xfId="31831"/>
    <cellStyle name="쉼표 [0] 2 2 2 6 2" xfId="31832"/>
    <cellStyle name="쉼표 [0] 2 2 2 7" xfId="31833"/>
    <cellStyle name="쉼표 [0] 2 2 2 7 2" xfId="31834"/>
    <cellStyle name="쉼표 [0] 2 2 2 8" xfId="31835"/>
    <cellStyle name="쉼표 [0] 2 2 2 9" xfId="31836"/>
    <cellStyle name="쉼표 [0] 2 2 3" xfId="31837"/>
    <cellStyle name="쉼표 [0] 2 2 3 2" xfId="31838"/>
    <cellStyle name="쉼표 [0] 2 2 4" xfId="31839"/>
    <cellStyle name="쉼표 [0] 2 2 4 2" xfId="31840"/>
    <cellStyle name="쉼표 [0] 2 2 5" xfId="31841"/>
    <cellStyle name="쉼표 [0] 2 2 5 2" xfId="31842"/>
    <cellStyle name="쉼표 [0] 2 2 6" xfId="31843"/>
    <cellStyle name="쉼표 [0] 2 2 6 2" xfId="31844"/>
    <cellStyle name="쉼표 [0] 2 2 7" xfId="31845"/>
    <cellStyle name="쉼표 [0] 2 2 7 2" xfId="31846"/>
    <cellStyle name="쉼표 [0] 2 2 8" xfId="31847"/>
    <cellStyle name="쉼표 [0] 2 2 8 2" xfId="31848"/>
    <cellStyle name="쉼표 [0] 2 2 8 2 2" xfId="31849"/>
    <cellStyle name="쉼표 [0] 2 2 8 3" xfId="31850"/>
    <cellStyle name="쉼표 [0] 2 2 9" xfId="31851"/>
    <cellStyle name="쉼표 [0] 2 2 9 2" xfId="31852"/>
    <cellStyle name="쉼표 [0] 2 3" xfId="31853"/>
    <cellStyle name="쉼표 [0] 2 3 2" xfId="31854"/>
    <cellStyle name="쉼표 [0] 2 3 2 2" xfId="31855"/>
    <cellStyle name="쉼표 [0] 2 3 3" xfId="31856"/>
    <cellStyle name="쉼표 [0] 2 3 4" xfId="31857"/>
    <cellStyle name="쉼표 [0] 2 4" xfId="31858"/>
    <cellStyle name="쉼표 [0] 2 4 2" xfId="31859"/>
    <cellStyle name="쉼표 [0] 2 4 3" xfId="31860"/>
    <cellStyle name="쉼표 [0] 2 5" xfId="31861"/>
    <cellStyle name="쉼표 [0] 2 5 2" xfId="31862"/>
    <cellStyle name="쉼표 [0] 2 6" xfId="31863"/>
    <cellStyle name="쉼표 [0] 2 6 2" xfId="31864"/>
    <cellStyle name="쉼표 [0] 2 7" xfId="31865"/>
    <cellStyle name="쉼표 [0] 2 7 2" xfId="31866"/>
    <cellStyle name="쉼표 [0] 2 8" xfId="31867"/>
    <cellStyle name="쉼표 [0] 2 8 2" xfId="31868"/>
    <cellStyle name="쉼표 [0] 2 9" xfId="31869"/>
    <cellStyle name="쉼표 [0] 2 9 2" xfId="31870"/>
    <cellStyle name="쉼표 [0] 20" xfId="31871"/>
    <cellStyle name="쉼표 [0] 20 2" xfId="31872"/>
    <cellStyle name="쉼표 [0] 21" xfId="31873"/>
    <cellStyle name="쉼표 [0] 22" xfId="31874"/>
    <cellStyle name="쉼표 [0] 23" xfId="31875"/>
    <cellStyle name="쉼표 [0] 24" xfId="31876"/>
    <cellStyle name="쉼표 [0] 25" xfId="31877"/>
    <cellStyle name="쉼표 [0] 26" xfId="31878"/>
    <cellStyle name="쉼표 [0] 27" xfId="31879"/>
    <cellStyle name="쉼표 [0] 28" xfId="31880"/>
    <cellStyle name="쉼표 [0] 3" xfId="31881"/>
    <cellStyle name="쉼표 [0] 3 10" xfId="31882"/>
    <cellStyle name="쉼표 [0] 3 10 2" xfId="31883"/>
    <cellStyle name="쉼표 [0] 3 11" xfId="31884"/>
    <cellStyle name="쉼표 [0] 3 11 2" xfId="31885"/>
    <cellStyle name="쉼표 [0] 3 12" xfId="31886"/>
    <cellStyle name="쉼표 [0] 3 12 2" xfId="31887"/>
    <cellStyle name="쉼표 [0] 3 13" xfId="31888"/>
    <cellStyle name="쉼표 [0] 3 13 2" xfId="31889"/>
    <cellStyle name="쉼표 [0] 3 14" xfId="31890"/>
    <cellStyle name="쉼표 [0] 3 14 2" xfId="31891"/>
    <cellStyle name="쉼표 [0] 3 15" xfId="31892"/>
    <cellStyle name="쉼표 [0] 3 15 2" xfId="31893"/>
    <cellStyle name="쉼표 [0] 3 16" xfId="31894"/>
    <cellStyle name="쉼표 [0] 3 16 2" xfId="31895"/>
    <cellStyle name="쉼표 [0] 3 17" xfId="31896"/>
    <cellStyle name="쉼표 [0] 3 17 2" xfId="31897"/>
    <cellStyle name="쉼표 [0] 3 18" xfId="31898"/>
    <cellStyle name="쉼표 [0] 3 18 2" xfId="31899"/>
    <cellStyle name="쉼표 [0] 3 18 2 2" xfId="31900"/>
    <cellStyle name="쉼표 [0] 3 18 3" xfId="31901"/>
    <cellStyle name="쉼표 [0] 3 19" xfId="31902"/>
    <cellStyle name="쉼표 [0] 3 19 2" xfId="31903"/>
    <cellStyle name="쉼표 [0] 3 2" xfId="31904"/>
    <cellStyle name="쉼표 [0] 3 2 10" xfId="31905"/>
    <cellStyle name="쉼표 [0] 3 2 2" xfId="31906"/>
    <cellStyle name="쉼표 [0] 3 2 2 2" xfId="31907"/>
    <cellStyle name="쉼표 [0] 3 2 2 2 2" xfId="31908"/>
    <cellStyle name="쉼표 [0] 3 2 2 2 2 2" xfId="31909"/>
    <cellStyle name="쉼표 [0] 3 2 2 2 3" xfId="31910"/>
    <cellStyle name="쉼표 [0] 3 2 2 3" xfId="31911"/>
    <cellStyle name="쉼표 [0] 3 2 2 3 2" xfId="31912"/>
    <cellStyle name="쉼표 [0] 3 2 2 4" xfId="31913"/>
    <cellStyle name="쉼표 [0] 3 2 2 4 2" xfId="31914"/>
    <cellStyle name="쉼표 [0] 3 2 2 5" xfId="31915"/>
    <cellStyle name="쉼표 [0] 3 2 2 5 2" xfId="31916"/>
    <cellStyle name="쉼표 [0] 3 2 2 6" xfId="31917"/>
    <cellStyle name="쉼표 [0] 3 2 2 6 2" xfId="31918"/>
    <cellStyle name="쉼표 [0] 3 2 2 7" xfId="31919"/>
    <cellStyle name="쉼표 [0] 3 2 3" xfId="31920"/>
    <cellStyle name="쉼표 [0] 3 2 3 2" xfId="31921"/>
    <cellStyle name="쉼표 [0] 3 2 4" xfId="31922"/>
    <cellStyle name="쉼표 [0] 3 2 4 2" xfId="31923"/>
    <cellStyle name="쉼표 [0] 3 2 4 2 2" xfId="31924"/>
    <cellStyle name="쉼표 [0] 3 2 4 3" xfId="31925"/>
    <cellStyle name="쉼표 [0] 3 2 5" xfId="31926"/>
    <cellStyle name="쉼표 [0] 3 2 5 2" xfId="31927"/>
    <cellStyle name="쉼표 [0] 3 2 6" xfId="31928"/>
    <cellStyle name="쉼표 [0] 3 2 6 2" xfId="31929"/>
    <cellStyle name="쉼표 [0] 3 2 7" xfId="31930"/>
    <cellStyle name="쉼표 [0] 3 2 7 2" xfId="31931"/>
    <cellStyle name="쉼표 [0] 3 2 8" xfId="31932"/>
    <cellStyle name="쉼표 [0] 3 20" xfId="31933"/>
    <cellStyle name="쉼표 [0] 3 20 2" xfId="31934"/>
    <cellStyle name="쉼표 [0] 3 21" xfId="31935"/>
    <cellStyle name="쉼표 [0] 3 21 2" xfId="31936"/>
    <cellStyle name="쉼표 [0] 3 22" xfId="31937"/>
    <cellStyle name="쉼표 [0] 3 22 2" xfId="31938"/>
    <cellStyle name="쉼표 [0] 3 23" xfId="31939"/>
    <cellStyle name="쉼표 [0] 3 23 2" xfId="31940"/>
    <cellStyle name="쉼표 [0] 3 24" xfId="31941"/>
    <cellStyle name="쉼표 [0] 3 24 2" xfId="31942"/>
    <cellStyle name="쉼표 [0] 3 25" xfId="31943"/>
    <cellStyle name="쉼표 [0] 3 25 2" xfId="31944"/>
    <cellStyle name="쉼표 [0] 3 26" xfId="31945"/>
    <cellStyle name="쉼표 [0] 3 26 2" xfId="31946"/>
    <cellStyle name="쉼표 [0] 3 27" xfId="31947"/>
    <cellStyle name="쉼표 [0] 3 27 2" xfId="31948"/>
    <cellStyle name="쉼표 [0] 3 28" xfId="31949"/>
    <cellStyle name="쉼표 [0] 3 3" xfId="31950"/>
    <cellStyle name="쉼표 [0] 3 3 2" xfId="31951"/>
    <cellStyle name="쉼표 [0] 3 4" xfId="31952"/>
    <cellStyle name="쉼표 [0] 3 4 2" xfId="31953"/>
    <cellStyle name="쉼표 [0] 3 5" xfId="31954"/>
    <cellStyle name="쉼표 [0] 3 5 2" xfId="31955"/>
    <cellStyle name="쉼표 [0] 3 5 2 2" xfId="31956"/>
    <cellStyle name="쉼표 [0] 3 6" xfId="31957"/>
    <cellStyle name="쉼표 [0] 3 6 2" xfId="31958"/>
    <cellStyle name="쉼표 [0] 3 7" xfId="31959"/>
    <cellStyle name="쉼표 [0] 3 7 2" xfId="31960"/>
    <cellStyle name="쉼표 [0] 3 76" xfId="31961"/>
    <cellStyle name="쉼표 [0] 3 8" xfId="31962"/>
    <cellStyle name="쉼표 [0] 3 8 2" xfId="31963"/>
    <cellStyle name="쉼표 [0] 3 9" xfId="31964"/>
    <cellStyle name="쉼표 [0] 3 9 2" xfId="31965"/>
    <cellStyle name="쉼표 [0] 4" xfId="31966"/>
    <cellStyle name="쉼표 [0] 4 10" xfId="31967"/>
    <cellStyle name="쉼표 [0] 4 10 2" xfId="31968"/>
    <cellStyle name="쉼표 [0] 4 11" xfId="31969"/>
    <cellStyle name="쉼표 [0] 4 11 2" xfId="31970"/>
    <cellStyle name="쉼표 [0] 4 12" xfId="31971"/>
    <cellStyle name="쉼표 [0] 4 12 2" xfId="31972"/>
    <cellStyle name="쉼표 [0] 4 13" xfId="31973"/>
    <cellStyle name="쉼표 [0] 4 2" xfId="31974"/>
    <cellStyle name="쉼표 [0] 4 2 2" xfId="31975"/>
    <cellStyle name="쉼표 [0] 4 2 3" xfId="31976"/>
    <cellStyle name="쉼표 [0] 4 2 4" xfId="31977"/>
    <cellStyle name="쉼표 [0] 4 3" xfId="31978"/>
    <cellStyle name="쉼표 [0] 4 3 2" xfId="31979"/>
    <cellStyle name="쉼표 [0] 4 4" xfId="31980"/>
    <cellStyle name="쉼표 [0] 4 4 2" xfId="31981"/>
    <cellStyle name="쉼표 [0] 4 5" xfId="31982"/>
    <cellStyle name="쉼표 [0] 4 5 2" xfId="31983"/>
    <cellStyle name="쉼표 [0] 4 6" xfId="31984"/>
    <cellStyle name="쉼표 [0] 4 6 2" xfId="31985"/>
    <cellStyle name="쉼표 [0] 4 7" xfId="31986"/>
    <cellStyle name="쉼표 [0] 4 7 2" xfId="31987"/>
    <cellStyle name="쉼표 [0] 4 8" xfId="31988"/>
    <cellStyle name="쉼표 [0] 4 8 2" xfId="31989"/>
    <cellStyle name="쉼표 [0] 4 9" xfId="31990"/>
    <cellStyle name="쉼표 [0] 4 9 2" xfId="31991"/>
    <cellStyle name="쉼표 [0] 5" xfId="31992"/>
    <cellStyle name="쉼표 [0] 5 10" xfId="31993"/>
    <cellStyle name="쉼표 [0] 5 10 2" xfId="31994"/>
    <cellStyle name="쉼표 [0] 5 11" xfId="31995"/>
    <cellStyle name="쉼표 [0] 5 11 2" xfId="31996"/>
    <cellStyle name="쉼표 [0] 5 12" xfId="31997"/>
    <cellStyle name="쉼표 [0] 5 12 2" xfId="31998"/>
    <cellStyle name="쉼표 [0] 5 13" xfId="31999"/>
    <cellStyle name="쉼표 [0] 5 13 2" xfId="32000"/>
    <cellStyle name="쉼표 [0] 5 14" xfId="32001"/>
    <cellStyle name="쉼표 [0] 5 14 2" xfId="32002"/>
    <cellStyle name="쉼표 [0] 5 15" xfId="32003"/>
    <cellStyle name="쉼표 [0] 5 15 2" xfId="32004"/>
    <cellStyle name="쉼표 [0] 5 16" xfId="32005"/>
    <cellStyle name="쉼표 [0] 5 16 2" xfId="32006"/>
    <cellStyle name="쉼표 [0] 5 17" xfId="32007"/>
    <cellStyle name="쉼표 [0] 5 17 2" xfId="32008"/>
    <cellStyle name="쉼표 [0] 5 18" xfId="32009"/>
    <cellStyle name="쉼표 [0] 5 18 2" xfId="32010"/>
    <cellStyle name="쉼표 [0] 5 19" xfId="32011"/>
    <cellStyle name="쉼표 [0] 5 19 2" xfId="32012"/>
    <cellStyle name="쉼표 [0] 5 2" xfId="32013"/>
    <cellStyle name="쉼표 [0] 5 2 2" xfId="32014"/>
    <cellStyle name="쉼표 [0] 5 20" xfId="32015"/>
    <cellStyle name="쉼표 [0] 5 20 2" xfId="32016"/>
    <cellStyle name="쉼표 [0] 5 21" xfId="32017"/>
    <cellStyle name="쉼표 [0] 5 21 2" xfId="32018"/>
    <cellStyle name="쉼표 [0] 5 22" xfId="32019"/>
    <cellStyle name="쉼표 [0] 5 22 2" xfId="32020"/>
    <cellStyle name="쉼표 [0] 5 23" xfId="32021"/>
    <cellStyle name="쉼표 [0] 5 3" xfId="32022"/>
    <cellStyle name="쉼표 [0] 5 3 2" xfId="32023"/>
    <cellStyle name="쉼표 [0] 5 4" xfId="32024"/>
    <cellStyle name="쉼표 [0] 5 4 2" xfId="32025"/>
    <cellStyle name="쉼표 [0] 5 5" xfId="32026"/>
    <cellStyle name="쉼표 [0] 5 5 2" xfId="32027"/>
    <cellStyle name="쉼표 [0] 5 6" xfId="32028"/>
    <cellStyle name="쉼표 [0] 5 6 2" xfId="32029"/>
    <cellStyle name="쉼표 [0] 5 7" xfId="32030"/>
    <cellStyle name="쉼표 [0] 5 7 2" xfId="32031"/>
    <cellStyle name="쉼표 [0] 5 8" xfId="32032"/>
    <cellStyle name="쉼표 [0] 5 8 2" xfId="32033"/>
    <cellStyle name="쉼표 [0] 5 9" xfId="32034"/>
    <cellStyle name="쉼표 [0] 5 9 2" xfId="32035"/>
    <cellStyle name="쉼표 [0] 6" xfId="32036"/>
    <cellStyle name="쉼표 [0] 6 10" xfId="32037"/>
    <cellStyle name="쉼표 [0] 6 10 2" xfId="32038"/>
    <cellStyle name="쉼표 [0] 6 11" xfId="32039"/>
    <cellStyle name="쉼표 [0] 6 11 2" xfId="32040"/>
    <cellStyle name="쉼표 [0] 6 12" xfId="32041"/>
    <cellStyle name="쉼표 [0] 6 12 2" xfId="32042"/>
    <cellStyle name="쉼표 [0] 6 13" xfId="32043"/>
    <cellStyle name="쉼표 [0] 6 2" xfId="32044"/>
    <cellStyle name="쉼표 [0] 6 2 2" xfId="32045"/>
    <cellStyle name="쉼표 [0] 6 3" xfId="32046"/>
    <cellStyle name="쉼표 [0] 6 3 2" xfId="32047"/>
    <cellStyle name="쉼표 [0] 6 4" xfId="32048"/>
    <cellStyle name="쉼표 [0] 6 4 2" xfId="32049"/>
    <cellStyle name="쉼표 [0] 6 5" xfId="32050"/>
    <cellStyle name="쉼표 [0] 6 5 2" xfId="32051"/>
    <cellStyle name="쉼표 [0] 6 6" xfId="32052"/>
    <cellStyle name="쉼표 [0] 6 6 2" xfId="32053"/>
    <cellStyle name="쉼표 [0] 6 7" xfId="32054"/>
    <cellStyle name="쉼표 [0] 6 7 2" xfId="32055"/>
    <cellStyle name="쉼표 [0] 6 8" xfId="32056"/>
    <cellStyle name="쉼표 [0] 6 8 2" xfId="32057"/>
    <cellStyle name="쉼표 [0] 6 9" xfId="32058"/>
    <cellStyle name="쉼표 [0] 6 9 2" xfId="32059"/>
    <cellStyle name="쉼표 [0] 7" xfId="32060"/>
    <cellStyle name="쉼표 [0] 7 2" xfId="32061"/>
    <cellStyle name="쉼표 [0] 7 2 2" xfId="32062"/>
    <cellStyle name="쉼표 [0] 7 3" xfId="32063"/>
    <cellStyle name="쉼표 [0] 8" xfId="32064"/>
    <cellStyle name="쉼표 [0] 8 2" xfId="32065"/>
    <cellStyle name="쉼표 [0] 9" xfId="32066"/>
    <cellStyle name="쉼표 [0] 9 2" xfId="32067"/>
    <cellStyle name="스타일 1" xfId="32068"/>
    <cellStyle name="스타일 1 10" xfId="32069"/>
    <cellStyle name="스타일 1 10 2" xfId="32070"/>
    <cellStyle name="스타일 1 11" xfId="32071"/>
    <cellStyle name="스타일 1 11 2" xfId="32072"/>
    <cellStyle name="스타일 1 12" xfId="32073"/>
    <cellStyle name="스타일 1 12 2" xfId="32074"/>
    <cellStyle name="스타일 1 13" xfId="32075"/>
    <cellStyle name="스타일 1 13 2" xfId="32076"/>
    <cellStyle name="스타일 1 14" xfId="32077"/>
    <cellStyle name="스타일 1 2" xfId="32078"/>
    <cellStyle name="스타일 1 2 2" xfId="32079"/>
    <cellStyle name="스타일 1 2 2 2" xfId="32080"/>
    <cellStyle name="스타일 1 2 3" xfId="32081"/>
    <cellStyle name="스타일 1 3" xfId="32082"/>
    <cellStyle name="스타일 1 3 2" xfId="32083"/>
    <cellStyle name="스타일 1 4" xfId="32084"/>
    <cellStyle name="스타일 1 4 2" xfId="32085"/>
    <cellStyle name="스타일 1 5" xfId="32086"/>
    <cellStyle name="스타일 1 5 2" xfId="32087"/>
    <cellStyle name="스타일 1 6" xfId="32088"/>
    <cellStyle name="스타일 1 6 2" xfId="32089"/>
    <cellStyle name="스타일 1 7" xfId="32090"/>
    <cellStyle name="스타일 1 7 2" xfId="32091"/>
    <cellStyle name="스타일 1 8" xfId="32092"/>
    <cellStyle name="스타일 1 8 2" xfId="32093"/>
    <cellStyle name="스타일 1 9" xfId="32094"/>
    <cellStyle name="스타일 1 9 2" xfId="32095"/>
    <cellStyle name="스타일 10" xfId="32096"/>
    <cellStyle name="스타일 10 10" xfId="32097"/>
    <cellStyle name="스타일 10 10 2" xfId="32098"/>
    <cellStyle name="스타일 10 11" xfId="32099"/>
    <cellStyle name="스타일 10 11 2" xfId="32100"/>
    <cellStyle name="스타일 10 12" xfId="32101"/>
    <cellStyle name="스타일 10 12 2" xfId="32102"/>
    <cellStyle name="스타일 10 13" xfId="32103"/>
    <cellStyle name="스타일 10 2" xfId="32104"/>
    <cellStyle name="스타일 10 2 2" xfId="32105"/>
    <cellStyle name="스타일 10 3" xfId="32106"/>
    <cellStyle name="스타일 10 3 2" xfId="32107"/>
    <cellStyle name="스타일 10 4" xfId="32108"/>
    <cellStyle name="스타일 10 4 2" xfId="32109"/>
    <cellStyle name="스타일 10 5" xfId="32110"/>
    <cellStyle name="스타일 10 5 2" xfId="32111"/>
    <cellStyle name="스타일 10 6" xfId="32112"/>
    <cellStyle name="스타일 10 6 2" xfId="32113"/>
    <cellStyle name="스타일 10 7" xfId="32114"/>
    <cellStyle name="스타일 10 7 2" xfId="32115"/>
    <cellStyle name="스타일 10 8" xfId="32116"/>
    <cellStyle name="스타일 10 8 2" xfId="32117"/>
    <cellStyle name="스타일 10 9" xfId="32118"/>
    <cellStyle name="스타일 10 9 2" xfId="32119"/>
    <cellStyle name="스타일 100" xfId="32120"/>
    <cellStyle name="스타일 100 2" xfId="32121"/>
    <cellStyle name="스타일 101" xfId="32122"/>
    <cellStyle name="스타일 101 2" xfId="32123"/>
    <cellStyle name="스타일 102" xfId="32124"/>
    <cellStyle name="스타일 102 2" xfId="32125"/>
    <cellStyle name="스타일 103" xfId="32126"/>
    <cellStyle name="스타일 103 2" xfId="32127"/>
    <cellStyle name="스타일 104" xfId="32128"/>
    <cellStyle name="스타일 104 2" xfId="32129"/>
    <cellStyle name="스타일 105" xfId="32130"/>
    <cellStyle name="스타일 105 2" xfId="32131"/>
    <cellStyle name="스타일 106" xfId="32132"/>
    <cellStyle name="스타일 106 2" xfId="32133"/>
    <cellStyle name="스타일 107" xfId="32134"/>
    <cellStyle name="스타일 107 2" xfId="32135"/>
    <cellStyle name="스타일 108" xfId="32136"/>
    <cellStyle name="스타일 108 2" xfId="32137"/>
    <cellStyle name="스타일 109" xfId="32138"/>
    <cellStyle name="스타일 109 2" xfId="32139"/>
    <cellStyle name="스타일 11" xfId="32140"/>
    <cellStyle name="스타일 11 10" xfId="32141"/>
    <cellStyle name="스타일 11 10 2" xfId="32142"/>
    <cellStyle name="스타일 11 11" xfId="32143"/>
    <cellStyle name="스타일 11 11 2" xfId="32144"/>
    <cellStyle name="스타일 11 12" xfId="32145"/>
    <cellStyle name="스타일 11 12 2" xfId="32146"/>
    <cellStyle name="스타일 11 13" xfId="32147"/>
    <cellStyle name="스타일 11 2" xfId="32148"/>
    <cellStyle name="스타일 11 2 2" xfId="32149"/>
    <cellStyle name="스타일 11 3" xfId="32150"/>
    <cellStyle name="스타일 11 3 2" xfId="32151"/>
    <cellStyle name="스타일 11 4" xfId="32152"/>
    <cellStyle name="스타일 11 4 2" xfId="32153"/>
    <cellStyle name="스타일 11 5" xfId="32154"/>
    <cellStyle name="스타일 11 5 2" xfId="32155"/>
    <cellStyle name="스타일 11 6" xfId="32156"/>
    <cellStyle name="스타일 11 6 2" xfId="32157"/>
    <cellStyle name="스타일 11 7" xfId="32158"/>
    <cellStyle name="스타일 11 7 2" xfId="32159"/>
    <cellStyle name="스타일 11 8" xfId="32160"/>
    <cellStyle name="스타일 11 8 2" xfId="32161"/>
    <cellStyle name="스타일 11 9" xfId="32162"/>
    <cellStyle name="스타일 11 9 2" xfId="32163"/>
    <cellStyle name="스타일 110" xfId="32164"/>
    <cellStyle name="스타일 110 2" xfId="32165"/>
    <cellStyle name="스타일 111" xfId="32166"/>
    <cellStyle name="스타일 111 2" xfId="32167"/>
    <cellStyle name="스타일 112" xfId="32168"/>
    <cellStyle name="스타일 112 2" xfId="32169"/>
    <cellStyle name="스타일 113" xfId="32170"/>
    <cellStyle name="스타일 113 2" xfId="32171"/>
    <cellStyle name="스타일 114" xfId="32172"/>
    <cellStyle name="스타일 114 2" xfId="32173"/>
    <cellStyle name="스타일 115" xfId="32174"/>
    <cellStyle name="스타일 115 2" xfId="32175"/>
    <cellStyle name="스타일 116" xfId="32176"/>
    <cellStyle name="스타일 116 2" xfId="32177"/>
    <cellStyle name="스타일 117" xfId="32178"/>
    <cellStyle name="스타일 117 2" xfId="32179"/>
    <cellStyle name="스타일 118" xfId="32180"/>
    <cellStyle name="스타일 118 2" xfId="32181"/>
    <cellStyle name="스타일 119" xfId="32182"/>
    <cellStyle name="스타일 119 2" xfId="32183"/>
    <cellStyle name="스타일 12" xfId="32184"/>
    <cellStyle name="스타일 12 10" xfId="32185"/>
    <cellStyle name="스타일 12 10 2" xfId="32186"/>
    <cellStyle name="스타일 12 11" xfId="32187"/>
    <cellStyle name="스타일 12 11 2" xfId="32188"/>
    <cellStyle name="스타일 12 12" xfId="32189"/>
    <cellStyle name="스타일 12 12 2" xfId="32190"/>
    <cellStyle name="스타일 12 13" xfId="32191"/>
    <cellStyle name="스타일 12 2" xfId="32192"/>
    <cellStyle name="스타일 12 2 2" xfId="32193"/>
    <cellStyle name="스타일 12 3" xfId="32194"/>
    <cellStyle name="스타일 12 3 2" xfId="32195"/>
    <cellStyle name="스타일 12 4" xfId="32196"/>
    <cellStyle name="스타일 12 4 2" xfId="32197"/>
    <cellStyle name="스타일 12 5" xfId="32198"/>
    <cellStyle name="스타일 12 5 2" xfId="32199"/>
    <cellStyle name="스타일 12 6" xfId="32200"/>
    <cellStyle name="스타일 12 6 2" xfId="32201"/>
    <cellStyle name="스타일 12 7" xfId="32202"/>
    <cellStyle name="스타일 12 7 2" xfId="32203"/>
    <cellStyle name="스타일 12 8" xfId="32204"/>
    <cellStyle name="스타일 12 8 2" xfId="32205"/>
    <cellStyle name="스타일 12 9" xfId="32206"/>
    <cellStyle name="스타일 12 9 2" xfId="32207"/>
    <cellStyle name="스타일 120" xfId="32208"/>
    <cellStyle name="스타일 120 2" xfId="32209"/>
    <cellStyle name="스타일 121" xfId="32210"/>
    <cellStyle name="스타일 121 2" xfId="32211"/>
    <cellStyle name="스타일 122" xfId="32212"/>
    <cellStyle name="스타일 122 2" xfId="32213"/>
    <cellStyle name="스타일 123" xfId="32214"/>
    <cellStyle name="스타일 123 2" xfId="32215"/>
    <cellStyle name="스타일 124" xfId="32216"/>
    <cellStyle name="스타일 124 2" xfId="32217"/>
    <cellStyle name="스타일 125" xfId="32218"/>
    <cellStyle name="스타일 125 2" xfId="32219"/>
    <cellStyle name="스타일 126" xfId="32220"/>
    <cellStyle name="스타일 126 2" xfId="32221"/>
    <cellStyle name="스타일 127" xfId="32222"/>
    <cellStyle name="스타일 127 2" xfId="32223"/>
    <cellStyle name="스타일 128" xfId="32224"/>
    <cellStyle name="스타일 128 2" xfId="32225"/>
    <cellStyle name="스타일 129" xfId="32226"/>
    <cellStyle name="스타일 129 2" xfId="32227"/>
    <cellStyle name="스타일 13" xfId="32228"/>
    <cellStyle name="스타일 13 10" xfId="32229"/>
    <cellStyle name="스타일 13 10 2" xfId="32230"/>
    <cellStyle name="스타일 13 11" xfId="32231"/>
    <cellStyle name="스타일 13 11 2" xfId="32232"/>
    <cellStyle name="스타일 13 12" xfId="32233"/>
    <cellStyle name="스타일 13 12 2" xfId="32234"/>
    <cellStyle name="스타일 13 13" xfId="32235"/>
    <cellStyle name="스타일 13 2" xfId="32236"/>
    <cellStyle name="스타일 13 2 2" xfId="32237"/>
    <cellStyle name="스타일 13 3" xfId="32238"/>
    <cellStyle name="스타일 13 3 2" xfId="32239"/>
    <cellStyle name="스타일 13 4" xfId="32240"/>
    <cellStyle name="스타일 13 4 2" xfId="32241"/>
    <cellStyle name="스타일 13 5" xfId="32242"/>
    <cellStyle name="스타일 13 5 2" xfId="32243"/>
    <cellStyle name="스타일 13 6" xfId="32244"/>
    <cellStyle name="스타일 13 6 2" xfId="32245"/>
    <cellStyle name="스타일 13 7" xfId="32246"/>
    <cellStyle name="스타일 13 7 2" xfId="32247"/>
    <cellStyle name="스타일 13 8" xfId="32248"/>
    <cellStyle name="스타일 13 8 2" xfId="32249"/>
    <cellStyle name="스타일 13 9" xfId="32250"/>
    <cellStyle name="스타일 13 9 2" xfId="32251"/>
    <cellStyle name="스타일 130" xfId="32252"/>
    <cellStyle name="스타일 130 2" xfId="32253"/>
    <cellStyle name="스타일 131" xfId="32254"/>
    <cellStyle name="스타일 131 2" xfId="32255"/>
    <cellStyle name="스타일 132" xfId="32256"/>
    <cellStyle name="스타일 132 2" xfId="32257"/>
    <cellStyle name="스타일 133" xfId="32258"/>
    <cellStyle name="스타일 133 2" xfId="32259"/>
    <cellStyle name="스타일 134" xfId="32260"/>
    <cellStyle name="스타일 134 2" xfId="32261"/>
    <cellStyle name="스타일 135" xfId="32262"/>
    <cellStyle name="스타일 135 2" xfId="32263"/>
    <cellStyle name="스타일 136" xfId="32264"/>
    <cellStyle name="스타일 136 2" xfId="32265"/>
    <cellStyle name="스타일 137" xfId="32266"/>
    <cellStyle name="스타일 137 2" xfId="32267"/>
    <cellStyle name="스타일 138" xfId="32268"/>
    <cellStyle name="스타일 138 2" xfId="32269"/>
    <cellStyle name="스타일 139" xfId="32270"/>
    <cellStyle name="스타일 139 2" xfId="32271"/>
    <cellStyle name="스타일 14" xfId="32272"/>
    <cellStyle name="스타일 14 10" xfId="32273"/>
    <cellStyle name="스타일 14 10 2" xfId="32274"/>
    <cellStyle name="스타일 14 11" xfId="32275"/>
    <cellStyle name="스타일 14 11 2" xfId="32276"/>
    <cellStyle name="스타일 14 12" xfId="32277"/>
    <cellStyle name="스타일 14 12 2" xfId="32278"/>
    <cellStyle name="스타일 14 13" xfId="32279"/>
    <cellStyle name="스타일 14 2" xfId="32280"/>
    <cellStyle name="스타일 14 2 2" xfId="32281"/>
    <cellStyle name="스타일 14 3" xfId="32282"/>
    <cellStyle name="스타일 14 3 2" xfId="32283"/>
    <cellStyle name="스타일 14 4" xfId="32284"/>
    <cellStyle name="스타일 14 4 2" xfId="32285"/>
    <cellStyle name="스타일 14 5" xfId="32286"/>
    <cellStyle name="스타일 14 5 2" xfId="32287"/>
    <cellStyle name="스타일 14 6" xfId="32288"/>
    <cellStyle name="스타일 14 6 2" xfId="32289"/>
    <cellStyle name="스타일 14 7" xfId="32290"/>
    <cellStyle name="스타일 14 7 2" xfId="32291"/>
    <cellStyle name="스타일 14 8" xfId="32292"/>
    <cellStyle name="스타일 14 8 2" xfId="32293"/>
    <cellStyle name="스타일 14 9" xfId="32294"/>
    <cellStyle name="스타일 14 9 2" xfId="32295"/>
    <cellStyle name="스타일 140" xfId="32296"/>
    <cellStyle name="스타일 140 2" xfId="32297"/>
    <cellStyle name="스타일 141" xfId="32298"/>
    <cellStyle name="스타일 141 2" xfId="32299"/>
    <cellStyle name="스타일 142" xfId="32300"/>
    <cellStyle name="스타일 142 2" xfId="32301"/>
    <cellStyle name="스타일 143" xfId="32302"/>
    <cellStyle name="스타일 143 2" xfId="32303"/>
    <cellStyle name="스타일 144" xfId="32304"/>
    <cellStyle name="스타일 144 2" xfId="32305"/>
    <cellStyle name="스타일 145" xfId="32306"/>
    <cellStyle name="스타일 145 2" xfId="32307"/>
    <cellStyle name="스타일 146" xfId="32308"/>
    <cellStyle name="스타일 146 2" xfId="32309"/>
    <cellStyle name="스타일 147" xfId="32310"/>
    <cellStyle name="스타일 147 2" xfId="32311"/>
    <cellStyle name="스타일 148" xfId="32312"/>
    <cellStyle name="스타일 148 2" xfId="32313"/>
    <cellStyle name="스타일 149" xfId="32314"/>
    <cellStyle name="스타일 149 2" xfId="32315"/>
    <cellStyle name="스타일 15" xfId="32316"/>
    <cellStyle name="스타일 15 10" xfId="32317"/>
    <cellStyle name="스타일 15 10 2" xfId="32318"/>
    <cellStyle name="스타일 15 11" xfId="32319"/>
    <cellStyle name="스타일 15 11 2" xfId="32320"/>
    <cellStyle name="스타일 15 12" xfId="32321"/>
    <cellStyle name="스타일 15 12 2" xfId="32322"/>
    <cellStyle name="스타일 15 13" xfId="32323"/>
    <cellStyle name="스타일 15 2" xfId="32324"/>
    <cellStyle name="스타일 15 2 2" xfId="32325"/>
    <cellStyle name="스타일 15 3" xfId="32326"/>
    <cellStyle name="스타일 15 3 2" xfId="32327"/>
    <cellStyle name="스타일 15 4" xfId="32328"/>
    <cellStyle name="스타일 15 4 2" xfId="32329"/>
    <cellStyle name="스타일 15 5" xfId="32330"/>
    <cellStyle name="스타일 15 5 2" xfId="32331"/>
    <cellStyle name="스타일 15 6" xfId="32332"/>
    <cellStyle name="스타일 15 6 2" xfId="32333"/>
    <cellStyle name="스타일 15 7" xfId="32334"/>
    <cellStyle name="스타일 15 7 2" xfId="32335"/>
    <cellStyle name="스타일 15 8" xfId="32336"/>
    <cellStyle name="스타일 15 8 2" xfId="32337"/>
    <cellStyle name="스타일 15 9" xfId="32338"/>
    <cellStyle name="스타일 15 9 2" xfId="32339"/>
    <cellStyle name="스타일 150" xfId="32340"/>
    <cellStyle name="스타일 150 2" xfId="32341"/>
    <cellStyle name="스타일 151" xfId="32342"/>
    <cellStyle name="스타일 151 2" xfId="32343"/>
    <cellStyle name="스타일 152" xfId="32344"/>
    <cellStyle name="스타일 152 2" xfId="32345"/>
    <cellStyle name="스타일 153" xfId="32346"/>
    <cellStyle name="스타일 153 2" xfId="32347"/>
    <cellStyle name="스타일 154" xfId="32348"/>
    <cellStyle name="스타일 154 2" xfId="32349"/>
    <cellStyle name="스타일 155" xfId="32350"/>
    <cellStyle name="스타일 155 2" xfId="32351"/>
    <cellStyle name="스타일 156" xfId="32352"/>
    <cellStyle name="스타일 156 2" xfId="32353"/>
    <cellStyle name="스타일 157" xfId="32354"/>
    <cellStyle name="스타일 157 2" xfId="32355"/>
    <cellStyle name="스타일 158" xfId="32356"/>
    <cellStyle name="스타일 158 2" xfId="32357"/>
    <cellStyle name="스타일 159" xfId="32358"/>
    <cellStyle name="스타일 159 2" xfId="32359"/>
    <cellStyle name="스타일 16" xfId="32360"/>
    <cellStyle name="스타일 16 10" xfId="32361"/>
    <cellStyle name="스타일 16 10 2" xfId="32362"/>
    <cellStyle name="스타일 16 11" xfId="32363"/>
    <cellStyle name="스타일 16 11 2" xfId="32364"/>
    <cellStyle name="스타일 16 12" xfId="32365"/>
    <cellStyle name="스타일 16 12 2" xfId="32366"/>
    <cellStyle name="스타일 16 13" xfId="32367"/>
    <cellStyle name="스타일 16 2" xfId="32368"/>
    <cellStyle name="스타일 16 2 2" xfId="32369"/>
    <cellStyle name="스타일 16 3" xfId="32370"/>
    <cellStyle name="스타일 16 3 2" xfId="32371"/>
    <cellStyle name="스타일 16 4" xfId="32372"/>
    <cellStyle name="스타일 16 4 2" xfId="32373"/>
    <cellStyle name="스타일 16 5" xfId="32374"/>
    <cellStyle name="스타일 16 5 2" xfId="32375"/>
    <cellStyle name="스타일 16 6" xfId="32376"/>
    <cellStyle name="스타일 16 6 2" xfId="32377"/>
    <cellStyle name="스타일 16 7" xfId="32378"/>
    <cellStyle name="스타일 16 7 2" xfId="32379"/>
    <cellStyle name="스타일 16 8" xfId="32380"/>
    <cellStyle name="스타일 16 8 2" xfId="32381"/>
    <cellStyle name="스타일 16 9" xfId="32382"/>
    <cellStyle name="스타일 16 9 2" xfId="32383"/>
    <cellStyle name="스타일 160" xfId="32384"/>
    <cellStyle name="스타일 160 2" xfId="32385"/>
    <cellStyle name="스타일 161" xfId="32386"/>
    <cellStyle name="스타일 161 2" xfId="32387"/>
    <cellStyle name="스타일 162" xfId="32388"/>
    <cellStyle name="스타일 162 2" xfId="32389"/>
    <cellStyle name="스타일 163" xfId="32390"/>
    <cellStyle name="스타일 163 2" xfId="32391"/>
    <cellStyle name="스타일 164" xfId="32392"/>
    <cellStyle name="스타일 164 2" xfId="32393"/>
    <cellStyle name="스타일 165" xfId="32394"/>
    <cellStyle name="스타일 165 2" xfId="32395"/>
    <cellStyle name="스타일 166" xfId="32396"/>
    <cellStyle name="스타일 166 2" xfId="32397"/>
    <cellStyle name="스타일 167" xfId="32398"/>
    <cellStyle name="스타일 167 2" xfId="32399"/>
    <cellStyle name="스타일 168" xfId="32400"/>
    <cellStyle name="스타일 168 2" xfId="32401"/>
    <cellStyle name="스타일 169" xfId="32402"/>
    <cellStyle name="스타일 169 2" xfId="32403"/>
    <cellStyle name="스타일 17" xfId="32404"/>
    <cellStyle name="스타일 17 10" xfId="32405"/>
    <cellStyle name="스타일 17 10 2" xfId="32406"/>
    <cellStyle name="스타일 17 11" xfId="32407"/>
    <cellStyle name="스타일 17 11 2" xfId="32408"/>
    <cellStyle name="스타일 17 12" xfId="32409"/>
    <cellStyle name="스타일 17 12 2" xfId="32410"/>
    <cellStyle name="스타일 17 13" xfId="32411"/>
    <cellStyle name="스타일 17 2" xfId="32412"/>
    <cellStyle name="스타일 17 2 2" xfId="32413"/>
    <cellStyle name="스타일 17 3" xfId="32414"/>
    <cellStyle name="스타일 17 3 2" xfId="32415"/>
    <cellStyle name="스타일 17 4" xfId="32416"/>
    <cellStyle name="스타일 17 4 2" xfId="32417"/>
    <cellStyle name="스타일 17 5" xfId="32418"/>
    <cellStyle name="스타일 17 5 2" xfId="32419"/>
    <cellStyle name="스타일 17 6" xfId="32420"/>
    <cellStyle name="스타일 17 6 2" xfId="32421"/>
    <cellStyle name="스타일 17 7" xfId="32422"/>
    <cellStyle name="스타일 17 7 2" xfId="32423"/>
    <cellStyle name="스타일 17 8" xfId="32424"/>
    <cellStyle name="스타일 17 8 2" xfId="32425"/>
    <cellStyle name="스타일 17 9" xfId="32426"/>
    <cellStyle name="스타일 17 9 2" xfId="32427"/>
    <cellStyle name="스타일 170" xfId="32428"/>
    <cellStyle name="스타일 170 2" xfId="32429"/>
    <cellStyle name="스타일 171" xfId="32430"/>
    <cellStyle name="스타일 171 2" xfId="32431"/>
    <cellStyle name="스타일 172" xfId="32432"/>
    <cellStyle name="스타일 172 2" xfId="32433"/>
    <cellStyle name="스타일 173" xfId="32434"/>
    <cellStyle name="스타일 173 2" xfId="32435"/>
    <cellStyle name="스타일 174" xfId="32436"/>
    <cellStyle name="스타일 174 2" xfId="32437"/>
    <cellStyle name="스타일 175" xfId="32438"/>
    <cellStyle name="스타일 175 2" xfId="32439"/>
    <cellStyle name="스타일 176" xfId="32440"/>
    <cellStyle name="스타일 176 2" xfId="32441"/>
    <cellStyle name="스타일 177" xfId="32442"/>
    <cellStyle name="스타일 177 2" xfId="32443"/>
    <cellStyle name="스타일 178" xfId="32444"/>
    <cellStyle name="스타일 178 2" xfId="32445"/>
    <cellStyle name="스타일 179" xfId="32446"/>
    <cellStyle name="스타일 179 2" xfId="32447"/>
    <cellStyle name="스타일 18" xfId="32448"/>
    <cellStyle name="스타일 18 10" xfId="32449"/>
    <cellStyle name="스타일 18 10 2" xfId="32450"/>
    <cellStyle name="스타일 18 11" xfId="32451"/>
    <cellStyle name="스타일 18 11 2" xfId="32452"/>
    <cellStyle name="스타일 18 12" xfId="32453"/>
    <cellStyle name="스타일 18 2" xfId="32454"/>
    <cellStyle name="스타일 18 2 2" xfId="32455"/>
    <cellStyle name="스타일 18 3" xfId="32456"/>
    <cellStyle name="스타일 18 3 2" xfId="32457"/>
    <cellStyle name="스타일 18 4" xfId="32458"/>
    <cellStyle name="스타일 18 4 2" xfId="32459"/>
    <cellStyle name="스타일 18 5" xfId="32460"/>
    <cellStyle name="스타일 18 5 2" xfId="32461"/>
    <cellStyle name="스타일 18 6" xfId="32462"/>
    <cellStyle name="스타일 18 6 2" xfId="32463"/>
    <cellStyle name="스타일 18 7" xfId="32464"/>
    <cellStyle name="스타일 18 7 2" xfId="32465"/>
    <cellStyle name="스타일 18 8" xfId="32466"/>
    <cellStyle name="스타일 18 8 2" xfId="32467"/>
    <cellStyle name="스타일 18 9" xfId="32468"/>
    <cellStyle name="스타일 18 9 2" xfId="32469"/>
    <cellStyle name="스타일 180" xfId="32470"/>
    <cellStyle name="스타일 180 2" xfId="32471"/>
    <cellStyle name="스타일 181" xfId="32472"/>
    <cellStyle name="스타일 181 2" xfId="32473"/>
    <cellStyle name="스타일 182" xfId="32474"/>
    <cellStyle name="스타일 182 2" xfId="32475"/>
    <cellStyle name="스타일 183" xfId="32476"/>
    <cellStyle name="스타일 183 2" xfId="32477"/>
    <cellStyle name="스타일 184" xfId="32478"/>
    <cellStyle name="스타일 184 2" xfId="32479"/>
    <cellStyle name="스타일 185" xfId="32480"/>
    <cellStyle name="스타일 185 2" xfId="32481"/>
    <cellStyle name="스타일 186" xfId="32482"/>
    <cellStyle name="스타일 186 2" xfId="32483"/>
    <cellStyle name="스타일 187" xfId="32484"/>
    <cellStyle name="스타일 187 2" xfId="32485"/>
    <cellStyle name="스타일 188" xfId="32486"/>
    <cellStyle name="스타일 188 2" xfId="32487"/>
    <cellStyle name="스타일 189" xfId="32488"/>
    <cellStyle name="스타일 189 2" xfId="32489"/>
    <cellStyle name="스타일 19" xfId="32490"/>
    <cellStyle name="스타일 19 2" xfId="32491"/>
    <cellStyle name="스타일 190" xfId="32492"/>
    <cellStyle name="스타일 190 2" xfId="32493"/>
    <cellStyle name="스타일 191" xfId="32494"/>
    <cellStyle name="스타일 191 2" xfId="32495"/>
    <cellStyle name="스타일 192" xfId="32496"/>
    <cellStyle name="스타일 192 2" xfId="32497"/>
    <cellStyle name="스타일 193" xfId="32498"/>
    <cellStyle name="스타일 193 2" xfId="32499"/>
    <cellStyle name="스타일 194" xfId="32500"/>
    <cellStyle name="스타일 194 2" xfId="32501"/>
    <cellStyle name="스타일 195" xfId="32502"/>
    <cellStyle name="스타일 195 2" xfId="32503"/>
    <cellStyle name="스타일 196" xfId="32504"/>
    <cellStyle name="스타일 196 2" xfId="32505"/>
    <cellStyle name="스타일 197" xfId="32506"/>
    <cellStyle name="스타일 197 2" xfId="32507"/>
    <cellStyle name="스타일 198" xfId="32508"/>
    <cellStyle name="스타일 198 2" xfId="32509"/>
    <cellStyle name="스타일 199" xfId="32510"/>
    <cellStyle name="스타일 199 2" xfId="32511"/>
    <cellStyle name="스타일 2" xfId="32512"/>
    <cellStyle name="스타일 2 10" xfId="32513"/>
    <cellStyle name="스타일 2 10 2" xfId="32514"/>
    <cellStyle name="스타일 2 11" xfId="32515"/>
    <cellStyle name="스타일 2 11 2" xfId="32516"/>
    <cellStyle name="스타일 2 12" xfId="32517"/>
    <cellStyle name="스타일 2 12 2" xfId="32518"/>
    <cellStyle name="스타일 2 13" xfId="32519"/>
    <cellStyle name="스타일 2 13 2" xfId="32520"/>
    <cellStyle name="스타일 2 14" xfId="32521"/>
    <cellStyle name="스타일 2 2" xfId="32522"/>
    <cellStyle name="스타일 2 2 2" xfId="32523"/>
    <cellStyle name="스타일 2 3" xfId="32524"/>
    <cellStyle name="스타일 2 3 2" xfId="32525"/>
    <cellStyle name="스타일 2 4" xfId="32526"/>
    <cellStyle name="스타일 2 4 2" xfId="32527"/>
    <cellStyle name="스타일 2 5" xfId="32528"/>
    <cellStyle name="스타일 2 5 2" xfId="32529"/>
    <cellStyle name="스타일 2 6" xfId="32530"/>
    <cellStyle name="스타일 2 6 2" xfId="32531"/>
    <cellStyle name="스타일 2 7" xfId="32532"/>
    <cellStyle name="스타일 2 7 2" xfId="32533"/>
    <cellStyle name="스타일 2 8" xfId="32534"/>
    <cellStyle name="스타일 2 8 2" xfId="32535"/>
    <cellStyle name="스타일 2 9" xfId="32536"/>
    <cellStyle name="스타일 2 9 2" xfId="32537"/>
    <cellStyle name="스타일 20" xfId="32538"/>
    <cellStyle name="스타일 20 2" xfId="32539"/>
    <cellStyle name="스타일 200" xfId="32540"/>
    <cellStyle name="스타일 200 2" xfId="32541"/>
    <cellStyle name="스타일 201" xfId="32542"/>
    <cellStyle name="스타일 201 2" xfId="32543"/>
    <cellStyle name="스타일 202" xfId="32544"/>
    <cellStyle name="스타일 202 2" xfId="32545"/>
    <cellStyle name="스타일 203" xfId="32546"/>
    <cellStyle name="스타일 203 2" xfId="32547"/>
    <cellStyle name="스타일 204" xfId="32548"/>
    <cellStyle name="스타일 204 2" xfId="32549"/>
    <cellStyle name="스타일 205" xfId="32550"/>
    <cellStyle name="스타일 205 2" xfId="32551"/>
    <cellStyle name="스타일 206" xfId="32552"/>
    <cellStyle name="스타일 206 2" xfId="32553"/>
    <cellStyle name="스타일 207" xfId="32554"/>
    <cellStyle name="스타일 207 2" xfId="32555"/>
    <cellStyle name="스타일 208" xfId="32556"/>
    <cellStyle name="스타일 208 2" xfId="32557"/>
    <cellStyle name="스타일 209" xfId="32558"/>
    <cellStyle name="스타일 209 2" xfId="32559"/>
    <cellStyle name="스타일 21" xfId="32560"/>
    <cellStyle name="스타일 21 2" xfId="32561"/>
    <cellStyle name="스타일 210" xfId="32562"/>
    <cellStyle name="스타일 210 2" xfId="32563"/>
    <cellStyle name="스타일 211" xfId="32564"/>
    <cellStyle name="스타일 211 2" xfId="32565"/>
    <cellStyle name="스타일 212" xfId="32566"/>
    <cellStyle name="스타일 212 2" xfId="32567"/>
    <cellStyle name="스타일 213" xfId="32568"/>
    <cellStyle name="스타일 213 2" xfId="32569"/>
    <cellStyle name="스타일 214" xfId="32570"/>
    <cellStyle name="스타일 214 2" xfId="32571"/>
    <cellStyle name="스타일 215" xfId="32572"/>
    <cellStyle name="스타일 215 2" xfId="32573"/>
    <cellStyle name="스타일 216" xfId="32574"/>
    <cellStyle name="스타일 216 2" xfId="32575"/>
    <cellStyle name="스타일 217" xfId="32576"/>
    <cellStyle name="스타일 217 2" xfId="32577"/>
    <cellStyle name="스타일 218" xfId="32578"/>
    <cellStyle name="스타일 218 2" xfId="32579"/>
    <cellStyle name="스타일 219" xfId="32580"/>
    <cellStyle name="스타일 219 2" xfId="32581"/>
    <cellStyle name="스타일 22" xfId="32582"/>
    <cellStyle name="스타일 22 2" xfId="32583"/>
    <cellStyle name="스타일 220" xfId="32584"/>
    <cellStyle name="스타일 220 2" xfId="32585"/>
    <cellStyle name="스타일 221" xfId="32586"/>
    <cellStyle name="스타일 221 2" xfId="32587"/>
    <cellStyle name="스타일 222" xfId="32588"/>
    <cellStyle name="스타일 222 2" xfId="32589"/>
    <cellStyle name="스타일 223" xfId="32590"/>
    <cellStyle name="스타일 223 2" xfId="32591"/>
    <cellStyle name="스타일 224" xfId="32592"/>
    <cellStyle name="스타일 224 2" xfId="32593"/>
    <cellStyle name="스타일 225" xfId="32594"/>
    <cellStyle name="스타일 225 2" xfId="32595"/>
    <cellStyle name="스타일 226" xfId="32596"/>
    <cellStyle name="스타일 226 2" xfId="32597"/>
    <cellStyle name="스타일 227" xfId="32598"/>
    <cellStyle name="스타일 227 2" xfId="32599"/>
    <cellStyle name="스타일 228" xfId="32600"/>
    <cellStyle name="스타일 228 2" xfId="32601"/>
    <cellStyle name="스타일 229" xfId="32602"/>
    <cellStyle name="스타일 229 2" xfId="32603"/>
    <cellStyle name="스타일 23" xfId="32604"/>
    <cellStyle name="스타일 23 2" xfId="32605"/>
    <cellStyle name="스타일 230" xfId="32606"/>
    <cellStyle name="스타일 230 2" xfId="32607"/>
    <cellStyle name="스타일 231" xfId="32608"/>
    <cellStyle name="스타일 231 2" xfId="32609"/>
    <cellStyle name="스타일 232" xfId="32610"/>
    <cellStyle name="스타일 232 2" xfId="32611"/>
    <cellStyle name="스타일 233" xfId="32612"/>
    <cellStyle name="스타일 233 2" xfId="32613"/>
    <cellStyle name="스타일 234" xfId="32614"/>
    <cellStyle name="스타일 234 2" xfId="32615"/>
    <cellStyle name="스타일 235" xfId="32616"/>
    <cellStyle name="스타일 235 2" xfId="32617"/>
    <cellStyle name="스타일 236" xfId="32618"/>
    <cellStyle name="스타일 236 2" xfId="32619"/>
    <cellStyle name="스타일 237" xfId="32620"/>
    <cellStyle name="스타일 237 2" xfId="32621"/>
    <cellStyle name="스타일 238" xfId="32622"/>
    <cellStyle name="스타일 238 2" xfId="32623"/>
    <cellStyle name="스타일 239" xfId="32624"/>
    <cellStyle name="스타일 239 2" xfId="32625"/>
    <cellStyle name="스타일 24" xfId="32626"/>
    <cellStyle name="스타일 24 2" xfId="32627"/>
    <cellStyle name="스타일 240" xfId="32628"/>
    <cellStyle name="스타일 240 2" xfId="32629"/>
    <cellStyle name="스타일 241" xfId="32630"/>
    <cellStyle name="스타일 241 2" xfId="32631"/>
    <cellStyle name="스타일 242" xfId="32632"/>
    <cellStyle name="스타일 242 2" xfId="32633"/>
    <cellStyle name="스타일 243" xfId="32634"/>
    <cellStyle name="스타일 243 2" xfId="32635"/>
    <cellStyle name="스타일 244" xfId="32636"/>
    <cellStyle name="스타일 244 2" xfId="32637"/>
    <cellStyle name="스타일 245" xfId="32638"/>
    <cellStyle name="스타일 245 2" xfId="32639"/>
    <cellStyle name="스타일 246" xfId="32640"/>
    <cellStyle name="스타일 246 2" xfId="32641"/>
    <cellStyle name="스타일 247" xfId="32642"/>
    <cellStyle name="스타일 247 2" xfId="32643"/>
    <cellStyle name="스타일 248" xfId="32644"/>
    <cellStyle name="스타일 248 2" xfId="32645"/>
    <cellStyle name="스타일 249" xfId="32646"/>
    <cellStyle name="스타일 249 2" xfId="32647"/>
    <cellStyle name="스타일 25" xfId="32648"/>
    <cellStyle name="스타일 25 2" xfId="32649"/>
    <cellStyle name="스타일 250" xfId="32650"/>
    <cellStyle name="스타일 250 2" xfId="32651"/>
    <cellStyle name="스타일 251" xfId="32652"/>
    <cellStyle name="스타일 251 2" xfId="32653"/>
    <cellStyle name="스타일 252" xfId="32654"/>
    <cellStyle name="스타일 252 2" xfId="32655"/>
    <cellStyle name="스타일 253" xfId="32656"/>
    <cellStyle name="스타일 253 2" xfId="32657"/>
    <cellStyle name="스타일 254" xfId="32658"/>
    <cellStyle name="스타일 254 2" xfId="32659"/>
    <cellStyle name="스타일 255" xfId="32660"/>
    <cellStyle name="스타일 255 2" xfId="32661"/>
    <cellStyle name="스타일 26" xfId="32662"/>
    <cellStyle name="스타일 26 2" xfId="32663"/>
    <cellStyle name="스타일 27" xfId="32664"/>
    <cellStyle name="스타일 27 2" xfId="32665"/>
    <cellStyle name="스타일 28" xfId="32666"/>
    <cellStyle name="스타일 28 2" xfId="32667"/>
    <cellStyle name="스타일 29" xfId="32668"/>
    <cellStyle name="스타일 29 2" xfId="32669"/>
    <cellStyle name="스타일 3" xfId="32670"/>
    <cellStyle name="스타일 3 10" xfId="32671"/>
    <cellStyle name="스타일 3 10 2" xfId="32672"/>
    <cellStyle name="스타일 3 11" xfId="32673"/>
    <cellStyle name="스타일 3 11 2" xfId="32674"/>
    <cellStyle name="스타일 3 12" xfId="32675"/>
    <cellStyle name="스타일 3 12 2" xfId="32676"/>
    <cellStyle name="스타일 3 13" xfId="32677"/>
    <cellStyle name="스타일 3 13 2" xfId="32678"/>
    <cellStyle name="스타일 3 14" xfId="32679"/>
    <cellStyle name="스타일 3 2" xfId="32680"/>
    <cellStyle name="스타일 3 2 2" xfId="32681"/>
    <cellStyle name="스타일 3 3" xfId="32682"/>
    <cellStyle name="스타일 3 3 2" xfId="32683"/>
    <cellStyle name="스타일 3 4" xfId="32684"/>
    <cellStyle name="스타일 3 4 2" xfId="32685"/>
    <cellStyle name="스타일 3 5" xfId="32686"/>
    <cellStyle name="스타일 3 5 2" xfId="32687"/>
    <cellStyle name="스타일 3 6" xfId="32688"/>
    <cellStyle name="스타일 3 6 2" xfId="32689"/>
    <cellStyle name="스타일 3 7" xfId="32690"/>
    <cellStyle name="스타일 3 7 2" xfId="32691"/>
    <cellStyle name="스타일 3 8" xfId="32692"/>
    <cellStyle name="스타일 3 8 2" xfId="32693"/>
    <cellStyle name="스타일 3 9" xfId="32694"/>
    <cellStyle name="스타일 3 9 2" xfId="32695"/>
    <cellStyle name="스타일 30" xfId="32696"/>
    <cellStyle name="스타일 30 2" xfId="32697"/>
    <cellStyle name="스타일 31" xfId="32698"/>
    <cellStyle name="스타일 31 2" xfId="32699"/>
    <cellStyle name="스타일 32" xfId="32700"/>
    <cellStyle name="스타일 32 2" xfId="32701"/>
    <cellStyle name="스타일 33" xfId="32702"/>
    <cellStyle name="스타일 33 2" xfId="32703"/>
    <cellStyle name="스타일 34" xfId="32704"/>
    <cellStyle name="스타일 34 2" xfId="32705"/>
    <cellStyle name="스타일 35" xfId="32706"/>
    <cellStyle name="스타일 35 2" xfId="32707"/>
    <cellStyle name="스타일 36" xfId="32708"/>
    <cellStyle name="스타일 36 2" xfId="32709"/>
    <cellStyle name="스타일 37" xfId="32710"/>
    <cellStyle name="스타일 37 2" xfId="32711"/>
    <cellStyle name="스타일 38" xfId="32712"/>
    <cellStyle name="스타일 38 2" xfId="32713"/>
    <cellStyle name="스타일 39" xfId="32714"/>
    <cellStyle name="스타일 39 2" xfId="32715"/>
    <cellStyle name="스타일 4" xfId="32716"/>
    <cellStyle name="스타일 4 10" xfId="32717"/>
    <cellStyle name="스타일 4 10 2" xfId="32718"/>
    <cellStyle name="스타일 4 11" xfId="32719"/>
    <cellStyle name="스타일 4 11 2" xfId="32720"/>
    <cellStyle name="스타일 4 12" xfId="32721"/>
    <cellStyle name="스타일 4 12 2" xfId="32722"/>
    <cellStyle name="스타일 4 13" xfId="32723"/>
    <cellStyle name="스타일 4 13 2" xfId="32724"/>
    <cellStyle name="스타일 4 14" xfId="32725"/>
    <cellStyle name="스타일 4 2" xfId="32726"/>
    <cellStyle name="스타일 4 2 2" xfId="32727"/>
    <cellStyle name="스타일 4 3" xfId="32728"/>
    <cellStyle name="스타일 4 3 2" xfId="32729"/>
    <cellStyle name="스타일 4 4" xfId="32730"/>
    <cellStyle name="스타일 4 4 2" xfId="32731"/>
    <cellStyle name="스타일 4 5" xfId="32732"/>
    <cellStyle name="스타일 4 5 2" xfId="32733"/>
    <cellStyle name="스타일 4 6" xfId="32734"/>
    <cellStyle name="스타일 4 6 2" xfId="32735"/>
    <cellStyle name="스타일 4 7" xfId="32736"/>
    <cellStyle name="스타일 4 7 2" xfId="32737"/>
    <cellStyle name="스타일 4 8" xfId="32738"/>
    <cellStyle name="스타일 4 8 2" xfId="32739"/>
    <cellStyle name="스타일 4 9" xfId="32740"/>
    <cellStyle name="스타일 4 9 2" xfId="32741"/>
    <cellStyle name="스타일 40" xfId="32742"/>
    <cellStyle name="스타일 40 2" xfId="32743"/>
    <cellStyle name="스타일 41" xfId="32744"/>
    <cellStyle name="스타일 41 2" xfId="32745"/>
    <cellStyle name="스타일 42" xfId="32746"/>
    <cellStyle name="스타일 42 2" xfId="32747"/>
    <cellStyle name="스타일 43" xfId="32748"/>
    <cellStyle name="스타일 43 2" xfId="32749"/>
    <cellStyle name="스타일 44" xfId="32750"/>
    <cellStyle name="스타일 44 2" xfId="32751"/>
    <cellStyle name="스타일 45" xfId="32752"/>
    <cellStyle name="스타일 45 2" xfId="32753"/>
    <cellStyle name="스타일 46" xfId="32754"/>
    <cellStyle name="스타일 46 2" xfId="32755"/>
    <cellStyle name="스타일 47" xfId="32756"/>
    <cellStyle name="스타일 47 2" xfId="32757"/>
    <cellStyle name="스타일 48" xfId="32758"/>
    <cellStyle name="스타일 48 2" xfId="32759"/>
    <cellStyle name="스타일 49" xfId="32760"/>
    <cellStyle name="스타일 49 2" xfId="32761"/>
    <cellStyle name="스타일 5" xfId="32762"/>
    <cellStyle name="스타일 5 10" xfId="32763"/>
    <cellStyle name="스타일 5 10 2" xfId="32764"/>
    <cellStyle name="스타일 5 11" xfId="32765"/>
    <cellStyle name="스타일 5 11 2" xfId="32766"/>
    <cellStyle name="스타일 5 12" xfId="32767"/>
    <cellStyle name="스타일 5 12 2" xfId="32768"/>
    <cellStyle name="스타일 5 13" xfId="32769"/>
    <cellStyle name="스타일 5 13 2" xfId="32770"/>
    <cellStyle name="스타일 5 14" xfId="32771"/>
    <cellStyle name="스타일 5 2" xfId="32772"/>
    <cellStyle name="스타일 5 2 2" xfId="32773"/>
    <cellStyle name="스타일 5 3" xfId="32774"/>
    <cellStyle name="스타일 5 3 2" xfId="32775"/>
    <cellStyle name="스타일 5 4" xfId="32776"/>
    <cellStyle name="스타일 5 4 2" xfId="32777"/>
    <cellStyle name="스타일 5 5" xfId="32778"/>
    <cellStyle name="스타일 5 5 2" xfId="32779"/>
    <cellStyle name="스타일 5 6" xfId="32780"/>
    <cellStyle name="스타일 5 6 2" xfId="32781"/>
    <cellStyle name="스타일 5 7" xfId="32782"/>
    <cellStyle name="스타일 5 7 2" xfId="32783"/>
    <cellStyle name="스타일 5 8" xfId="32784"/>
    <cellStyle name="스타일 5 8 2" xfId="32785"/>
    <cellStyle name="스타일 5 9" xfId="32786"/>
    <cellStyle name="스타일 5 9 2" xfId="32787"/>
    <cellStyle name="스타일 50" xfId="32788"/>
    <cellStyle name="스타일 50 2" xfId="32789"/>
    <cellStyle name="스타일 51" xfId="32790"/>
    <cellStyle name="스타일 51 2" xfId="32791"/>
    <cellStyle name="스타일 52" xfId="32792"/>
    <cellStyle name="스타일 52 2" xfId="32793"/>
    <cellStyle name="스타일 53" xfId="32794"/>
    <cellStyle name="스타일 53 2" xfId="32795"/>
    <cellStyle name="스타일 54" xfId="32796"/>
    <cellStyle name="스타일 54 2" xfId="32797"/>
    <cellStyle name="스타일 55" xfId="32798"/>
    <cellStyle name="스타일 55 2" xfId="32799"/>
    <cellStyle name="스타일 56" xfId="32800"/>
    <cellStyle name="스타일 56 2" xfId="32801"/>
    <cellStyle name="스타일 57" xfId="32802"/>
    <cellStyle name="스타일 57 2" xfId="32803"/>
    <cellStyle name="스타일 58" xfId="32804"/>
    <cellStyle name="스타일 58 2" xfId="32805"/>
    <cellStyle name="스타일 59" xfId="32806"/>
    <cellStyle name="스타일 59 2" xfId="32807"/>
    <cellStyle name="스타일 6" xfId="32808"/>
    <cellStyle name="스타일 6 10" xfId="32809"/>
    <cellStyle name="스타일 6 10 2" xfId="32810"/>
    <cellStyle name="스타일 6 11" xfId="32811"/>
    <cellStyle name="스타일 6 11 2" xfId="32812"/>
    <cellStyle name="스타일 6 12" xfId="32813"/>
    <cellStyle name="스타일 6 12 2" xfId="32814"/>
    <cellStyle name="스타일 6 13" xfId="32815"/>
    <cellStyle name="스타일 6 13 2" xfId="32816"/>
    <cellStyle name="스타일 6 14" xfId="32817"/>
    <cellStyle name="스타일 6 2" xfId="32818"/>
    <cellStyle name="스타일 6 2 2" xfId="32819"/>
    <cellStyle name="스타일 6 3" xfId="32820"/>
    <cellStyle name="스타일 6 3 2" xfId="32821"/>
    <cellStyle name="스타일 6 4" xfId="32822"/>
    <cellStyle name="스타일 6 4 2" xfId="32823"/>
    <cellStyle name="스타일 6 5" xfId="32824"/>
    <cellStyle name="스타일 6 5 2" xfId="32825"/>
    <cellStyle name="스타일 6 6" xfId="32826"/>
    <cellStyle name="스타일 6 6 2" xfId="32827"/>
    <cellStyle name="스타일 6 7" xfId="32828"/>
    <cellStyle name="스타일 6 7 2" xfId="32829"/>
    <cellStyle name="스타일 6 8" xfId="32830"/>
    <cellStyle name="스타일 6 8 2" xfId="32831"/>
    <cellStyle name="스타일 6 9" xfId="32832"/>
    <cellStyle name="스타일 6 9 2" xfId="32833"/>
    <cellStyle name="스타일 60" xfId="32834"/>
    <cellStyle name="스타일 60 2" xfId="32835"/>
    <cellStyle name="스타일 61" xfId="32836"/>
    <cellStyle name="스타일 61 2" xfId="32837"/>
    <cellStyle name="스타일 62" xfId="32838"/>
    <cellStyle name="스타일 62 2" xfId="32839"/>
    <cellStyle name="스타일 63" xfId="32840"/>
    <cellStyle name="스타일 63 2" xfId="32841"/>
    <cellStyle name="스타일 64" xfId="32842"/>
    <cellStyle name="스타일 64 2" xfId="32843"/>
    <cellStyle name="스타일 65" xfId="32844"/>
    <cellStyle name="스타일 65 2" xfId="32845"/>
    <cellStyle name="스타일 66" xfId="32846"/>
    <cellStyle name="스타일 66 2" xfId="32847"/>
    <cellStyle name="스타일 67" xfId="32848"/>
    <cellStyle name="스타일 67 2" xfId="32849"/>
    <cellStyle name="스타일 68" xfId="32850"/>
    <cellStyle name="스타일 68 2" xfId="32851"/>
    <cellStyle name="스타일 69" xfId="32852"/>
    <cellStyle name="스타일 69 2" xfId="32853"/>
    <cellStyle name="스타일 7" xfId="32854"/>
    <cellStyle name="스타일 7 10" xfId="32855"/>
    <cellStyle name="스타일 7 10 2" xfId="32856"/>
    <cellStyle name="스타일 7 11" xfId="32857"/>
    <cellStyle name="스타일 7 11 2" xfId="32858"/>
    <cellStyle name="스타일 7 12" xfId="32859"/>
    <cellStyle name="스타일 7 12 2" xfId="32860"/>
    <cellStyle name="스타일 7 13" xfId="32861"/>
    <cellStyle name="스타일 7 2" xfId="32862"/>
    <cellStyle name="스타일 7 2 2" xfId="32863"/>
    <cellStyle name="스타일 7 3" xfId="32864"/>
    <cellStyle name="스타일 7 3 2" xfId="32865"/>
    <cellStyle name="스타일 7 4" xfId="32866"/>
    <cellStyle name="스타일 7 4 2" xfId="32867"/>
    <cellStyle name="스타일 7 5" xfId="32868"/>
    <cellStyle name="스타일 7 5 2" xfId="32869"/>
    <cellStyle name="스타일 7 6" xfId="32870"/>
    <cellStyle name="스타일 7 6 2" xfId="32871"/>
    <cellStyle name="스타일 7 7" xfId="32872"/>
    <cellStyle name="스타일 7 7 2" xfId="32873"/>
    <cellStyle name="스타일 7 8" xfId="32874"/>
    <cellStyle name="스타일 7 8 2" xfId="32875"/>
    <cellStyle name="스타일 7 9" xfId="32876"/>
    <cellStyle name="스타일 7 9 2" xfId="32877"/>
    <cellStyle name="스타일 70" xfId="32878"/>
    <cellStyle name="스타일 70 2" xfId="32879"/>
    <cellStyle name="스타일 71" xfId="32880"/>
    <cellStyle name="스타일 71 2" xfId="32881"/>
    <cellStyle name="스타일 72" xfId="32882"/>
    <cellStyle name="스타일 72 2" xfId="32883"/>
    <cellStyle name="스타일 73" xfId="32884"/>
    <cellStyle name="스타일 73 2" xfId="32885"/>
    <cellStyle name="스타일 74" xfId="32886"/>
    <cellStyle name="스타일 74 2" xfId="32887"/>
    <cellStyle name="스타일 75" xfId="32888"/>
    <cellStyle name="스타일 75 2" xfId="32889"/>
    <cellStyle name="스타일 76" xfId="32890"/>
    <cellStyle name="스타일 76 2" xfId="32891"/>
    <cellStyle name="스타일 77" xfId="32892"/>
    <cellStyle name="스타일 77 2" xfId="32893"/>
    <cellStyle name="스타일 78" xfId="32894"/>
    <cellStyle name="스타일 78 2" xfId="32895"/>
    <cellStyle name="스타일 79" xfId="32896"/>
    <cellStyle name="스타일 79 2" xfId="32897"/>
    <cellStyle name="스타일 8" xfId="32898"/>
    <cellStyle name="스타일 8 10" xfId="32899"/>
    <cellStyle name="스타일 8 10 2" xfId="32900"/>
    <cellStyle name="스타일 8 11" xfId="32901"/>
    <cellStyle name="스타일 8 11 2" xfId="32902"/>
    <cellStyle name="스타일 8 12" xfId="32903"/>
    <cellStyle name="스타일 8 12 2" xfId="32904"/>
    <cellStyle name="스타일 8 13" xfId="32905"/>
    <cellStyle name="스타일 8 13 2" xfId="32906"/>
    <cellStyle name="스타일 8 14" xfId="32907"/>
    <cellStyle name="스타일 8 2" xfId="32908"/>
    <cellStyle name="스타일 8 2 2" xfId="32909"/>
    <cellStyle name="스타일 8 3" xfId="32910"/>
    <cellStyle name="스타일 8 3 2" xfId="32911"/>
    <cellStyle name="스타일 8 4" xfId="32912"/>
    <cellStyle name="스타일 8 4 2" xfId="32913"/>
    <cellStyle name="스타일 8 5" xfId="32914"/>
    <cellStyle name="스타일 8 5 2" xfId="32915"/>
    <cellStyle name="스타일 8 6" xfId="32916"/>
    <cellStyle name="스타일 8 6 2" xfId="32917"/>
    <cellStyle name="스타일 8 7" xfId="32918"/>
    <cellStyle name="스타일 8 7 2" xfId="32919"/>
    <cellStyle name="스타일 8 8" xfId="32920"/>
    <cellStyle name="스타일 8 8 2" xfId="32921"/>
    <cellStyle name="스타일 8 9" xfId="32922"/>
    <cellStyle name="스타일 8 9 2" xfId="32923"/>
    <cellStyle name="스타일 80" xfId="32924"/>
    <cellStyle name="스타일 80 2" xfId="32925"/>
    <cellStyle name="스타일 81" xfId="32926"/>
    <cellStyle name="스타일 81 2" xfId="32927"/>
    <cellStyle name="스타일 82" xfId="32928"/>
    <cellStyle name="스타일 82 2" xfId="32929"/>
    <cellStyle name="스타일 83" xfId="32930"/>
    <cellStyle name="스타일 83 2" xfId="32931"/>
    <cellStyle name="스타일 84" xfId="32932"/>
    <cellStyle name="스타일 84 2" xfId="32933"/>
    <cellStyle name="스타일 85" xfId="32934"/>
    <cellStyle name="스타일 85 2" xfId="32935"/>
    <cellStyle name="스타일 86" xfId="32936"/>
    <cellStyle name="스타일 86 2" xfId="32937"/>
    <cellStyle name="스타일 87" xfId="32938"/>
    <cellStyle name="스타일 87 2" xfId="32939"/>
    <cellStyle name="스타일 88" xfId="32940"/>
    <cellStyle name="스타일 88 2" xfId="32941"/>
    <cellStyle name="스타일 89" xfId="32942"/>
    <cellStyle name="스타일 89 2" xfId="32943"/>
    <cellStyle name="스타일 9" xfId="32944"/>
    <cellStyle name="스타일 9 10" xfId="32945"/>
    <cellStyle name="스타일 9 10 2" xfId="32946"/>
    <cellStyle name="스타일 9 11" xfId="32947"/>
    <cellStyle name="스타일 9 11 2" xfId="32948"/>
    <cellStyle name="스타일 9 12" xfId="32949"/>
    <cellStyle name="스타일 9 12 2" xfId="32950"/>
    <cellStyle name="스타일 9 13" xfId="32951"/>
    <cellStyle name="스타일 9 13 2" xfId="32952"/>
    <cellStyle name="스타일 9 14" xfId="32953"/>
    <cellStyle name="스타일 9 2" xfId="32954"/>
    <cellStyle name="스타일 9 2 2" xfId="32955"/>
    <cellStyle name="스타일 9 3" xfId="32956"/>
    <cellStyle name="스타일 9 3 2" xfId="32957"/>
    <cellStyle name="스타일 9 4" xfId="32958"/>
    <cellStyle name="스타일 9 4 2" xfId="32959"/>
    <cellStyle name="스타일 9 5" xfId="32960"/>
    <cellStyle name="스타일 9 5 2" xfId="32961"/>
    <cellStyle name="스타일 9 6" xfId="32962"/>
    <cellStyle name="스타일 9 6 2" xfId="32963"/>
    <cellStyle name="스타일 9 7" xfId="32964"/>
    <cellStyle name="스타일 9 7 2" xfId="32965"/>
    <cellStyle name="스타일 9 8" xfId="32966"/>
    <cellStyle name="스타일 9 8 2" xfId="32967"/>
    <cellStyle name="스타일 9 9" xfId="32968"/>
    <cellStyle name="스타일 9 9 2" xfId="32969"/>
    <cellStyle name="스타일 90" xfId="32970"/>
    <cellStyle name="스타일 90 2" xfId="32971"/>
    <cellStyle name="스타일 91" xfId="32972"/>
    <cellStyle name="스타일 91 2" xfId="32973"/>
    <cellStyle name="스타일 92" xfId="32974"/>
    <cellStyle name="스타일 92 2" xfId="32975"/>
    <cellStyle name="스타일 93" xfId="32976"/>
    <cellStyle name="스타일 93 2" xfId="32977"/>
    <cellStyle name="스타일 94" xfId="32978"/>
    <cellStyle name="스타일 94 2" xfId="32979"/>
    <cellStyle name="스타일 95" xfId="32980"/>
    <cellStyle name="스타일 95 2" xfId="32981"/>
    <cellStyle name="스타일 96" xfId="32982"/>
    <cellStyle name="스타일 96 2" xfId="32983"/>
    <cellStyle name="스타일 97" xfId="32984"/>
    <cellStyle name="스타일 97 2" xfId="32985"/>
    <cellStyle name="스타일 98" xfId="32986"/>
    <cellStyle name="스타일 98 2" xfId="32987"/>
    <cellStyle name="스타일 99" xfId="32988"/>
    <cellStyle name="스타일 99 2" xfId="32989"/>
    <cellStyle name="안건회계법인" xfId="32990"/>
    <cellStyle name="안건회계법인 2" xfId="32991"/>
    <cellStyle name="연결" xfId="32992"/>
    <cellStyle name="연결 2" xfId="32993"/>
    <cellStyle name="연결된 셀 2" xfId="32994"/>
    <cellStyle name="연결된 셀 2 2" xfId="32995"/>
    <cellStyle name="연결된 셀 3" xfId="32996"/>
    <cellStyle name="연결된 셀 3 2" xfId="32997"/>
    <cellStyle name="연결번호" xfId="32998"/>
    <cellStyle name="연결번호 2" xfId="32999"/>
    <cellStyle name="연결전환2" xfId="33000"/>
    <cellStyle name="연결전환2 2" xfId="33001"/>
    <cellStyle name="연결전환3" xfId="33002"/>
    <cellStyle name="연결전환3 2" xfId="33003"/>
    <cellStyle name="열 영역" xfId="33004"/>
    <cellStyle name="열 영역 2" xfId="33005"/>
    <cellStyle name="열어본 하이퍼링크" xfId="33006"/>
    <cellStyle name="열어본 하이퍼링크 2" xfId="33007"/>
    <cellStyle name="영호" xfId="33008"/>
    <cellStyle name="영호 2" xfId="33009"/>
    <cellStyle name="옛체" xfId="33010"/>
    <cellStyle name="옛체 2" xfId="33011"/>
    <cellStyle name="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53"/>
    <cellStyle name="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1" xfId="31154"/>
    <cellStyle name="왼쪽2" xfId="33012"/>
    <cellStyle name="왼쪽2 2" xfId="33013"/>
    <cellStyle name="요약 2" xfId="33014"/>
    <cellStyle name="요약 2 2" xfId="33015"/>
    <cellStyle name="요약 3" xfId="33016"/>
    <cellStyle name="요약 3 2" xfId="33017"/>
    <cellStyle name="우괄호_박심배수구조물공" xfId="33018"/>
    <cellStyle name="우측양괄호" xfId="33019"/>
    <cellStyle name="우측양괄호 2" xfId="33020"/>
    <cellStyle name="원" xfId="33021"/>
    <cellStyle name="원 2" xfId="33022"/>
    <cellStyle name="원 2 2" xfId="33023"/>
    <cellStyle name="원 3" xfId="33024"/>
    <cellStyle name="원 3 2" xfId="33025"/>
    <cellStyle name="원 4" xfId="33026"/>
    <cellStyle name="원_0. 박열의사-총괄집계표(금회+차후)-1차수정" xfId="33027"/>
    <cellStyle name="원_0. 박열의사-총괄집계표(금회+차후)-1차수정 2" xfId="33028"/>
    <cellStyle name="원_0. 박열의사-총괄집계표(금회+차후)-1차수정_서울숲교회 02-15" xfId="33029"/>
    <cellStyle name="원_0. 박열의사-총괄집계표(금회+차후)-1차수정_서울숲교회 02-15 2" xfId="33030"/>
    <cellStyle name="원_0. 박열의사-총괄집계표(금회+차후)-1차수정_서울숲교회01-19" xfId="33031"/>
    <cellStyle name="원_0. 박열의사-총괄집계표(금회+차후)-1차수정_서울숲교회01-19 2" xfId="33032"/>
    <cellStyle name="원_0. 박열의사-총괄집계표(금회+차후)-1차수정_서울숲교회02-07" xfId="33033"/>
    <cellStyle name="원_0. 박열의사-총괄집계표(금회+차후)-1차수정_서울숲교회02-07 2" xfId="33034"/>
    <cellStyle name="원_0. 박열의사-총괄집계표(금회+차후)-1차수정_서울숲교회부속실02-07" xfId="33035"/>
    <cellStyle name="원_0. 박열의사-총괄집계표(금회+차후)-1차수정_서울숲교회부속실02-07 2" xfId="33036"/>
    <cellStyle name="원_0. 박열의사-총괄집계표(금회+차후)-1차수정_서울숲교회부속실영상2-7" xfId="33037"/>
    <cellStyle name="원_0. 박열의사-총괄집계표(금회+차후)-1차수정_서울숲교회부속실영상2-7 2" xfId="33038"/>
    <cellStyle name="원_0. 박열의사-총괄집계표(금회+차후)-1차수정_효성교회견적계약" xfId="33039"/>
    <cellStyle name="원_0. 박열의사-총괄집계표(금회+차후)-1차수정_효성교회견적계약 2" xfId="33040"/>
    <cellStyle name="원_09-30(순수)" xfId="33041"/>
    <cellStyle name="원_09-30(순수) 2" xfId="33042"/>
    <cellStyle name="원_대전교육정보원(강산)" xfId="33043"/>
    <cellStyle name="원_대전교육정보원(강산) 2" xfId="33044"/>
    <cellStyle name="원_대전교육정보원신축공사(강산)" xfId="33045"/>
    <cellStyle name="원_대전교육정보원신축공사(강산) 2" xfId="33046"/>
    <cellStyle name="원_도개지구(케이티하도급)" xfId="33047"/>
    <cellStyle name="원_도개지구(케이티하도급) 2" xfId="33048"/>
    <cellStyle name="원_매내천" xfId="33049"/>
    <cellStyle name="원_매내천 2" xfId="33050"/>
    <cellStyle name="원_발주내역서 " xfId="33051"/>
    <cellStyle name="원_백석수지예산서" xfId="33052"/>
    <cellStyle name="원_백석수지예산서 2" xfId="33053"/>
    <cellStyle name="원_서울숲교회 02-15" xfId="33054"/>
    <cellStyle name="원_서울숲교회 02-15 2" xfId="33055"/>
    <cellStyle name="원_서울숲교회01-19" xfId="33056"/>
    <cellStyle name="원_서울숲교회01-19 2" xfId="33057"/>
    <cellStyle name="원_서울숲교회02-07" xfId="33058"/>
    <cellStyle name="원_서울숲교회02-07 2" xfId="33059"/>
    <cellStyle name="원_서울숲교회02-07_1" xfId="33060"/>
    <cellStyle name="원_서울숲교회02-07_1 2" xfId="33061"/>
    <cellStyle name="원_서울숲교회부속실02-07" xfId="33062"/>
    <cellStyle name="원_서울숲교회부속실02-07 2" xfId="33063"/>
    <cellStyle name="원_서울숲교회부속실영상2-7" xfId="33064"/>
    <cellStyle name="원_서울숲교회부속실영상2-7 2" xfId="33065"/>
    <cellStyle name="원_용봉지구중규모농촌용수(그린)" xfId="33066"/>
    <cellStyle name="원_용봉지구중규모농촌용수(그린) 2" xfId="33067"/>
    <cellStyle name="원_인흥공사비(수지예산서)" xfId="33068"/>
    <cellStyle name="원_인흥공사비(수지예산서) 2" xfId="33069"/>
    <cellStyle name="원_점리내역" xfId="33070"/>
    <cellStyle name="원_점리내역 2" xfId="33071"/>
    <cellStyle name="원_창봉지급자재단가" xfId="33072"/>
    <cellStyle name="원_창봉지급자재단가 2" xfId="33073"/>
    <cellStyle name="원_효성교회견적계약" xfId="33074"/>
    <cellStyle name="원_효성교회견적계약 2" xfId="33075"/>
    <cellStyle name="유1" xfId="33076"/>
    <cellStyle name="유1 2" xfId="33077"/>
    <cellStyle name="유영" xfId="33078"/>
    <cellStyle name="유영 2" xfId="33079"/>
    <cellStyle name="윤1" xfId="33080"/>
    <cellStyle name="윤1 2" xfId="33081"/>
    <cellStyle name="일반" xfId="33082"/>
    <cellStyle name="일반 2" xfId="33083"/>
    <cellStyle name="일위_규격1" xfId="33084"/>
    <cellStyle name="일위대가" xfId="33085"/>
    <cellStyle name="일위대가 2" xfId="33086"/>
    <cellStyle name="일위대가목록" xfId="33087"/>
    <cellStyle name="일위대가목록 2" xfId="33088"/>
    <cellStyle name="입력 2" xfId="33089"/>
    <cellStyle name="입력 2 2" xfId="33090"/>
    <cellStyle name="입력 3" xfId="33091"/>
    <cellStyle name="입력 3 2" xfId="33092"/>
    <cellStyle name="자리수" xfId="33093"/>
    <cellStyle name="자리수 - 유형1" xfId="33094"/>
    <cellStyle name="자리수 - 유형1 2" xfId="33095"/>
    <cellStyle name="자리수 10" xfId="33096"/>
    <cellStyle name="자리수 10 2" xfId="33097"/>
    <cellStyle name="자리수 11" xfId="33098"/>
    <cellStyle name="자리수 11 2" xfId="33099"/>
    <cellStyle name="자리수 12" xfId="33100"/>
    <cellStyle name="자리수 2" xfId="33101"/>
    <cellStyle name="자리수 2 2" xfId="33102"/>
    <cellStyle name="자리수 3" xfId="33103"/>
    <cellStyle name="자리수 3 2" xfId="33104"/>
    <cellStyle name="자리수 4" xfId="33105"/>
    <cellStyle name="자리수 4 2" xfId="33106"/>
    <cellStyle name="자리수 5" xfId="33107"/>
    <cellStyle name="자리수 5 2" xfId="33108"/>
    <cellStyle name="자리수 6" xfId="33109"/>
    <cellStyle name="자리수 6 2" xfId="33110"/>
    <cellStyle name="자리수 7" xfId="33111"/>
    <cellStyle name="자리수 7 2" xfId="33112"/>
    <cellStyle name="자리수 8" xfId="33113"/>
    <cellStyle name="자리수 8 2" xfId="33114"/>
    <cellStyle name="자리수 9" xfId="33115"/>
    <cellStyle name="자리수 9 2" xfId="33116"/>
    <cellStyle name="자리수_가든5점_모던하우스_입찰공내역서(100416)" xfId="33153"/>
    <cellStyle name="자리수0" xfId="33117"/>
    <cellStyle name="자리수0 10" xfId="33118"/>
    <cellStyle name="자리수0 10 2" xfId="33119"/>
    <cellStyle name="자리수0 11" xfId="33120"/>
    <cellStyle name="자리수0 11 2" xfId="33121"/>
    <cellStyle name="자리수0 12" xfId="33122"/>
    <cellStyle name="자리수0 12 2" xfId="33123"/>
    <cellStyle name="자리수0 13" xfId="33124"/>
    <cellStyle name="자리수0 13 2" xfId="33125"/>
    <cellStyle name="자리수0 14" xfId="33126"/>
    <cellStyle name="자리수0 14 2" xfId="33127"/>
    <cellStyle name="자리수0 15" xfId="33128"/>
    <cellStyle name="자리수0 15 2" xfId="33129"/>
    <cellStyle name="자리수0 16" xfId="33130"/>
    <cellStyle name="자리수0 16 2" xfId="33131"/>
    <cellStyle name="자리수0 17" xfId="33132"/>
    <cellStyle name="자리수0 17 2" xfId="33133"/>
    <cellStyle name="자리수0 18" xfId="33134"/>
    <cellStyle name="자리수0 18 2" xfId="33135"/>
    <cellStyle name="자리수0 19" xfId="33136"/>
    <cellStyle name="자리수0 2" xfId="33137"/>
    <cellStyle name="자리수0 2 2" xfId="33138"/>
    <cellStyle name="자리수0 3" xfId="33139"/>
    <cellStyle name="자리수0 3 2" xfId="33140"/>
    <cellStyle name="자리수0 4" xfId="33141"/>
    <cellStyle name="자리수0 4 2" xfId="33142"/>
    <cellStyle name="자리수0 5" xfId="33143"/>
    <cellStyle name="자리수0 5 2" xfId="33144"/>
    <cellStyle name="자리수0 6" xfId="33145"/>
    <cellStyle name="자리수0 6 2" xfId="33146"/>
    <cellStyle name="자리수0 7" xfId="33147"/>
    <cellStyle name="자리수0 7 2" xfId="33148"/>
    <cellStyle name="자리수0 8" xfId="33149"/>
    <cellStyle name="자리수0 8 2" xfId="33150"/>
    <cellStyle name="자리수0 9" xfId="33151"/>
    <cellStyle name="자리수0 9 2" xfId="33152"/>
    <cellStyle name="적색" xfId="33154"/>
    <cellStyle name="적색 2" xfId="33155"/>
    <cellStyle name="전화2자리" xfId="33156"/>
    <cellStyle name="전화2자리 2" xfId="33157"/>
    <cellStyle name="전화3자리" xfId="33158"/>
    <cellStyle name="전화3자리 2" xfId="33159"/>
    <cellStyle name="전화4자리" xfId="33160"/>
    <cellStyle name="전화4자리 2" xfId="33161"/>
    <cellStyle name="정렬" xfId="33162"/>
    <cellStyle name="정렬 2" xfId="33163"/>
    <cellStyle name="정렬범위" xfId="33164"/>
    <cellStyle name="정렬범위 2" xfId="33165"/>
    <cellStyle name="제곱" xfId="33166"/>
    <cellStyle name="제곱 2" xfId="33167"/>
    <cellStyle name="제목 1 2" xfId="33168"/>
    <cellStyle name="제목 1 2 2" xfId="33169"/>
    <cellStyle name="제목 1 3" xfId="33170"/>
    <cellStyle name="제목 1 3 2" xfId="33171"/>
    <cellStyle name="제목 1(左)" xfId="33174"/>
    <cellStyle name="제목 1(左) 2" xfId="33175"/>
    <cellStyle name="제목 1(中)" xfId="33172"/>
    <cellStyle name="제목 1(中) 2" xfId="33173"/>
    <cellStyle name="제목 2 2" xfId="33176"/>
    <cellStyle name="제목 2 2 2" xfId="33177"/>
    <cellStyle name="제목 2 3" xfId="33178"/>
    <cellStyle name="제목 2 3 2" xfId="33179"/>
    <cellStyle name="제목 3 2" xfId="33180"/>
    <cellStyle name="제목 3 2 2" xfId="33181"/>
    <cellStyle name="제목 3 3" xfId="33182"/>
    <cellStyle name="제목 3 3 2" xfId="33183"/>
    <cellStyle name="제목 4 2" xfId="33184"/>
    <cellStyle name="제목 4 2 2" xfId="33185"/>
    <cellStyle name="제목 4 3" xfId="33186"/>
    <cellStyle name="제목 4 3 2" xfId="33187"/>
    <cellStyle name="제목 5" xfId="33188"/>
    <cellStyle name="제목 5 2" xfId="33189"/>
    <cellStyle name="제목 6" xfId="33190"/>
    <cellStyle name="제목 6 2" xfId="33191"/>
    <cellStyle name="제목[1 줄]" xfId="33214"/>
    <cellStyle name="제목[1 줄] 2" xfId="33215"/>
    <cellStyle name="제목[1 줄] 2 2" xfId="33216"/>
    <cellStyle name="제목[1 줄] 3" xfId="33217"/>
    <cellStyle name="제목[2줄 아래]" xfId="33218"/>
    <cellStyle name="제목[2줄 아래] 2" xfId="33219"/>
    <cellStyle name="제목[2줄 아래] 2 2" xfId="33220"/>
    <cellStyle name="제목[2줄 아래] 3" xfId="33221"/>
    <cellStyle name="제목[2줄 위]" xfId="33222"/>
    <cellStyle name="제목[2줄 위] 2" xfId="33223"/>
    <cellStyle name="제목[2줄 위] 2 2" xfId="33224"/>
    <cellStyle name="제목[2줄 위] 3" xfId="33225"/>
    <cellStyle name="제목1" xfId="33192"/>
    <cellStyle name="제목1 10" xfId="33193"/>
    <cellStyle name="제목1 10 2" xfId="33194"/>
    <cellStyle name="제목1 11" xfId="33195"/>
    <cellStyle name="제목1 11 2" xfId="33196"/>
    <cellStyle name="제목1 12" xfId="33197"/>
    <cellStyle name="제목1 2" xfId="33198"/>
    <cellStyle name="제목1 2 2" xfId="33199"/>
    <cellStyle name="제목1 3" xfId="33200"/>
    <cellStyle name="제목1 3 2" xfId="33201"/>
    <cellStyle name="제목1 4" xfId="33202"/>
    <cellStyle name="제목1 4 2" xfId="33203"/>
    <cellStyle name="제목1 5" xfId="33204"/>
    <cellStyle name="제목1 5 2" xfId="33205"/>
    <cellStyle name="제목1 6" xfId="33206"/>
    <cellStyle name="제목1 6 2" xfId="33207"/>
    <cellStyle name="제목1 7" xfId="33208"/>
    <cellStyle name="제목1 7 2" xfId="33209"/>
    <cellStyle name="제목1 8" xfId="33210"/>
    <cellStyle name="제목1 8 2" xfId="33211"/>
    <cellStyle name="제목1 9" xfId="33212"/>
    <cellStyle name="제목1 9 2" xfId="33213"/>
    <cellStyle name="좋음 11" xfId="33226"/>
    <cellStyle name="좋음 11 2" xfId="33227"/>
    <cellStyle name="좋음 2" xfId="33228"/>
    <cellStyle name="좋음 2 2" xfId="33229"/>
    <cellStyle name="좋음 3" xfId="33230"/>
    <cellStyle name="좋음 3 2" xfId="33231"/>
    <cellStyle name="좋음 3 2 2" xfId="33232"/>
    <cellStyle name="좋음 3 3" xfId="33233"/>
    <cellStyle name="좌괄호_박심배수구조물공" xfId="33234"/>
    <cellStyle name="좌측양괄호" xfId="33235"/>
    <cellStyle name="좌측양괄호 2" xfId="33236"/>
    <cellStyle name="지정되지 않음" xfId="33237"/>
    <cellStyle name="지정되지 않음 2" xfId="33238"/>
    <cellStyle name="지하철정렬" xfId="33239"/>
    <cellStyle name="지하철정렬 2" xfId="33240"/>
    <cellStyle name="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046"/>
    <cellStyle name="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2" xfId="31047"/>
    <cellStyle name="출력 2" xfId="33241"/>
    <cellStyle name="출력 2 2" xfId="33242"/>
    <cellStyle name="출력 3" xfId="33243"/>
    <cellStyle name="출력 3 2" xfId="33244"/>
    <cellStyle name="코드" xfId="33245"/>
    <cellStyle name="코드 2" xfId="33246"/>
    <cellStyle name="콤" xfId="33247"/>
    <cellStyle name="콤 2" xfId="33248"/>
    <cellStyle name="콤_여수-죽림 세대" xfId="33249"/>
    <cellStyle name="콤_여수-죽림 세대 2" xfId="33250"/>
    <cellStyle name="콤_여수-죽림 세대_1" xfId="33251"/>
    <cellStyle name="콤_여수-죽림 세대_1 2" xfId="33252"/>
    <cellStyle name="콤냡?&lt;_x000f_$??: `1_1 " xfId="33253"/>
    <cellStyle name="콤마" xfId="33254"/>
    <cellStyle name="콤마 [" xfId="33256"/>
    <cellStyle name="콤마 [ 2" xfId="33257"/>
    <cellStyle name="콤마 [#]" xfId="33258"/>
    <cellStyle name="콤마 [#] 2" xfId="33259"/>
    <cellStyle name="콤마 [#] 2 2" xfId="33260"/>
    <cellStyle name="콤마 [#] 3" xfId="33261"/>
    <cellStyle name="콤마 []" xfId="33327"/>
    <cellStyle name="콤마 [] 2" xfId="33328"/>
    <cellStyle name="콤마 [] 2 2" xfId="33329"/>
    <cellStyle name="콤마 [] 3" xfId="33330"/>
    <cellStyle name="콤마 [_여수-죽림 세대" xfId="33331"/>
    <cellStyle name="콤마 [0?업전 (2)2) (수)???????L낺" xfId="33264"/>
    <cellStyle name="콤마 [0?업전 (2)2) (수)???????L낺 2" xfId="33265"/>
    <cellStyle name="콤마 [0]" xfId="33266"/>
    <cellStyle name="콤마 [0] 10" xfId="33267"/>
    <cellStyle name="콤마 [0] 10 2" xfId="33268"/>
    <cellStyle name="콤마 [0] 11" xfId="33269"/>
    <cellStyle name="콤마 [0] 11 2" xfId="33270"/>
    <cellStyle name="콤마 [0] 12" xfId="33271"/>
    <cellStyle name="콤마 [0] 12 2" xfId="33272"/>
    <cellStyle name="콤마 [0] 13" xfId="33273"/>
    <cellStyle name="콤마 [0] 2" xfId="33274"/>
    <cellStyle name="콤마 [0] 2 2" xfId="33275"/>
    <cellStyle name="콤마 [0] 3" xfId="33276"/>
    <cellStyle name="콤마 [0] 3 2" xfId="33277"/>
    <cellStyle name="콤마 [0] 4" xfId="33278"/>
    <cellStyle name="콤마 [0] 4 2" xfId="33279"/>
    <cellStyle name="콤마 [0] 5" xfId="33280"/>
    <cellStyle name="콤마 [0] 5 2" xfId="33281"/>
    <cellStyle name="콤마 [0] 6" xfId="33282"/>
    <cellStyle name="콤마 [0] 6 2" xfId="33283"/>
    <cellStyle name="콤마 [0] 7" xfId="33284"/>
    <cellStyle name="콤마 [0] 7 2" xfId="33285"/>
    <cellStyle name="콤마 [0] 8" xfId="33286"/>
    <cellStyle name="콤마 [0] 8 2" xfId="33287"/>
    <cellStyle name="콤마 [0] 9" xfId="33288"/>
    <cellStyle name="콤마 [0] 9 2" xfId="33289"/>
    <cellStyle name="콤마 [0]/원" xfId="33290"/>
    <cellStyle name="콤마 [0]/원 2" xfId="33291"/>
    <cellStyle name="콤마 [0]_  종  합  " xfId="33292"/>
    <cellStyle name="콤마 [0]기기자재비" xfId="33293"/>
    <cellStyle name="콤마 [0]기기자재비 2" xfId="33294"/>
    <cellStyle name="콤마 [000]" xfId="33262"/>
    <cellStyle name="콤마 [000] 2" xfId="33263"/>
    <cellStyle name="콤마 [1]" xfId="33295"/>
    <cellStyle name="콤마 [1] 2" xfId="33296"/>
    <cellStyle name="콤마 [2]" xfId="33297"/>
    <cellStyle name="콤마 [2] 10" xfId="33298"/>
    <cellStyle name="콤마 [2] 10 2" xfId="33299"/>
    <cellStyle name="콤마 [2] 11" xfId="33300"/>
    <cellStyle name="콤마 [2] 11 2" xfId="33301"/>
    <cellStyle name="콤마 [2] 12" xfId="33302"/>
    <cellStyle name="콤마 [2] 12 2" xfId="33303"/>
    <cellStyle name="콤마 [2] 13" xfId="33304"/>
    <cellStyle name="콤마 [2] 2" xfId="33305"/>
    <cellStyle name="콤마 [2] 2 2" xfId="33306"/>
    <cellStyle name="콤마 [2] 2 2 2" xfId="33307"/>
    <cellStyle name="콤마 [2] 2 3" xfId="33308"/>
    <cellStyle name="콤마 [2] 3" xfId="33309"/>
    <cellStyle name="콤마 [2] 3 2" xfId="33310"/>
    <cellStyle name="콤마 [2] 4" xfId="33311"/>
    <cellStyle name="콤마 [2] 4 2" xfId="33312"/>
    <cellStyle name="콤마 [2] 5" xfId="33313"/>
    <cellStyle name="콤마 [2] 5 2" xfId="33314"/>
    <cellStyle name="콤마 [2] 6" xfId="33315"/>
    <cellStyle name="콤마 [2] 6 2" xfId="33316"/>
    <cellStyle name="콤마 [2] 7" xfId="33317"/>
    <cellStyle name="콤마 [2] 7 2" xfId="33318"/>
    <cellStyle name="콤마 [2] 8" xfId="33319"/>
    <cellStyle name="콤마 [2] 8 2" xfId="33320"/>
    <cellStyle name="콤마 [2] 9" xfId="33321"/>
    <cellStyle name="콤마 [2] 9 2" xfId="33322"/>
    <cellStyle name="콤마 [3]" xfId="33323"/>
    <cellStyle name="콤마 [3] 2" xfId="33324"/>
    <cellStyle name="콤마 [3] 2 2" xfId="33325"/>
    <cellStyle name="콤마 [3] 3" xfId="33326"/>
    <cellStyle name="콤마 [금액]" xfId="33332"/>
    <cellStyle name="콤마 [금액] 2" xfId="33333"/>
    <cellStyle name="콤마 [소수]" xfId="33334"/>
    <cellStyle name="콤마 [소수] 2" xfId="33335"/>
    <cellStyle name="콤마 [소수] 2 2" xfId="33336"/>
    <cellStyle name="콤마 [소수] 3" xfId="33337"/>
    <cellStyle name="콤마 [수량]" xfId="33338"/>
    <cellStyle name="콤마 [수량] 2" xfId="33339"/>
    <cellStyle name="콤마 [수량] 2 2" xfId="33340"/>
    <cellStyle name="콤마 [수량] 3" xfId="33341"/>
    <cellStyle name="콤마 [수량] 3 2" xfId="33342"/>
    <cellStyle name="콤마 [수량] 4" xfId="33343"/>
    <cellStyle name="콤마 2" xfId="33255"/>
    <cellStyle name="콤마[ ]" xfId="33344"/>
    <cellStyle name="콤마[ ] 2" xfId="33345"/>
    <cellStyle name="콤마[ ] 2 2" xfId="33346"/>
    <cellStyle name="콤마[ ] 3" xfId="33347"/>
    <cellStyle name="콤마[*]" xfId="33348"/>
    <cellStyle name="콤마[*] 2" xfId="33349"/>
    <cellStyle name="콤마[*] 2 2" xfId="33350"/>
    <cellStyle name="콤마[*] 3" xfId="33351"/>
    <cellStyle name="콤마[,]" xfId="33352"/>
    <cellStyle name="콤마[,] 2" xfId="33353"/>
    <cellStyle name="콤마[.]" xfId="33354"/>
    <cellStyle name="콤마[.] 2" xfId="33355"/>
    <cellStyle name="콤마[.] 2 2" xfId="33356"/>
    <cellStyle name="콤마[.] 3" xfId="33357"/>
    <cellStyle name="콤마[0]" xfId="33358"/>
    <cellStyle name="콤마[0] 10" xfId="33359"/>
    <cellStyle name="콤마[0] 10 2" xfId="33360"/>
    <cellStyle name="콤마[0] 11" xfId="33361"/>
    <cellStyle name="콤마[0] 11 2" xfId="33362"/>
    <cellStyle name="콤마[0] 12" xfId="33363"/>
    <cellStyle name="콤마[0] 2" xfId="33364"/>
    <cellStyle name="콤마[0] 2 2" xfId="33365"/>
    <cellStyle name="콤마[0] 3" xfId="33366"/>
    <cellStyle name="콤마[0] 3 2" xfId="33367"/>
    <cellStyle name="콤마[0] 4" xfId="33368"/>
    <cellStyle name="콤마[0] 4 2" xfId="33369"/>
    <cellStyle name="콤마[0] 5" xfId="33370"/>
    <cellStyle name="콤마[0] 5 2" xfId="33371"/>
    <cellStyle name="콤마[0] 6" xfId="33372"/>
    <cellStyle name="콤마[0] 6 2" xfId="33373"/>
    <cellStyle name="콤마[0] 7" xfId="33374"/>
    <cellStyle name="콤마[0] 7 2" xfId="33375"/>
    <cellStyle name="콤마[0] 8" xfId="33376"/>
    <cellStyle name="콤마[0] 8 2" xfId="33377"/>
    <cellStyle name="콤마[0] 9" xfId="33378"/>
    <cellStyle name="콤마[0] 9 2" xfId="33379"/>
    <cellStyle name="콤마_ " xfId="33380"/>
    <cellStyle name="콤마宛 " xfId="33384"/>
    <cellStyle name="콤마桓?琉?업종별 " xfId="33385"/>
    <cellStyle name="콤마쇔[0]_대총괄표 " xfId="33381"/>
    <cellStyle name="콤마숫자" xfId="33382"/>
    <cellStyle name="콤마숫자 2" xfId="33383"/>
    <cellStyle name="통" xfId="33386"/>
    <cellStyle name="통 2" xfId="33387"/>
    <cellStyle name="통_여수-죽림 세대" xfId="33388"/>
    <cellStyle name="통_여수-죽림 세대 2" xfId="33389"/>
    <cellStyle name="통_여수-죽림 세대_1" xfId="33390"/>
    <cellStyle name="통_여수-죽림 세대_1 2" xfId="33391"/>
    <cellStyle name="통윗 [0]_T-100 일반지 " xfId="33392"/>
    <cellStyle name="통화 [" xfId="33397"/>
    <cellStyle name="통화 [ 2" xfId="33398"/>
    <cellStyle name="通貨 [0.00]_laroux" xfId="31172"/>
    <cellStyle name="통화 [0?실예PL _3월PL(사) " xfId="33399"/>
    <cellStyle name="통화 [0] 2" xfId="33400"/>
    <cellStyle name="통화 [0] 2 2" xfId="33401"/>
    <cellStyle name="통화 [0] 2 2 2" xfId="33402"/>
    <cellStyle name="통화 [0] 2 3" xfId="33403"/>
    <cellStyle name="통화 [0] 2 3 2" xfId="33404"/>
    <cellStyle name="통화 [0] 2 4" xfId="33405"/>
    <cellStyle name="통화 [0] 2 5" xfId="33406"/>
    <cellStyle name="통화 [0] 3" xfId="33407"/>
    <cellStyle name="통화 [0] 3 10" xfId="33408"/>
    <cellStyle name="통화 [0] 3 10 10" xfId="33409"/>
    <cellStyle name="통화 [0] 3 10 10 2" xfId="33410"/>
    <cellStyle name="통화 [0] 3 10 11" xfId="33411"/>
    <cellStyle name="통화 [0] 3 10 11 2" xfId="33412"/>
    <cellStyle name="통화 [0] 3 10 12" xfId="33413"/>
    <cellStyle name="통화 [0] 3 10 12 2" xfId="33414"/>
    <cellStyle name="통화 [0] 3 10 13" xfId="33415"/>
    <cellStyle name="통화 [0] 3 10 2" xfId="33416"/>
    <cellStyle name="통화 [0] 3 10 2 2" xfId="33417"/>
    <cellStyle name="통화 [0] 3 10 3" xfId="33418"/>
    <cellStyle name="통화 [0] 3 10 3 2" xfId="33419"/>
    <cellStyle name="통화 [0] 3 10 4" xfId="33420"/>
    <cellStyle name="통화 [0] 3 10 4 2" xfId="33421"/>
    <cellStyle name="통화 [0] 3 10 5" xfId="33422"/>
    <cellStyle name="통화 [0] 3 10 5 2" xfId="33423"/>
    <cellStyle name="통화 [0] 3 10 6" xfId="33424"/>
    <cellStyle name="통화 [0] 3 10 6 2" xfId="33425"/>
    <cellStyle name="통화 [0] 3 10 7" xfId="33426"/>
    <cellStyle name="통화 [0] 3 10 7 2" xfId="33427"/>
    <cellStyle name="통화 [0] 3 10 8" xfId="33428"/>
    <cellStyle name="통화 [0] 3 10 8 2" xfId="33429"/>
    <cellStyle name="통화 [0] 3 10 9" xfId="33430"/>
    <cellStyle name="통화 [0] 3 10 9 2" xfId="33431"/>
    <cellStyle name="통화 [0] 3 11" xfId="33432"/>
    <cellStyle name="통화 [0] 3 11 10" xfId="33433"/>
    <cellStyle name="통화 [0] 3 11 10 2" xfId="33434"/>
    <cellStyle name="통화 [0] 3 11 11" xfId="33435"/>
    <cellStyle name="통화 [0] 3 11 11 2" xfId="33436"/>
    <cellStyle name="통화 [0] 3 11 12" xfId="33437"/>
    <cellStyle name="통화 [0] 3 11 12 2" xfId="33438"/>
    <cellStyle name="통화 [0] 3 11 13" xfId="33439"/>
    <cellStyle name="통화 [0] 3 11 2" xfId="33440"/>
    <cellStyle name="통화 [0] 3 11 2 2" xfId="33441"/>
    <cellStyle name="통화 [0] 3 11 3" xfId="33442"/>
    <cellStyle name="통화 [0] 3 11 3 2" xfId="33443"/>
    <cellStyle name="통화 [0] 3 11 4" xfId="33444"/>
    <cellStyle name="통화 [0] 3 11 4 2" xfId="33445"/>
    <cellStyle name="통화 [0] 3 11 5" xfId="33446"/>
    <cellStyle name="통화 [0] 3 11 5 2" xfId="33447"/>
    <cellStyle name="통화 [0] 3 11 6" xfId="33448"/>
    <cellStyle name="통화 [0] 3 11 6 2" xfId="33449"/>
    <cellStyle name="통화 [0] 3 11 7" xfId="33450"/>
    <cellStyle name="통화 [0] 3 11 7 2" xfId="33451"/>
    <cellStyle name="통화 [0] 3 11 8" xfId="33452"/>
    <cellStyle name="통화 [0] 3 11 8 2" xfId="33453"/>
    <cellStyle name="통화 [0] 3 11 9" xfId="33454"/>
    <cellStyle name="통화 [0] 3 11 9 2" xfId="33455"/>
    <cellStyle name="통화 [0] 3 12" xfId="33456"/>
    <cellStyle name="통화 [0] 3 12 10" xfId="33457"/>
    <cellStyle name="통화 [0] 3 12 10 2" xfId="33458"/>
    <cellStyle name="통화 [0] 3 12 11" xfId="33459"/>
    <cellStyle name="통화 [0] 3 12 11 2" xfId="33460"/>
    <cellStyle name="통화 [0] 3 12 12" xfId="33461"/>
    <cellStyle name="통화 [0] 3 12 12 2" xfId="33462"/>
    <cellStyle name="통화 [0] 3 12 13" xfId="33463"/>
    <cellStyle name="통화 [0] 3 12 2" xfId="33464"/>
    <cellStyle name="통화 [0] 3 12 2 2" xfId="33465"/>
    <cellStyle name="통화 [0] 3 12 3" xfId="33466"/>
    <cellStyle name="통화 [0] 3 12 3 2" xfId="33467"/>
    <cellStyle name="통화 [0] 3 12 4" xfId="33468"/>
    <cellStyle name="통화 [0] 3 12 4 2" xfId="33469"/>
    <cellStyle name="통화 [0] 3 12 5" xfId="33470"/>
    <cellStyle name="통화 [0] 3 12 5 2" xfId="33471"/>
    <cellStyle name="통화 [0] 3 12 6" xfId="33472"/>
    <cellStyle name="통화 [0] 3 12 6 2" xfId="33473"/>
    <cellStyle name="통화 [0] 3 12 7" xfId="33474"/>
    <cellStyle name="통화 [0] 3 12 7 2" xfId="33475"/>
    <cellStyle name="통화 [0] 3 12 8" xfId="33476"/>
    <cellStyle name="통화 [0] 3 12 8 2" xfId="33477"/>
    <cellStyle name="통화 [0] 3 12 9" xfId="33478"/>
    <cellStyle name="통화 [0] 3 12 9 2" xfId="33479"/>
    <cellStyle name="통화 [0] 3 13" xfId="33480"/>
    <cellStyle name="통화 [0] 3 13 10" xfId="33481"/>
    <cellStyle name="통화 [0] 3 13 10 2" xfId="33482"/>
    <cellStyle name="통화 [0] 3 13 11" xfId="33483"/>
    <cellStyle name="통화 [0] 3 13 11 2" xfId="33484"/>
    <cellStyle name="통화 [0] 3 13 12" xfId="33485"/>
    <cellStyle name="통화 [0] 3 13 12 2" xfId="33486"/>
    <cellStyle name="통화 [0] 3 13 13" xfId="33487"/>
    <cellStyle name="통화 [0] 3 13 2" xfId="33488"/>
    <cellStyle name="통화 [0] 3 13 2 2" xfId="33489"/>
    <cellStyle name="통화 [0] 3 13 3" xfId="33490"/>
    <cellStyle name="통화 [0] 3 13 3 2" xfId="33491"/>
    <cellStyle name="통화 [0] 3 13 4" xfId="33492"/>
    <cellStyle name="통화 [0] 3 13 4 2" xfId="33493"/>
    <cellStyle name="통화 [0] 3 13 5" xfId="33494"/>
    <cellStyle name="통화 [0] 3 13 5 2" xfId="33495"/>
    <cellStyle name="통화 [0] 3 13 6" xfId="33496"/>
    <cellStyle name="통화 [0] 3 13 6 2" xfId="33497"/>
    <cellStyle name="통화 [0] 3 13 7" xfId="33498"/>
    <cellStyle name="통화 [0] 3 13 7 2" xfId="33499"/>
    <cellStyle name="통화 [0] 3 13 8" xfId="33500"/>
    <cellStyle name="통화 [0] 3 13 8 2" xfId="33501"/>
    <cellStyle name="통화 [0] 3 13 9" xfId="33502"/>
    <cellStyle name="통화 [0] 3 13 9 2" xfId="33503"/>
    <cellStyle name="통화 [0] 3 14" xfId="33504"/>
    <cellStyle name="통화 [0] 3 14 10" xfId="33505"/>
    <cellStyle name="통화 [0] 3 14 10 2" xfId="33506"/>
    <cellStyle name="통화 [0] 3 14 11" xfId="33507"/>
    <cellStyle name="통화 [0] 3 14 11 2" xfId="33508"/>
    <cellStyle name="통화 [0] 3 14 12" xfId="33509"/>
    <cellStyle name="통화 [0] 3 14 12 2" xfId="33510"/>
    <cellStyle name="통화 [0] 3 14 13" xfId="33511"/>
    <cellStyle name="통화 [0] 3 14 2" xfId="33512"/>
    <cellStyle name="통화 [0] 3 14 2 2" xfId="33513"/>
    <cellStyle name="통화 [0] 3 14 3" xfId="33514"/>
    <cellStyle name="통화 [0] 3 14 3 2" xfId="33515"/>
    <cellStyle name="통화 [0] 3 14 4" xfId="33516"/>
    <cellStyle name="통화 [0] 3 14 4 2" xfId="33517"/>
    <cellStyle name="통화 [0] 3 14 5" xfId="33518"/>
    <cellStyle name="통화 [0] 3 14 5 2" xfId="33519"/>
    <cellStyle name="통화 [0] 3 14 6" xfId="33520"/>
    <cellStyle name="통화 [0] 3 14 6 2" xfId="33521"/>
    <cellStyle name="통화 [0] 3 14 7" xfId="33522"/>
    <cellStyle name="통화 [0] 3 14 7 2" xfId="33523"/>
    <cellStyle name="통화 [0] 3 14 8" xfId="33524"/>
    <cellStyle name="통화 [0] 3 14 8 2" xfId="33525"/>
    <cellStyle name="통화 [0] 3 14 9" xfId="33526"/>
    <cellStyle name="통화 [0] 3 14 9 2" xfId="33527"/>
    <cellStyle name="통화 [0] 3 15" xfId="33528"/>
    <cellStyle name="통화 [0] 3 15 10" xfId="33529"/>
    <cellStyle name="통화 [0] 3 15 10 2" xfId="33530"/>
    <cellStyle name="통화 [0] 3 15 11" xfId="33531"/>
    <cellStyle name="통화 [0] 3 15 11 2" xfId="33532"/>
    <cellStyle name="통화 [0] 3 15 12" xfId="33533"/>
    <cellStyle name="통화 [0] 3 15 12 2" xfId="33534"/>
    <cellStyle name="통화 [0] 3 15 13" xfId="33535"/>
    <cellStyle name="통화 [0] 3 15 2" xfId="33536"/>
    <cellStyle name="통화 [0] 3 15 2 2" xfId="33537"/>
    <cellStyle name="통화 [0] 3 15 3" xfId="33538"/>
    <cellStyle name="통화 [0] 3 15 3 2" xfId="33539"/>
    <cellStyle name="통화 [0] 3 15 4" xfId="33540"/>
    <cellStyle name="통화 [0] 3 15 4 2" xfId="33541"/>
    <cellStyle name="통화 [0] 3 15 5" xfId="33542"/>
    <cellStyle name="통화 [0] 3 15 5 2" xfId="33543"/>
    <cellStyle name="통화 [0] 3 15 6" xfId="33544"/>
    <cellStyle name="통화 [0] 3 15 6 2" xfId="33545"/>
    <cellStyle name="통화 [0] 3 15 7" xfId="33546"/>
    <cellStyle name="통화 [0] 3 15 7 2" xfId="33547"/>
    <cellStyle name="통화 [0] 3 15 8" xfId="33548"/>
    <cellStyle name="통화 [0] 3 15 8 2" xfId="33549"/>
    <cellStyle name="통화 [0] 3 15 9" xfId="33550"/>
    <cellStyle name="통화 [0] 3 15 9 2" xfId="33551"/>
    <cellStyle name="통화 [0] 3 16" xfId="33552"/>
    <cellStyle name="통화 [0] 3 16 10" xfId="33553"/>
    <cellStyle name="통화 [0] 3 16 10 2" xfId="33554"/>
    <cellStyle name="통화 [0] 3 16 11" xfId="33555"/>
    <cellStyle name="통화 [0] 3 16 11 2" xfId="33556"/>
    <cellStyle name="통화 [0] 3 16 12" xfId="33557"/>
    <cellStyle name="통화 [0] 3 16 12 2" xfId="33558"/>
    <cellStyle name="통화 [0] 3 16 13" xfId="33559"/>
    <cellStyle name="통화 [0] 3 16 2" xfId="33560"/>
    <cellStyle name="통화 [0] 3 16 2 2" xfId="33561"/>
    <cellStyle name="통화 [0] 3 16 3" xfId="33562"/>
    <cellStyle name="통화 [0] 3 16 3 2" xfId="33563"/>
    <cellStyle name="통화 [0] 3 16 4" xfId="33564"/>
    <cellStyle name="통화 [0] 3 16 4 2" xfId="33565"/>
    <cellStyle name="통화 [0] 3 16 5" xfId="33566"/>
    <cellStyle name="통화 [0] 3 16 5 2" xfId="33567"/>
    <cellStyle name="통화 [0] 3 16 6" xfId="33568"/>
    <cellStyle name="통화 [0] 3 16 6 2" xfId="33569"/>
    <cellStyle name="통화 [0] 3 16 7" xfId="33570"/>
    <cellStyle name="통화 [0] 3 16 7 2" xfId="33571"/>
    <cellStyle name="통화 [0] 3 16 8" xfId="33572"/>
    <cellStyle name="통화 [0] 3 16 8 2" xfId="33573"/>
    <cellStyle name="통화 [0] 3 16 9" xfId="33574"/>
    <cellStyle name="통화 [0] 3 16 9 2" xfId="33575"/>
    <cellStyle name="통화 [0] 3 17" xfId="33576"/>
    <cellStyle name="통화 [0] 3 17 10" xfId="33577"/>
    <cellStyle name="통화 [0] 3 17 10 2" xfId="33578"/>
    <cellStyle name="통화 [0] 3 17 11" xfId="33579"/>
    <cellStyle name="통화 [0] 3 17 11 2" xfId="33580"/>
    <cellStyle name="통화 [0] 3 17 12" xfId="33581"/>
    <cellStyle name="통화 [0] 3 17 12 2" xfId="33582"/>
    <cellStyle name="통화 [0] 3 17 13" xfId="33583"/>
    <cellStyle name="통화 [0] 3 17 2" xfId="33584"/>
    <cellStyle name="통화 [0] 3 17 2 2" xfId="33585"/>
    <cellStyle name="통화 [0] 3 17 3" xfId="33586"/>
    <cellStyle name="통화 [0] 3 17 3 2" xfId="33587"/>
    <cellStyle name="통화 [0] 3 17 4" xfId="33588"/>
    <cellStyle name="통화 [0] 3 17 4 2" xfId="33589"/>
    <cellStyle name="통화 [0] 3 17 5" xfId="33590"/>
    <cellStyle name="통화 [0] 3 17 5 2" xfId="33591"/>
    <cellStyle name="통화 [0] 3 17 6" xfId="33592"/>
    <cellStyle name="통화 [0] 3 17 6 2" xfId="33593"/>
    <cellStyle name="통화 [0] 3 17 7" xfId="33594"/>
    <cellStyle name="통화 [0] 3 17 7 2" xfId="33595"/>
    <cellStyle name="통화 [0] 3 17 8" xfId="33596"/>
    <cellStyle name="통화 [0] 3 17 8 2" xfId="33597"/>
    <cellStyle name="통화 [0] 3 17 9" xfId="33598"/>
    <cellStyle name="통화 [0] 3 17 9 2" xfId="33599"/>
    <cellStyle name="통화 [0] 3 18" xfId="33600"/>
    <cellStyle name="통화 [0] 3 18 2" xfId="33601"/>
    <cellStyle name="통화 [0] 3 19" xfId="33602"/>
    <cellStyle name="통화 [0] 3 19 2" xfId="33603"/>
    <cellStyle name="통화 [0] 3 2" xfId="33604"/>
    <cellStyle name="통화 [0] 3 2 10" xfId="33605"/>
    <cellStyle name="통화 [0] 3 2 10 2" xfId="33606"/>
    <cellStyle name="통화 [0] 3 2 11" xfId="33607"/>
    <cellStyle name="통화 [0] 3 2 11 2" xfId="33608"/>
    <cellStyle name="통화 [0] 3 2 12" xfId="33609"/>
    <cellStyle name="통화 [0] 3 2 12 2" xfId="33610"/>
    <cellStyle name="통화 [0] 3 2 13" xfId="33611"/>
    <cellStyle name="통화 [0] 3 2 13 2" xfId="33612"/>
    <cellStyle name="통화 [0] 3 2 14" xfId="33613"/>
    <cellStyle name="통화 [0] 3 2 14 2" xfId="33614"/>
    <cellStyle name="통화 [0] 3 2 15" xfId="33615"/>
    <cellStyle name="통화 [0] 3 2 15 2" xfId="33616"/>
    <cellStyle name="통화 [0] 3 2 16" xfId="33617"/>
    <cellStyle name="통화 [0] 3 2 16 2" xfId="33618"/>
    <cellStyle name="통화 [0] 3 2 17" xfId="33619"/>
    <cellStyle name="통화 [0] 3 2 17 2" xfId="33620"/>
    <cellStyle name="통화 [0] 3 2 18" xfId="33621"/>
    <cellStyle name="통화 [0] 3 2 18 2" xfId="33622"/>
    <cellStyle name="통화 [0] 3 2 19" xfId="33623"/>
    <cellStyle name="통화 [0] 3 2 2" xfId="33624"/>
    <cellStyle name="통화 [0] 3 2 2 10" xfId="33625"/>
    <cellStyle name="통화 [0] 3 2 2 10 2" xfId="33626"/>
    <cellStyle name="통화 [0] 3 2 2 11" xfId="33627"/>
    <cellStyle name="통화 [0] 3 2 2 11 2" xfId="33628"/>
    <cellStyle name="통화 [0] 3 2 2 12" xfId="33629"/>
    <cellStyle name="통화 [0] 3 2 2 12 2" xfId="33630"/>
    <cellStyle name="통화 [0] 3 2 2 13" xfId="33631"/>
    <cellStyle name="통화 [0] 3 2 2 13 2" xfId="33632"/>
    <cellStyle name="통화 [0] 3 2 2 14" xfId="33633"/>
    <cellStyle name="통화 [0] 3 2 2 14 2" xfId="33634"/>
    <cellStyle name="통화 [0] 3 2 2 15" xfId="33635"/>
    <cellStyle name="통화 [0] 3 2 2 15 2" xfId="33636"/>
    <cellStyle name="통화 [0] 3 2 2 16" xfId="33637"/>
    <cellStyle name="통화 [0] 3 2 2 16 2" xfId="33638"/>
    <cellStyle name="통화 [0] 3 2 2 17" xfId="33639"/>
    <cellStyle name="통화 [0] 3 2 2 17 2" xfId="33640"/>
    <cellStyle name="통화 [0] 3 2 2 18" xfId="33641"/>
    <cellStyle name="통화 [0] 3 2 2 2" xfId="33642"/>
    <cellStyle name="통화 [0] 3 2 2 2 10" xfId="33643"/>
    <cellStyle name="통화 [0] 3 2 2 2 10 2" xfId="33644"/>
    <cellStyle name="통화 [0] 3 2 2 2 11" xfId="33645"/>
    <cellStyle name="통화 [0] 3 2 2 2 11 2" xfId="33646"/>
    <cellStyle name="통화 [0] 3 2 2 2 12" xfId="33647"/>
    <cellStyle name="통화 [0] 3 2 2 2 12 2" xfId="33648"/>
    <cellStyle name="통화 [0] 3 2 2 2 13" xfId="33649"/>
    <cellStyle name="통화 [0] 3 2 2 2 13 2" xfId="33650"/>
    <cellStyle name="통화 [0] 3 2 2 2 14" xfId="33651"/>
    <cellStyle name="통화 [0] 3 2 2 2 2" xfId="33652"/>
    <cellStyle name="통화 [0] 3 2 2 2 2 10" xfId="33653"/>
    <cellStyle name="통화 [0] 3 2 2 2 2 10 2" xfId="33654"/>
    <cellStyle name="통화 [0] 3 2 2 2 2 11" xfId="33655"/>
    <cellStyle name="통화 [0] 3 2 2 2 2 11 2" xfId="33656"/>
    <cellStyle name="통화 [0] 3 2 2 2 2 12" xfId="33657"/>
    <cellStyle name="통화 [0] 3 2 2 2 2 12 2" xfId="33658"/>
    <cellStyle name="통화 [0] 3 2 2 2 2 13" xfId="33659"/>
    <cellStyle name="통화 [0] 3 2 2 2 2 2" xfId="33660"/>
    <cellStyle name="통화 [0] 3 2 2 2 2 2 2" xfId="33661"/>
    <cellStyle name="통화 [0] 3 2 2 2 2 3" xfId="33662"/>
    <cellStyle name="통화 [0] 3 2 2 2 2 3 2" xfId="33663"/>
    <cellStyle name="통화 [0] 3 2 2 2 2 4" xfId="33664"/>
    <cellStyle name="통화 [0] 3 2 2 2 2 4 2" xfId="33665"/>
    <cellStyle name="통화 [0] 3 2 2 2 2 5" xfId="33666"/>
    <cellStyle name="통화 [0] 3 2 2 2 2 5 2" xfId="33667"/>
    <cellStyle name="통화 [0] 3 2 2 2 2 6" xfId="33668"/>
    <cellStyle name="통화 [0] 3 2 2 2 2 6 2" xfId="33669"/>
    <cellStyle name="통화 [0] 3 2 2 2 2 7" xfId="33670"/>
    <cellStyle name="통화 [0] 3 2 2 2 2 7 2" xfId="33671"/>
    <cellStyle name="통화 [0] 3 2 2 2 2 8" xfId="33672"/>
    <cellStyle name="통화 [0] 3 2 2 2 2 8 2" xfId="33673"/>
    <cellStyle name="통화 [0] 3 2 2 2 2 9" xfId="33674"/>
    <cellStyle name="통화 [0] 3 2 2 2 2 9 2" xfId="33675"/>
    <cellStyle name="통화 [0] 3 2 2 2 3" xfId="33676"/>
    <cellStyle name="통화 [0] 3 2 2 2 3 2" xfId="33677"/>
    <cellStyle name="통화 [0] 3 2 2 2 4" xfId="33678"/>
    <cellStyle name="통화 [0] 3 2 2 2 4 2" xfId="33679"/>
    <cellStyle name="통화 [0] 3 2 2 2 5" xfId="33680"/>
    <cellStyle name="통화 [0] 3 2 2 2 5 2" xfId="33681"/>
    <cellStyle name="통화 [0] 3 2 2 2 6" xfId="33682"/>
    <cellStyle name="통화 [0] 3 2 2 2 6 2" xfId="33683"/>
    <cellStyle name="통화 [0] 3 2 2 2 7" xfId="33684"/>
    <cellStyle name="통화 [0] 3 2 2 2 7 2" xfId="33685"/>
    <cellStyle name="통화 [0] 3 2 2 2 8" xfId="33686"/>
    <cellStyle name="통화 [0] 3 2 2 2 8 2" xfId="33687"/>
    <cellStyle name="통화 [0] 3 2 2 2 9" xfId="33688"/>
    <cellStyle name="통화 [0] 3 2 2 2 9 2" xfId="33689"/>
    <cellStyle name="통화 [0] 3 2 2 3" xfId="33690"/>
    <cellStyle name="통화 [0] 3 2 2 3 10" xfId="33691"/>
    <cellStyle name="통화 [0] 3 2 2 3 10 2" xfId="33692"/>
    <cellStyle name="통화 [0] 3 2 2 3 11" xfId="33693"/>
    <cellStyle name="통화 [0] 3 2 2 3 11 2" xfId="33694"/>
    <cellStyle name="통화 [0] 3 2 2 3 12" xfId="33695"/>
    <cellStyle name="통화 [0] 3 2 2 3 12 2" xfId="33696"/>
    <cellStyle name="통화 [0] 3 2 2 3 13" xfId="33697"/>
    <cellStyle name="통화 [0] 3 2 2 3 2" xfId="33698"/>
    <cellStyle name="통화 [0] 3 2 2 3 2 2" xfId="33699"/>
    <cellStyle name="통화 [0] 3 2 2 3 3" xfId="33700"/>
    <cellStyle name="통화 [0] 3 2 2 3 3 2" xfId="33701"/>
    <cellStyle name="통화 [0] 3 2 2 3 4" xfId="33702"/>
    <cellStyle name="통화 [0] 3 2 2 3 4 2" xfId="33703"/>
    <cellStyle name="통화 [0] 3 2 2 3 5" xfId="33704"/>
    <cellStyle name="통화 [0] 3 2 2 3 5 2" xfId="33705"/>
    <cellStyle name="통화 [0] 3 2 2 3 6" xfId="33706"/>
    <cellStyle name="통화 [0] 3 2 2 3 6 2" xfId="33707"/>
    <cellStyle name="통화 [0] 3 2 2 3 7" xfId="33708"/>
    <cellStyle name="통화 [0] 3 2 2 3 7 2" xfId="33709"/>
    <cellStyle name="통화 [0] 3 2 2 3 8" xfId="33710"/>
    <cellStyle name="통화 [0] 3 2 2 3 8 2" xfId="33711"/>
    <cellStyle name="통화 [0] 3 2 2 3 9" xfId="33712"/>
    <cellStyle name="통화 [0] 3 2 2 3 9 2" xfId="33713"/>
    <cellStyle name="통화 [0] 3 2 2 4" xfId="33714"/>
    <cellStyle name="통화 [0] 3 2 2 4 10" xfId="33715"/>
    <cellStyle name="통화 [0] 3 2 2 4 10 2" xfId="33716"/>
    <cellStyle name="통화 [0] 3 2 2 4 11" xfId="33717"/>
    <cellStyle name="통화 [0] 3 2 2 4 11 2" xfId="33718"/>
    <cellStyle name="통화 [0] 3 2 2 4 12" xfId="33719"/>
    <cellStyle name="통화 [0] 3 2 2 4 12 2" xfId="33720"/>
    <cellStyle name="통화 [0] 3 2 2 4 13" xfId="33721"/>
    <cellStyle name="통화 [0] 3 2 2 4 2" xfId="33722"/>
    <cellStyle name="통화 [0] 3 2 2 4 2 2" xfId="33723"/>
    <cellStyle name="통화 [0] 3 2 2 4 3" xfId="33724"/>
    <cellStyle name="통화 [0] 3 2 2 4 3 2" xfId="33725"/>
    <cellStyle name="통화 [0] 3 2 2 4 4" xfId="33726"/>
    <cellStyle name="통화 [0] 3 2 2 4 4 2" xfId="33727"/>
    <cellStyle name="통화 [0] 3 2 2 4 5" xfId="33728"/>
    <cellStyle name="통화 [0] 3 2 2 4 5 2" xfId="33729"/>
    <cellStyle name="통화 [0] 3 2 2 4 6" xfId="33730"/>
    <cellStyle name="통화 [0] 3 2 2 4 6 2" xfId="33731"/>
    <cellStyle name="통화 [0] 3 2 2 4 7" xfId="33732"/>
    <cellStyle name="통화 [0] 3 2 2 4 7 2" xfId="33733"/>
    <cellStyle name="통화 [0] 3 2 2 4 8" xfId="33734"/>
    <cellStyle name="통화 [0] 3 2 2 4 8 2" xfId="33735"/>
    <cellStyle name="통화 [0] 3 2 2 4 9" xfId="33736"/>
    <cellStyle name="통화 [0] 3 2 2 4 9 2" xfId="33737"/>
    <cellStyle name="통화 [0] 3 2 2 5" xfId="33738"/>
    <cellStyle name="통화 [0] 3 2 2 5 10" xfId="33739"/>
    <cellStyle name="통화 [0] 3 2 2 5 10 2" xfId="33740"/>
    <cellStyle name="통화 [0] 3 2 2 5 11" xfId="33741"/>
    <cellStyle name="통화 [0] 3 2 2 5 11 2" xfId="33742"/>
    <cellStyle name="통화 [0] 3 2 2 5 12" xfId="33743"/>
    <cellStyle name="통화 [0] 3 2 2 5 12 2" xfId="33744"/>
    <cellStyle name="통화 [0] 3 2 2 5 13" xfId="33745"/>
    <cellStyle name="통화 [0] 3 2 2 5 2" xfId="33746"/>
    <cellStyle name="통화 [0] 3 2 2 5 2 2" xfId="33747"/>
    <cellStyle name="통화 [0] 3 2 2 5 3" xfId="33748"/>
    <cellStyle name="통화 [0] 3 2 2 5 3 2" xfId="33749"/>
    <cellStyle name="통화 [0] 3 2 2 5 4" xfId="33750"/>
    <cellStyle name="통화 [0] 3 2 2 5 4 2" xfId="33751"/>
    <cellStyle name="통화 [0] 3 2 2 5 5" xfId="33752"/>
    <cellStyle name="통화 [0] 3 2 2 5 5 2" xfId="33753"/>
    <cellStyle name="통화 [0] 3 2 2 5 6" xfId="33754"/>
    <cellStyle name="통화 [0] 3 2 2 5 6 2" xfId="33755"/>
    <cellStyle name="통화 [0] 3 2 2 5 7" xfId="33756"/>
    <cellStyle name="통화 [0] 3 2 2 5 7 2" xfId="33757"/>
    <cellStyle name="통화 [0] 3 2 2 5 8" xfId="33758"/>
    <cellStyle name="통화 [0] 3 2 2 5 8 2" xfId="33759"/>
    <cellStyle name="통화 [0] 3 2 2 5 9" xfId="33760"/>
    <cellStyle name="통화 [0] 3 2 2 5 9 2" xfId="33761"/>
    <cellStyle name="통화 [0] 3 2 2 6" xfId="33762"/>
    <cellStyle name="통화 [0] 3 2 2 6 10" xfId="33763"/>
    <cellStyle name="통화 [0] 3 2 2 6 10 2" xfId="33764"/>
    <cellStyle name="통화 [0] 3 2 2 6 11" xfId="33765"/>
    <cellStyle name="통화 [0] 3 2 2 6 11 2" xfId="33766"/>
    <cellStyle name="통화 [0] 3 2 2 6 12" xfId="33767"/>
    <cellStyle name="통화 [0] 3 2 2 6 12 2" xfId="33768"/>
    <cellStyle name="통화 [0] 3 2 2 6 13" xfId="33769"/>
    <cellStyle name="통화 [0] 3 2 2 6 2" xfId="33770"/>
    <cellStyle name="통화 [0] 3 2 2 6 2 2" xfId="33771"/>
    <cellStyle name="통화 [0] 3 2 2 6 3" xfId="33772"/>
    <cellStyle name="통화 [0] 3 2 2 6 3 2" xfId="33773"/>
    <cellStyle name="통화 [0] 3 2 2 6 4" xfId="33774"/>
    <cellStyle name="통화 [0] 3 2 2 6 4 2" xfId="33775"/>
    <cellStyle name="통화 [0] 3 2 2 6 5" xfId="33776"/>
    <cellStyle name="통화 [0] 3 2 2 6 5 2" xfId="33777"/>
    <cellStyle name="통화 [0] 3 2 2 6 6" xfId="33778"/>
    <cellStyle name="통화 [0] 3 2 2 6 6 2" xfId="33779"/>
    <cellStyle name="통화 [0] 3 2 2 6 7" xfId="33780"/>
    <cellStyle name="통화 [0] 3 2 2 6 7 2" xfId="33781"/>
    <cellStyle name="통화 [0] 3 2 2 6 8" xfId="33782"/>
    <cellStyle name="통화 [0] 3 2 2 6 8 2" xfId="33783"/>
    <cellStyle name="통화 [0] 3 2 2 6 9" xfId="33784"/>
    <cellStyle name="통화 [0] 3 2 2 6 9 2" xfId="33785"/>
    <cellStyle name="통화 [0] 3 2 2 7" xfId="33786"/>
    <cellStyle name="통화 [0] 3 2 2 7 2" xfId="33787"/>
    <cellStyle name="통화 [0] 3 2 2 8" xfId="33788"/>
    <cellStyle name="통화 [0] 3 2 2 8 2" xfId="33789"/>
    <cellStyle name="통화 [0] 3 2 2 9" xfId="33790"/>
    <cellStyle name="통화 [0] 3 2 2 9 2" xfId="33791"/>
    <cellStyle name="통화 [0] 3 2 20" xfId="33792"/>
    <cellStyle name="통화 [0] 3 2 3" xfId="33793"/>
    <cellStyle name="통화 [0] 3 2 3 10" xfId="33794"/>
    <cellStyle name="통화 [0] 3 2 3 10 2" xfId="33795"/>
    <cellStyle name="통화 [0] 3 2 3 11" xfId="33796"/>
    <cellStyle name="통화 [0] 3 2 3 11 2" xfId="33797"/>
    <cellStyle name="통화 [0] 3 2 3 12" xfId="33798"/>
    <cellStyle name="통화 [0] 3 2 3 12 2" xfId="33799"/>
    <cellStyle name="통화 [0] 3 2 3 13" xfId="33800"/>
    <cellStyle name="통화 [0] 3 2 3 13 2" xfId="33801"/>
    <cellStyle name="통화 [0] 3 2 3 14" xfId="33802"/>
    <cellStyle name="통화 [0] 3 2 3 2" xfId="33803"/>
    <cellStyle name="통화 [0] 3 2 3 2 10" xfId="33804"/>
    <cellStyle name="통화 [0] 3 2 3 2 10 2" xfId="33805"/>
    <cellStyle name="통화 [0] 3 2 3 2 11" xfId="33806"/>
    <cellStyle name="통화 [0] 3 2 3 2 11 2" xfId="33807"/>
    <cellStyle name="통화 [0] 3 2 3 2 12" xfId="33808"/>
    <cellStyle name="통화 [0] 3 2 3 2 12 2" xfId="33809"/>
    <cellStyle name="통화 [0] 3 2 3 2 13" xfId="33810"/>
    <cellStyle name="통화 [0] 3 2 3 2 2" xfId="33811"/>
    <cellStyle name="통화 [0] 3 2 3 2 2 2" xfId="33812"/>
    <cellStyle name="통화 [0] 3 2 3 2 3" xfId="33813"/>
    <cellStyle name="통화 [0] 3 2 3 2 3 2" xfId="33814"/>
    <cellStyle name="통화 [0] 3 2 3 2 4" xfId="33815"/>
    <cellStyle name="통화 [0] 3 2 3 2 4 2" xfId="33816"/>
    <cellStyle name="통화 [0] 3 2 3 2 5" xfId="33817"/>
    <cellStyle name="통화 [0] 3 2 3 2 5 2" xfId="33818"/>
    <cellStyle name="통화 [0] 3 2 3 2 6" xfId="33819"/>
    <cellStyle name="통화 [0] 3 2 3 2 6 2" xfId="33820"/>
    <cellStyle name="통화 [0] 3 2 3 2 7" xfId="33821"/>
    <cellStyle name="통화 [0] 3 2 3 2 7 2" xfId="33822"/>
    <cellStyle name="통화 [0] 3 2 3 2 8" xfId="33823"/>
    <cellStyle name="통화 [0] 3 2 3 2 8 2" xfId="33824"/>
    <cellStyle name="통화 [0] 3 2 3 2 9" xfId="33825"/>
    <cellStyle name="통화 [0] 3 2 3 2 9 2" xfId="33826"/>
    <cellStyle name="통화 [0] 3 2 3 3" xfId="33827"/>
    <cellStyle name="통화 [0] 3 2 3 3 2" xfId="33828"/>
    <cellStyle name="통화 [0] 3 2 3 4" xfId="33829"/>
    <cellStyle name="통화 [0] 3 2 3 4 2" xfId="33830"/>
    <cellStyle name="통화 [0] 3 2 3 5" xfId="33831"/>
    <cellStyle name="통화 [0] 3 2 3 5 2" xfId="33832"/>
    <cellStyle name="통화 [0] 3 2 3 6" xfId="33833"/>
    <cellStyle name="통화 [0] 3 2 3 6 2" xfId="33834"/>
    <cellStyle name="통화 [0] 3 2 3 7" xfId="33835"/>
    <cellStyle name="통화 [0] 3 2 3 7 2" xfId="33836"/>
    <cellStyle name="통화 [0] 3 2 3 8" xfId="33837"/>
    <cellStyle name="통화 [0] 3 2 3 8 2" xfId="33838"/>
    <cellStyle name="통화 [0] 3 2 3 9" xfId="33839"/>
    <cellStyle name="통화 [0] 3 2 3 9 2" xfId="33840"/>
    <cellStyle name="통화 [0] 3 2 4" xfId="33841"/>
    <cellStyle name="통화 [0] 3 2 4 10" xfId="33842"/>
    <cellStyle name="통화 [0] 3 2 4 10 2" xfId="33843"/>
    <cellStyle name="통화 [0] 3 2 4 11" xfId="33844"/>
    <cellStyle name="통화 [0] 3 2 4 11 2" xfId="33845"/>
    <cellStyle name="통화 [0] 3 2 4 12" xfId="33846"/>
    <cellStyle name="통화 [0] 3 2 4 12 2" xfId="33847"/>
    <cellStyle name="통화 [0] 3 2 4 13" xfId="33848"/>
    <cellStyle name="통화 [0] 3 2 4 13 2" xfId="33849"/>
    <cellStyle name="통화 [0] 3 2 4 14" xfId="33850"/>
    <cellStyle name="통화 [0] 3 2 4 2" xfId="33851"/>
    <cellStyle name="통화 [0] 3 2 4 2 10" xfId="33852"/>
    <cellStyle name="통화 [0] 3 2 4 2 10 2" xfId="33853"/>
    <cellStyle name="통화 [0] 3 2 4 2 11" xfId="33854"/>
    <cellStyle name="통화 [0] 3 2 4 2 11 2" xfId="33855"/>
    <cellStyle name="통화 [0] 3 2 4 2 12" xfId="33856"/>
    <cellStyle name="통화 [0] 3 2 4 2 12 2" xfId="33857"/>
    <cellStyle name="통화 [0] 3 2 4 2 13" xfId="33858"/>
    <cellStyle name="통화 [0] 3 2 4 2 2" xfId="33859"/>
    <cellStyle name="통화 [0] 3 2 4 2 2 2" xfId="33860"/>
    <cellStyle name="통화 [0] 3 2 4 2 3" xfId="33861"/>
    <cellStyle name="통화 [0] 3 2 4 2 3 2" xfId="33862"/>
    <cellStyle name="통화 [0] 3 2 4 2 4" xfId="33863"/>
    <cellStyle name="통화 [0] 3 2 4 2 4 2" xfId="33864"/>
    <cellStyle name="통화 [0] 3 2 4 2 5" xfId="33865"/>
    <cellStyle name="통화 [0] 3 2 4 2 5 2" xfId="33866"/>
    <cellStyle name="통화 [0] 3 2 4 2 6" xfId="33867"/>
    <cellStyle name="통화 [0] 3 2 4 2 6 2" xfId="33868"/>
    <cellStyle name="통화 [0] 3 2 4 2 7" xfId="33869"/>
    <cellStyle name="통화 [0] 3 2 4 2 7 2" xfId="33870"/>
    <cellStyle name="통화 [0] 3 2 4 2 8" xfId="33871"/>
    <cellStyle name="통화 [0] 3 2 4 2 8 2" xfId="33872"/>
    <cellStyle name="통화 [0] 3 2 4 2 9" xfId="33873"/>
    <cellStyle name="통화 [0] 3 2 4 2 9 2" xfId="33874"/>
    <cellStyle name="통화 [0] 3 2 4 3" xfId="33875"/>
    <cellStyle name="통화 [0] 3 2 4 3 2" xfId="33876"/>
    <cellStyle name="통화 [0] 3 2 4 4" xfId="33877"/>
    <cellStyle name="통화 [0] 3 2 4 4 2" xfId="33878"/>
    <cellStyle name="통화 [0] 3 2 4 5" xfId="33879"/>
    <cellStyle name="통화 [0] 3 2 4 5 2" xfId="33880"/>
    <cellStyle name="통화 [0] 3 2 4 6" xfId="33881"/>
    <cellStyle name="통화 [0] 3 2 4 6 2" xfId="33882"/>
    <cellStyle name="통화 [0] 3 2 4 7" xfId="33883"/>
    <cellStyle name="통화 [0] 3 2 4 7 2" xfId="33884"/>
    <cellStyle name="통화 [0] 3 2 4 8" xfId="33885"/>
    <cellStyle name="통화 [0] 3 2 4 8 2" xfId="33886"/>
    <cellStyle name="통화 [0] 3 2 4 9" xfId="33887"/>
    <cellStyle name="통화 [0] 3 2 4 9 2" xfId="33888"/>
    <cellStyle name="통화 [0] 3 2 5" xfId="33889"/>
    <cellStyle name="통화 [0] 3 2 5 10" xfId="33890"/>
    <cellStyle name="통화 [0] 3 2 5 10 2" xfId="33891"/>
    <cellStyle name="통화 [0] 3 2 5 11" xfId="33892"/>
    <cellStyle name="통화 [0] 3 2 5 11 2" xfId="33893"/>
    <cellStyle name="통화 [0] 3 2 5 12" xfId="33894"/>
    <cellStyle name="통화 [0] 3 2 5 12 2" xfId="33895"/>
    <cellStyle name="통화 [0] 3 2 5 13" xfId="33896"/>
    <cellStyle name="통화 [0] 3 2 5 2" xfId="33897"/>
    <cellStyle name="통화 [0] 3 2 5 2 2" xfId="33898"/>
    <cellStyle name="통화 [0] 3 2 5 3" xfId="33899"/>
    <cellStyle name="통화 [0] 3 2 5 3 2" xfId="33900"/>
    <cellStyle name="통화 [0] 3 2 5 4" xfId="33901"/>
    <cellStyle name="통화 [0] 3 2 5 4 2" xfId="33902"/>
    <cellStyle name="통화 [0] 3 2 5 5" xfId="33903"/>
    <cellStyle name="통화 [0] 3 2 5 5 2" xfId="33904"/>
    <cellStyle name="통화 [0] 3 2 5 6" xfId="33905"/>
    <cellStyle name="통화 [0] 3 2 5 6 2" xfId="33906"/>
    <cellStyle name="통화 [0] 3 2 5 7" xfId="33907"/>
    <cellStyle name="통화 [0] 3 2 5 7 2" xfId="33908"/>
    <cellStyle name="통화 [0] 3 2 5 8" xfId="33909"/>
    <cellStyle name="통화 [0] 3 2 5 8 2" xfId="33910"/>
    <cellStyle name="통화 [0] 3 2 5 9" xfId="33911"/>
    <cellStyle name="통화 [0] 3 2 5 9 2" xfId="33912"/>
    <cellStyle name="통화 [0] 3 2 6" xfId="33913"/>
    <cellStyle name="통화 [0] 3 2 6 10" xfId="33914"/>
    <cellStyle name="통화 [0] 3 2 6 10 2" xfId="33915"/>
    <cellStyle name="통화 [0] 3 2 6 11" xfId="33916"/>
    <cellStyle name="통화 [0] 3 2 6 11 2" xfId="33917"/>
    <cellStyle name="통화 [0] 3 2 6 12" xfId="33918"/>
    <cellStyle name="통화 [0] 3 2 6 12 2" xfId="33919"/>
    <cellStyle name="통화 [0] 3 2 6 13" xfId="33920"/>
    <cellStyle name="통화 [0] 3 2 6 2" xfId="33921"/>
    <cellStyle name="통화 [0] 3 2 6 2 2" xfId="33922"/>
    <cellStyle name="통화 [0] 3 2 6 3" xfId="33923"/>
    <cellStyle name="통화 [0] 3 2 6 3 2" xfId="33924"/>
    <cellStyle name="통화 [0] 3 2 6 4" xfId="33925"/>
    <cellStyle name="통화 [0] 3 2 6 4 2" xfId="33926"/>
    <cellStyle name="통화 [0] 3 2 6 5" xfId="33927"/>
    <cellStyle name="통화 [0] 3 2 6 5 2" xfId="33928"/>
    <cellStyle name="통화 [0] 3 2 6 6" xfId="33929"/>
    <cellStyle name="통화 [0] 3 2 6 6 2" xfId="33930"/>
    <cellStyle name="통화 [0] 3 2 6 7" xfId="33931"/>
    <cellStyle name="통화 [0] 3 2 6 7 2" xfId="33932"/>
    <cellStyle name="통화 [0] 3 2 6 8" xfId="33933"/>
    <cellStyle name="통화 [0] 3 2 6 8 2" xfId="33934"/>
    <cellStyle name="통화 [0] 3 2 6 9" xfId="33935"/>
    <cellStyle name="통화 [0] 3 2 6 9 2" xfId="33936"/>
    <cellStyle name="통화 [0] 3 2 7" xfId="33937"/>
    <cellStyle name="통화 [0] 3 2 7 10" xfId="33938"/>
    <cellStyle name="통화 [0] 3 2 7 10 2" xfId="33939"/>
    <cellStyle name="통화 [0] 3 2 7 11" xfId="33940"/>
    <cellStyle name="통화 [0] 3 2 7 11 2" xfId="33941"/>
    <cellStyle name="통화 [0] 3 2 7 12" xfId="33942"/>
    <cellStyle name="통화 [0] 3 2 7 12 2" xfId="33943"/>
    <cellStyle name="통화 [0] 3 2 7 13" xfId="33944"/>
    <cellStyle name="통화 [0] 3 2 7 2" xfId="33945"/>
    <cellStyle name="통화 [0] 3 2 7 2 2" xfId="33946"/>
    <cellStyle name="통화 [0] 3 2 7 3" xfId="33947"/>
    <cellStyle name="통화 [0] 3 2 7 3 2" xfId="33948"/>
    <cellStyle name="통화 [0] 3 2 7 4" xfId="33949"/>
    <cellStyle name="통화 [0] 3 2 7 4 2" xfId="33950"/>
    <cellStyle name="통화 [0] 3 2 7 5" xfId="33951"/>
    <cellStyle name="통화 [0] 3 2 7 5 2" xfId="33952"/>
    <cellStyle name="통화 [0] 3 2 7 6" xfId="33953"/>
    <cellStyle name="통화 [0] 3 2 7 6 2" xfId="33954"/>
    <cellStyle name="통화 [0] 3 2 7 7" xfId="33955"/>
    <cellStyle name="통화 [0] 3 2 7 7 2" xfId="33956"/>
    <cellStyle name="통화 [0] 3 2 7 8" xfId="33957"/>
    <cellStyle name="통화 [0] 3 2 7 8 2" xfId="33958"/>
    <cellStyle name="통화 [0] 3 2 7 9" xfId="33959"/>
    <cellStyle name="통화 [0] 3 2 7 9 2" xfId="33960"/>
    <cellStyle name="통화 [0] 3 2 8" xfId="33961"/>
    <cellStyle name="통화 [0] 3 2 8 2" xfId="33962"/>
    <cellStyle name="통화 [0] 3 2 9" xfId="33963"/>
    <cellStyle name="통화 [0] 3 2 9 2" xfId="33964"/>
    <cellStyle name="통화 [0] 3 20" xfId="33965"/>
    <cellStyle name="통화 [0] 3 20 2" xfId="33966"/>
    <cellStyle name="통화 [0] 3 21" xfId="33967"/>
    <cellStyle name="통화 [0] 3 21 2" xfId="33968"/>
    <cellStyle name="통화 [0] 3 22" xfId="33969"/>
    <cellStyle name="통화 [0] 3 22 2" xfId="33970"/>
    <cellStyle name="통화 [0] 3 23" xfId="33971"/>
    <cellStyle name="통화 [0] 3 23 2" xfId="33972"/>
    <cellStyle name="통화 [0] 3 24" xfId="33973"/>
    <cellStyle name="통화 [0] 3 24 2" xfId="33974"/>
    <cellStyle name="통화 [0] 3 25" xfId="33975"/>
    <cellStyle name="통화 [0] 3 25 2" xfId="33976"/>
    <cellStyle name="통화 [0] 3 26" xfId="33977"/>
    <cellStyle name="통화 [0] 3 26 2" xfId="33978"/>
    <cellStyle name="통화 [0] 3 27" xfId="33979"/>
    <cellStyle name="통화 [0] 3 27 2" xfId="33980"/>
    <cellStyle name="통화 [0] 3 28" xfId="33981"/>
    <cellStyle name="통화 [0] 3 28 2" xfId="33982"/>
    <cellStyle name="통화 [0] 3 29" xfId="33983"/>
    <cellStyle name="통화 [0] 3 3" xfId="33984"/>
    <cellStyle name="통화 [0] 3 3 10" xfId="33985"/>
    <cellStyle name="통화 [0] 3 3 10 2" xfId="33986"/>
    <cellStyle name="통화 [0] 3 3 11" xfId="33987"/>
    <cellStyle name="통화 [0] 3 3 11 2" xfId="33988"/>
    <cellStyle name="통화 [0] 3 3 12" xfId="33989"/>
    <cellStyle name="통화 [0] 3 3 12 2" xfId="33990"/>
    <cellStyle name="통화 [0] 3 3 13" xfId="33991"/>
    <cellStyle name="통화 [0] 3 3 13 2" xfId="33992"/>
    <cellStyle name="통화 [0] 3 3 14" xfId="33993"/>
    <cellStyle name="통화 [0] 3 3 2" xfId="33994"/>
    <cellStyle name="통화 [0] 3 3 2 10" xfId="33995"/>
    <cellStyle name="통화 [0] 3 3 2 10 2" xfId="33996"/>
    <cellStyle name="통화 [0] 3 3 2 11" xfId="33997"/>
    <cellStyle name="통화 [0] 3 3 2 11 2" xfId="33998"/>
    <cellStyle name="통화 [0] 3 3 2 12" xfId="33999"/>
    <cellStyle name="통화 [0] 3 3 2 12 2" xfId="34000"/>
    <cellStyle name="통화 [0] 3 3 2 13" xfId="34001"/>
    <cellStyle name="통화 [0] 3 3 2 2" xfId="34002"/>
    <cellStyle name="통화 [0] 3 3 2 2 2" xfId="34003"/>
    <cellStyle name="통화 [0] 3 3 2 3" xfId="34004"/>
    <cellStyle name="통화 [0] 3 3 2 3 2" xfId="34005"/>
    <cellStyle name="통화 [0] 3 3 2 4" xfId="34006"/>
    <cellStyle name="통화 [0] 3 3 2 4 2" xfId="34007"/>
    <cellStyle name="통화 [0] 3 3 2 5" xfId="34008"/>
    <cellStyle name="통화 [0] 3 3 2 5 2" xfId="34009"/>
    <cellStyle name="통화 [0] 3 3 2 6" xfId="34010"/>
    <cellStyle name="통화 [0] 3 3 2 6 2" xfId="34011"/>
    <cellStyle name="통화 [0] 3 3 2 7" xfId="34012"/>
    <cellStyle name="통화 [0] 3 3 2 7 2" xfId="34013"/>
    <cellStyle name="통화 [0] 3 3 2 8" xfId="34014"/>
    <cellStyle name="통화 [0] 3 3 2 8 2" xfId="34015"/>
    <cellStyle name="통화 [0] 3 3 2 9" xfId="34016"/>
    <cellStyle name="통화 [0] 3 3 2 9 2" xfId="34017"/>
    <cellStyle name="통화 [0] 3 3 3" xfId="34018"/>
    <cellStyle name="통화 [0] 3 3 3 2" xfId="34019"/>
    <cellStyle name="통화 [0] 3 3 4" xfId="34020"/>
    <cellStyle name="통화 [0] 3 3 4 2" xfId="34021"/>
    <cellStyle name="통화 [0] 3 3 5" xfId="34022"/>
    <cellStyle name="통화 [0] 3 3 5 2" xfId="34023"/>
    <cellStyle name="통화 [0] 3 3 6" xfId="34024"/>
    <cellStyle name="통화 [0] 3 3 6 2" xfId="34025"/>
    <cellStyle name="통화 [0] 3 3 7" xfId="34026"/>
    <cellStyle name="통화 [0] 3 3 7 2" xfId="34027"/>
    <cellStyle name="통화 [0] 3 3 8" xfId="34028"/>
    <cellStyle name="통화 [0] 3 3 8 2" xfId="34029"/>
    <cellStyle name="통화 [0] 3 3 9" xfId="34030"/>
    <cellStyle name="통화 [0] 3 3 9 2" xfId="34031"/>
    <cellStyle name="통화 [0] 3 4" xfId="34032"/>
    <cellStyle name="통화 [0] 3 4 10" xfId="34033"/>
    <cellStyle name="통화 [0] 3 4 10 2" xfId="34034"/>
    <cellStyle name="통화 [0] 3 4 11" xfId="34035"/>
    <cellStyle name="통화 [0] 3 4 11 2" xfId="34036"/>
    <cellStyle name="통화 [0] 3 4 12" xfId="34037"/>
    <cellStyle name="통화 [0] 3 4 12 2" xfId="34038"/>
    <cellStyle name="통화 [0] 3 4 13" xfId="34039"/>
    <cellStyle name="통화 [0] 3 4 13 2" xfId="34040"/>
    <cellStyle name="통화 [0] 3 4 14" xfId="34041"/>
    <cellStyle name="통화 [0] 3 4 2" xfId="34042"/>
    <cellStyle name="통화 [0] 3 4 2 10" xfId="34043"/>
    <cellStyle name="통화 [0] 3 4 2 10 2" xfId="34044"/>
    <cellStyle name="통화 [0] 3 4 2 11" xfId="34045"/>
    <cellStyle name="통화 [0] 3 4 2 11 2" xfId="34046"/>
    <cellStyle name="통화 [0] 3 4 2 12" xfId="34047"/>
    <cellStyle name="통화 [0] 3 4 2 12 2" xfId="34048"/>
    <cellStyle name="통화 [0] 3 4 2 13" xfId="34049"/>
    <cellStyle name="통화 [0] 3 4 2 2" xfId="34050"/>
    <cellStyle name="통화 [0] 3 4 2 2 2" xfId="34051"/>
    <cellStyle name="통화 [0] 3 4 2 3" xfId="34052"/>
    <cellStyle name="통화 [0] 3 4 2 3 2" xfId="34053"/>
    <cellStyle name="통화 [0] 3 4 2 4" xfId="34054"/>
    <cellStyle name="통화 [0] 3 4 2 4 2" xfId="34055"/>
    <cellStyle name="통화 [0] 3 4 2 5" xfId="34056"/>
    <cellStyle name="통화 [0] 3 4 2 5 2" xfId="34057"/>
    <cellStyle name="통화 [0] 3 4 2 6" xfId="34058"/>
    <cellStyle name="통화 [0] 3 4 2 6 2" xfId="34059"/>
    <cellStyle name="통화 [0] 3 4 2 7" xfId="34060"/>
    <cellStyle name="통화 [0] 3 4 2 7 2" xfId="34061"/>
    <cellStyle name="통화 [0] 3 4 2 8" xfId="34062"/>
    <cellStyle name="통화 [0] 3 4 2 8 2" xfId="34063"/>
    <cellStyle name="통화 [0] 3 4 2 9" xfId="34064"/>
    <cellStyle name="통화 [0] 3 4 2 9 2" xfId="34065"/>
    <cellStyle name="통화 [0] 3 4 3" xfId="34066"/>
    <cellStyle name="통화 [0] 3 4 3 2" xfId="34067"/>
    <cellStyle name="통화 [0] 3 4 4" xfId="34068"/>
    <cellStyle name="통화 [0] 3 4 4 2" xfId="34069"/>
    <cellStyle name="통화 [0] 3 4 5" xfId="34070"/>
    <cellStyle name="통화 [0] 3 4 5 2" xfId="34071"/>
    <cellStyle name="통화 [0] 3 4 6" xfId="34072"/>
    <cellStyle name="통화 [0] 3 4 6 2" xfId="34073"/>
    <cellStyle name="통화 [0] 3 4 7" xfId="34074"/>
    <cellStyle name="통화 [0] 3 4 7 2" xfId="34075"/>
    <cellStyle name="통화 [0] 3 4 8" xfId="34076"/>
    <cellStyle name="통화 [0] 3 4 8 2" xfId="34077"/>
    <cellStyle name="통화 [0] 3 4 9" xfId="34078"/>
    <cellStyle name="통화 [0] 3 4 9 2" xfId="34079"/>
    <cellStyle name="통화 [0] 3 5" xfId="34080"/>
    <cellStyle name="통화 [0] 3 5 10" xfId="34081"/>
    <cellStyle name="통화 [0] 3 5 10 2" xfId="34082"/>
    <cellStyle name="통화 [0] 3 5 11" xfId="34083"/>
    <cellStyle name="통화 [0] 3 5 11 2" xfId="34084"/>
    <cellStyle name="통화 [0] 3 5 12" xfId="34085"/>
    <cellStyle name="통화 [0] 3 5 12 2" xfId="34086"/>
    <cellStyle name="통화 [0] 3 5 13" xfId="34087"/>
    <cellStyle name="통화 [0] 3 5 13 2" xfId="34088"/>
    <cellStyle name="통화 [0] 3 5 14" xfId="34089"/>
    <cellStyle name="통화 [0] 3 5 2" xfId="34090"/>
    <cellStyle name="통화 [0] 3 5 2 10" xfId="34091"/>
    <cellStyle name="통화 [0] 3 5 2 10 2" xfId="34092"/>
    <cellStyle name="통화 [0] 3 5 2 11" xfId="34093"/>
    <cellStyle name="통화 [0] 3 5 2 11 2" xfId="34094"/>
    <cellStyle name="통화 [0] 3 5 2 12" xfId="34095"/>
    <cellStyle name="통화 [0] 3 5 2 12 2" xfId="34096"/>
    <cellStyle name="통화 [0] 3 5 2 13" xfId="34097"/>
    <cellStyle name="통화 [0] 3 5 2 2" xfId="34098"/>
    <cellStyle name="통화 [0] 3 5 2 2 2" xfId="34099"/>
    <cellStyle name="통화 [0] 3 5 2 3" xfId="34100"/>
    <cellStyle name="통화 [0] 3 5 2 3 2" xfId="34101"/>
    <cellStyle name="통화 [0] 3 5 2 4" xfId="34102"/>
    <cellStyle name="통화 [0] 3 5 2 4 2" xfId="34103"/>
    <cellStyle name="통화 [0] 3 5 2 5" xfId="34104"/>
    <cellStyle name="통화 [0] 3 5 2 5 2" xfId="34105"/>
    <cellStyle name="통화 [0] 3 5 2 6" xfId="34106"/>
    <cellStyle name="통화 [0] 3 5 2 6 2" xfId="34107"/>
    <cellStyle name="통화 [0] 3 5 2 7" xfId="34108"/>
    <cellStyle name="통화 [0] 3 5 2 7 2" xfId="34109"/>
    <cellStyle name="통화 [0] 3 5 2 8" xfId="34110"/>
    <cellStyle name="통화 [0] 3 5 2 8 2" xfId="34111"/>
    <cellStyle name="통화 [0] 3 5 2 9" xfId="34112"/>
    <cellStyle name="통화 [0] 3 5 2 9 2" xfId="34113"/>
    <cellStyle name="통화 [0] 3 5 3" xfId="34114"/>
    <cellStyle name="통화 [0] 3 5 3 2" xfId="34115"/>
    <cellStyle name="통화 [0] 3 5 4" xfId="34116"/>
    <cellStyle name="통화 [0] 3 5 4 2" xfId="34117"/>
    <cellStyle name="통화 [0] 3 5 5" xfId="34118"/>
    <cellStyle name="통화 [0] 3 5 5 2" xfId="34119"/>
    <cellStyle name="통화 [0] 3 5 6" xfId="34120"/>
    <cellStyle name="통화 [0] 3 5 6 2" xfId="34121"/>
    <cellStyle name="통화 [0] 3 5 7" xfId="34122"/>
    <cellStyle name="통화 [0] 3 5 7 2" xfId="34123"/>
    <cellStyle name="통화 [0] 3 5 8" xfId="34124"/>
    <cellStyle name="통화 [0] 3 5 8 2" xfId="34125"/>
    <cellStyle name="통화 [0] 3 5 9" xfId="34126"/>
    <cellStyle name="통화 [0] 3 5 9 2" xfId="34127"/>
    <cellStyle name="통화 [0] 3 6" xfId="34128"/>
    <cellStyle name="통화 [0] 3 6 10" xfId="34129"/>
    <cellStyle name="통화 [0] 3 6 10 2" xfId="34130"/>
    <cellStyle name="통화 [0] 3 6 11" xfId="34131"/>
    <cellStyle name="통화 [0] 3 6 11 2" xfId="34132"/>
    <cellStyle name="통화 [0] 3 6 12" xfId="34133"/>
    <cellStyle name="통화 [0] 3 6 12 2" xfId="34134"/>
    <cellStyle name="통화 [0] 3 6 13" xfId="34135"/>
    <cellStyle name="통화 [0] 3 6 13 2" xfId="34136"/>
    <cellStyle name="통화 [0] 3 6 14" xfId="34137"/>
    <cellStyle name="통화 [0] 3 6 2" xfId="34138"/>
    <cellStyle name="통화 [0] 3 6 2 10" xfId="34139"/>
    <cellStyle name="통화 [0] 3 6 2 10 2" xfId="34140"/>
    <cellStyle name="통화 [0] 3 6 2 11" xfId="34141"/>
    <cellStyle name="통화 [0] 3 6 2 11 2" xfId="34142"/>
    <cellStyle name="통화 [0] 3 6 2 12" xfId="34143"/>
    <cellStyle name="통화 [0] 3 6 2 12 2" xfId="34144"/>
    <cellStyle name="통화 [0] 3 6 2 13" xfId="34145"/>
    <cellStyle name="통화 [0] 3 6 2 2" xfId="34146"/>
    <cellStyle name="통화 [0] 3 6 2 2 2" xfId="34147"/>
    <cellStyle name="통화 [0] 3 6 2 3" xfId="34148"/>
    <cellStyle name="통화 [0] 3 6 2 3 2" xfId="34149"/>
    <cellStyle name="통화 [0] 3 6 2 4" xfId="34150"/>
    <cellStyle name="통화 [0] 3 6 2 4 2" xfId="34151"/>
    <cellStyle name="통화 [0] 3 6 2 5" xfId="34152"/>
    <cellStyle name="통화 [0] 3 6 2 5 2" xfId="34153"/>
    <cellStyle name="통화 [0] 3 6 2 6" xfId="34154"/>
    <cellStyle name="통화 [0] 3 6 2 6 2" xfId="34155"/>
    <cellStyle name="통화 [0] 3 6 2 7" xfId="34156"/>
    <cellStyle name="통화 [0] 3 6 2 7 2" xfId="34157"/>
    <cellStyle name="통화 [0] 3 6 2 8" xfId="34158"/>
    <cellStyle name="통화 [0] 3 6 2 8 2" xfId="34159"/>
    <cellStyle name="통화 [0] 3 6 2 9" xfId="34160"/>
    <cellStyle name="통화 [0] 3 6 2 9 2" xfId="34161"/>
    <cellStyle name="통화 [0] 3 6 3" xfId="34162"/>
    <cellStyle name="통화 [0] 3 6 3 2" xfId="34163"/>
    <cellStyle name="통화 [0] 3 6 4" xfId="34164"/>
    <cellStyle name="통화 [0] 3 6 4 2" xfId="34165"/>
    <cellStyle name="통화 [0] 3 6 5" xfId="34166"/>
    <cellStyle name="통화 [0] 3 6 5 2" xfId="34167"/>
    <cellStyle name="통화 [0] 3 6 6" xfId="34168"/>
    <cellStyle name="통화 [0] 3 6 6 2" xfId="34169"/>
    <cellStyle name="통화 [0] 3 6 7" xfId="34170"/>
    <cellStyle name="통화 [0] 3 6 7 2" xfId="34171"/>
    <cellStyle name="통화 [0] 3 6 8" xfId="34172"/>
    <cellStyle name="통화 [0] 3 6 8 2" xfId="34173"/>
    <cellStyle name="통화 [0] 3 6 9" xfId="34174"/>
    <cellStyle name="통화 [0] 3 6 9 2" xfId="34175"/>
    <cellStyle name="통화 [0] 3 7" xfId="34176"/>
    <cellStyle name="통화 [0] 3 7 10" xfId="34177"/>
    <cellStyle name="통화 [0] 3 7 10 2" xfId="34178"/>
    <cellStyle name="통화 [0] 3 7 11" xfId="34179"/>
    <cellStyle name="통화 [0] 3 7 11 2" xfId="34180"/>
    <cellStyle name="통화 [0] 3 7 12" xfId="34181"/>
    <cellStyle name="통화 [0] 3 7 12 2" xfId="34182"/>
    <cellStyle name="통화 [0] 3 7 13" xfId="34183"/>
    <cellStyle name="통화 [0] 3 7 13 2" xfId="34184"/>
    <cellStyle name="통화 [0] 3 7 14" xfId="34185"/>
    <cellStyle name="통화 [0] 3 7 2" xfId="34186"/>
    <cellStyle name="통화 [0] 3 7 2 10" xfId="34187"/>
    <cellStyle name="통화 [0] 3 7 2 10 2" xfId="34188"/>
    <cellStyle name="통화 [0] 3 7 2 11" xfId="34189"/>
    <cellStyle name="통화 [0] 3 7 2 11 2" xfId="34190"/>
    <cellStyle name="통화 [0] 3 7 2 12" xfId="34191"/>
    <cellStyle name="통화 [0] 3 7 2 12 2" xfId="34192"/>
    <cellStyle name="통화 [0] 3 7 2 13" xfId="34193"/>
    <cellStyle name="통화 [0] 3 7 2 2" xfId="34194"/>
    <cellStyle name="통화 [0] 3 7 2 2 2" xfId="34195"/>
    <cellStyle name="통화 [0] 3 7 2 3" xfId="34196"/>
    <cellStyle name="통화 [0] 3 7 2 3 2" xfId="34197"/>
    <cellStyle name="통화 [0] 3 7 2 4" xfId="34198"/>
    <cellStyle name="통화 [0] 3 7 2 4 2" xfId="34199"/>
    <cellStyle name="통화 [0] 3 7 2 5" xfId="34200"/>
    <cellStyle name="통화 [0] 3 7 2 5 2" xfId="34201"/>
    <cellStyle name="통화 [0] 3 7 2 6" xfId="34202"/>
    <cellStyle name="통화 [0] 3 7 2 6 2" xfId="34203"/>
    <cellStyle name="통화 [0] 3 7 2 7" xfId="34204"/>
    <cellStyle name="통화 [0] 3 7 2 7 2" xfId="34205"/>
    <cellStyle name="통화 [0] 3 7 2 8" xfId="34206"/>
    <cellStyle name="통화 [0] 3 7 2 8 2" xfId="34207"/>
    <cellStyle name="통화 [0] 3 7 2 9" xfId="34208"/>
    <cellStyle name="통화 [0] 3 7 2 9 2" xfId="34209"/>
    <cellStyle name="통화 [0] 3 7 3" xfId="34210"/>
    <cellStyle name="통화 [0] 3 7 3 2" xfId="34211"/>
    <cellStyle name="통화 [0] 3 7 4" xfId="34212"/>
    <cellStyle name="통화 [0] 3 7 4 2" xfId="34213"/>
    <cellStyle name="통화 [0] 3 7 5" xfId="34214"/>
    <cellStyle name="통화 [0] 3 7 5 2" xfId="34215"/>
    <cellStyle name="통화 [0] 3 7 6" xfId="34216"/>
    <cellStyle name="통화 [0] 3 7 6 2" xfId="34217"/>
    <cellStyle name="통화 [0] 3 7 7" xfId="34218"/>
    <cellStyle name="통화 [0] 3 7 7 2" xfId="34219"/>
    <cellStyle name="통화 [0] 3 7 8" xfId="34220"/>
    <cellStyle name="통화 [0] 3 7 8 2" xfId="34221"/>
    <cellStyle name="통화 [0] 3 7 9" xfId="34222"/>
    <cellStyle name="통화 [0] 3 7 9 2" xfId="34223"/>
    <cellStyle name="통화 [0] 3 8" xfId="34224"/>
    <cellStyle name="통화 [0] 3 8 10" xfId="34225"/>
    <cellStyle name="통화 [0] 3 8 10 2" xfId="34226"/>
    <cellStyle name="통화 [0] 3 8 11" xfId="34227"/>
    <cellStyle name="통화 [0] 3 8 11 2" xfId="34228"/>
    <cellStyle name="통화 [0] 3 8 12" xfId="34229"/>
    <cellStyle name="통화 [0] 3 8 12 2" xfId="34230"/>
    <cellStyle name="통화 [0] 3 8 13" xfId="34231"/>
    <cellStyle name="통화 [0] 3 8 13 2" xfId="34232"/>
    <cellStyle name="통화 [0] 3 8 14" xfId="34233"/>
    <cellStyle name="통화 [0] 3 8 2" xfId="34234"/>
    <cellStyle name="통화 [0] 3 8 2 10" xfId="34235"/>
    <cellStyle name="통화 [0] 3 8 2 10 2" xfId="34236"/>
    <cellStyle name="통화 [0] 3 8 2 11" xfId="34237"/>
    <cellStyle name="통화 [0] 3 8 2 11 2" xfId="34238"/>
    <cellStyle name="통화 [0] 3 8 2 12" xfId="34239"/>
    <cellStyle name="통화 [0] 3 8 2 12 2" xfId="34240"/>
    <cellStyle name="통화 [0] 3 8 2 13" xfId="34241"/>
    <cellStyle name="통화 [0] 3 8 2 2" xfId="34242"/>
    <cellStyle name="통화 [0] 3 8 2 2 2" xfId="34243"/>
    <cellStyle name="통화 [0] 3 8 2 3" xfId="34244"/>
    <cellStyle name="통화 [0] 3 8 2 3 2" xfId="34245"/>
    <cellStyle name="통화 [0] 3 8 2 4" xfId="34246"/>
    <cellStyle name="통화 [0] 3 8 2 4 2" xfId="34247"/>
    <cellStyle name="통화 [0] 3 8 2 5" xfId="34248"/>
    <cellStyle name="통화 [0] 3 8 2 5 2" xfId="34249"/>
    <cellStyle name="통화 [0] 3 8 2 6" xfId="34250"/>
    <cellStyle name="통화 [0] 3 8 2 6 2" xfId="34251"/>
    <cellStyle name="통화 [0] 3 8 2 7" xfId="34252"/>
    <cellStyle name="통화 [0] 3 8 2 7 2" xfId="34253"/>
    <cellStyle name="통화 [0] 3 8 2 8" xfId="34254"/>
    <cellStyle name="통화 [0] 3 8 2 8 2" xfId="34255"/>
    <cellStyle name="통화 [0] 3 8 2 9" xfId="34256"/>
    <cellStyle name="통화 [0] 3 8 2 9 2" xfId="34257"/>
    <cellStyle name="통화 [0] 3 8 3" xfId="34258"/>
    <cellStyle name="통화 [0] 3 8 3 2" xfId="34259"/>
    <cellStyle name="통화 [0] 3 8 4" xfId="34260"/>
    <cellStyle name="통화 [0] 3 8 4 2" xfId="34261"/>
    <cellStyle name="통화 [0] 3 8 5" xfId="34262"/>
    <cellStyle name="통화 [0] 3 8 5 2" xfId="34263"/>
    <cellStyle name="통화 [0] 3 8 6" xfId="34264"/>
    <cellStyle name="통화 [0] 3 8 6 2" xfId="34265"/>
    <cellStyle name="통화 [0] 3 8 7" xfId="34266"/>
    <cellStyle name="통화 [0] 3 8 7 2" xfId="34267"/>
    <cellStyle name="통화 [0] 3 8 8" xfId="34268"/>
    <cellStyle name="통화 [0] 3 8 8 2" xfId="34269"/>
    <cellStyle name="통화 [0] 3 8 9" xfId="34270"/>
    <cellStyle name="통화 [0] 3 8 9 2" xfId="34271"/>
    <cellStyle name="통화 [0] 3 9" xfId="34272"/>
    <cellStyle name="통화 [0] 3 9 10" xfId="34273"/>
    <cellStyle name="통화 [0] 3 9 10 2" xfId="34274"/>
    <cellStyle name="통화 [0] 3 9 11" xfId="34275"/>
    <cellStyle name="통화 [0] 3 9 11 2" xfId="34276"/>
    <cellStyle name="통화 [0] 3 9 12" xfId="34277"/>
    <cellStyle name="통화 [0] 3 9 12 2" xfId="34278"/>
    <cellStyle name="통화 [0] 3 9 13" xfId="34279"/>
    <cellStyle name="통화 [0] 3 9 2" xfId="34280"/>
    <cellStyle name="통화 [0] 3 9 2 2" xfId="34281"/>
    <cellStyle name="통화 [0] 3 9 3" xfId="34282"/>
    <cellStyle name="통화 [0] 3 9 3 2" xfId="34283"/>
    <cellStyle name="통화 [0] 3 9 4" xfId="34284"/>
    <cellStyle name="통화 [0] 3 9 4 2" xfId="34285"/>
    <cellStyle name="통화 [0] 3 9 5" xfId="34286"/>
    <cellStyle name="통화 [0] 3 9 5 2" xfId="34287"/>
    <cellStyle name="통화 [0] 3 9 6" xfId="34288"/>
    <cellStyle name="통화 [0] 3 9 6 2" xfId="34289"/>
    <cellStyle name="통화 [0] 3 9 7" xfId="34290"/>
    <cellStyle name="통화 [0] 3 9 7 2" xfId="34291"/>
    <cellStyle name="통화 [0] 3 9 8" xfId="34292"/>
    <cellStyle name="통화 [0] 3 9 8 2" xfId="34293"/>
    <cellStyle name="통화 [0] 3 9 9" xfId="34294"/>
    <cellStyle name="통화 [0] 3 9 9 2" xfId="34295"/>
    <cellStyle name="통화 [0] 4" xfId="34296"/>
    <cellStyle name="통화 [0] 4 2" xfId="34297"/>
    <cellStyle name="통화 [0㉝〸" xfId="34298"/>
    <cellStyle name="통화 [0㉝〸 2" xfId="34299"/>
    <cellStyle name="통화 2" xfId="33393"/>
    <cellStyle name="통화 2 2" xfId="33394"/>
    <cellStyle name="통화 2 2 2" xfId="33395"/>
    <cellStyle name="통화 2 3" xfId="33396"/>
    <cellStyle name="通貨_laroux" xfId="31173"/>
    <cellStyle name="팹繫_覩훙逃헙워（離劤） " xfId="34300"/>
    <cellStyle name="퍼센트" xfId="34301"/>
    <cellStyle name="퍼센트 10" xfId="34302"/>
    <cellStyle name="퍼센트 10 2" xfId="34303"/>
    <cellStyle name="퍼센트 11" xfId="34304"/>
    <cellStyle name="퍼센트 11 2" xfId="34305"/>
    <cellStyle name="퍼센트 12" xfId="34306"/>
    <cellStyle name="퍼센트 12 2" xfId="34307"/>
    <cellStyle name="퍼센트 13" xfId="34308"/>
    <cellStyle name="퍼센트 13 2" xfId="34309"/>
    <cellStyle name="퍼센트 14" xfId="34310"/>
    <cellStyle name="퍼센트 14 2" xfId="34311"/>
    <cellStyle name="퍼센트 15" xfId="34312"/>
    <cellStyle name="퍼센트 15 2" xfId="34313"/>
    <cellStyle name="퍼센트 16" xfId="34314"/>
    <cellStyle name="퍼센트 16 2" xfId="34315"/>
    <cellStyle name="퍼센트 17" xfId="34316"/>
    <cellStyle name="퍼센트 17 2" xfId="34317"/>
    <cellStyle name="퍼센트 18" xfId="34318"/>
    <cellStyle name="퍼센트 2" xfId="34319"/>
    <cellStyle name="퍼센트 2 2" xfId="34320"/>
    <cellStyle name="퍼센트 3" xfId="34321"/>
    <cellStyle name="퍼센트 3 2" xfId="34322"/>
    <cellStyle name="퍼센트 4" xfId="34323"/>
    <cellStyle name="퍼센트 4 2" xfId="34324"/>
    <cellStyle name="퍼센트 5" xfId="34325"/>
    <cellStyle name="퍼센트 5 2" xfId="34326"/>
    <cellStyle name="퍼센트 6" xfId="34327"/>
    <cellStyle name="퍼센트 6 2" xfId="34328"/>
    <cellStyle name="퍼센트 7" xfId="34329"/>
    <cellStyle name="퍼센트 7 2" xfId="34330"/>
    <cellStyle name="퍼센트 8" xfId="34331"/>
    <cellStyle name="퍼센트 8 2" xfId="34332"/>
    <cellStyle name="퍼센트 9" xfId="34333"/>
    <cellStyle name="퍼센트 9 2" xfId="34334"/>
    <cellStyle name="페이지 영역" xfId="34335"/>
    <cellStyle name="페이지 영역 2" xfId="34336"/>
    <cellStyle name="平" xfId="31139"/>
    <cellStyle name="平 2" xfId="31140"/>
    <cellStyle name="표" xfId="34337"/>
    <cellStyle name="표 2" xfId="34338"/>
    <cellStyle name="표 2 2" xfId="34339"/>
    <cellStyle name="표 3" xfId="34340"/>
    <cellStyle name="표(가는선,가운데,중앙)" xfId="34341"/>
    <cellStyle name="표(가는선,가운데,중앙) 2" xfId="34342"/>
    <cellStyle name="표(가는선,왼쪽,중앙)" xfId="34343"/>
    <cellStyle name="표(가는선,왼쪽,중앙) 2" xfId="34344"/>
    <cellStyle name="표(세로쓰기)" xfId="34345"/>
    <cellStyle name="표(세로쓰기) 2" xfId="34346"/>
    <cellStyle name="표_여수-죽림 세대" xfId="34347"/>
    <cellStyle name="표_여수-죽림 세대 2" xfId="34348"/>
    <cellStyle name="표_여수-죽림 세대_1" xfId="34349"/>
    <cellStyle name="표_여수-죽림 세대_1 2" xfId="34350"/>
    <cellStyle name="표머릿글(上)" xfId="34351"/>
    <cellStyle name="표머릿글(上) 2" xfId="34352"/>
    <cellStyle name="표머릿글(上) 2 2" xfId="34353"/>
    <cellStyle name="표머릿글(上) 3" xfId="34354"/>
    <cellStyle name="표머릿글(中)" xfId="34359"/>
    <cellStyle name="표머릿글(中) 2" xfId="34360"/>
    <cellStyle name="표머릿글(中) 2 2" xfId="34361"/>
    <cellStyle name="표머릿글(中) 3" xfId="34362"/>
    <cellStyle name="표머릿글(下)" xfId="34355"/>
    <cellStyle name="표머릿글(下) 2" xfId="34356"/>
    <cellStyle name="표머릿글(下) 2 2" xfId="34357"/>
    <cellStyle name="표머릿글(下) 3" xfId="34358"/>
    <cellStyle name="표준" xfId="0" builtinId="0"/>
    <cellStyle name="표준 10" xfId="34363"/>
    <cellStyle name="표준 10 2" xfId="34364"/>
    <cellStyle name="표준 10 2 2" xfId="34365"/>
    <cellStyle name="표준 10 3" xfId="34366"/>
    <cellStyle name="표준 10 3 2" xfId="34367"/>
    <cellStyle name="표준 10 4" xfId="34368"/>
    <cellStyle name="표준 10 5" xfId="34369"/>
    <cellStyle name="표준 10_김포한강5블럭 부속동-일위대가" xfId="34378"/>
    <cellStyle name="표준 100" xfId="34370"/>
    <cellStyle name="표준 101" xfId="34371"/>
    <cellStyle name="표준 101 2" xfId="34372"/>
    <cellStyle name="표준 102" xfId="34373"/>
    <cellStyle name="표준 103" xfId="34374"/>
    <cellStyle name="표준 104" xfId="34375"/>
    <cellStyle name="표준 105" xfId="34376"/>
    <cellStyle name="표준 106" xfId="34377"/>
    <cellStyle name="표준 11" xfId="34379"/>
    <cellStyle name="표준 11 2" xfId="34380"/>
    <cellStyle name="표준 11 2 2" xfId="34381"/>
    <cellStyle name="표준 11 3" xfId="34382"/>
    <cellStyle name="표준 11 3 2" xfId="34383"/>
    <cellStyle name="표준 11 4" xfId="34384"/>
    <cellStyle name="표준 11_김포한강5블럭 부속동-일위대가" xfId="34387"/>
    <cellStyle name="표준 114" xfId="34385"/>
    <cellStyle name="표준 116" xfId="34386"/>
    <cellStyle name="표준 12" xfId="34388"/>
    <cellStyle name="표준 12 2" xfId="34389"/>
    <cellStyle name="표준 12 2 2" xfId="34390"/>
    <cellStyle name="표준 12 3" xfId="34391"/>
    <cellStyle name="표준 12 3 2" xfId="34392"/>
    <cellStyle name="표준 12_김포한강5블럭 부속동-일위대가" xfId="34395"/>
    <cellStyle name="표준 128" xfId="34393"/>
    <cellStyle name="표준 128 2" xfId="34394"/>
    <cellStyle name="표준 13" xfId="34396"/>
    <cellStyle name="표준 13 2" xfId="34397"/>
    <cellStyle name="표준 13 2 2" xfId="34398"/>
    <cellStyle name="표준 13 3" xfId="34399"/>
    <cellStyle name="표준 13_김포한강5블럭 부속동-일위대가" xfId="34400"/>
    <cellStyle name="표준 14" xfId="34401"/>
    <cellStyle name="표준 14 2" xfId="34402"/>
    <cellStyle name="표준 14 2 2" xfId="34403"/>
    <cellStyle name="표준 14 3" xfId="34404"/>
    <cellStyle name="표준 14 3 2" xfId="34405"/>
    <cellStyle name="표준 14 4" xfId="34406"/>
    <cellStyle name="표준 14 5" xfId="34407"/>
    <cellStyle name="표준 14_김포한강5블럭 부속동-일위대가" xfId="34408"/>
    <cellStyle name="표준 15" xfId="34409"/>
    <cellStyle name="표준 15 2" xfId="34410"/>
    <cellStyle name="표준 15 2 2" xfId="34411"/>
    <cellStyle name="표준 15 3" xfId="34412"/>
    <cellStyle name="표준 15 3 2" xfId="34413"/>
    <cellStyle name="표준 15 4" xfId="34414"/>
    <cellStyle name="표준 15_김포한강5블럭 부속동-일위대가" xfId="34415"/>
    <cellStyle name="표준 16" xfId="34416"/>
    <cellStyle name="표준 16 2" xfId="34417"/>
    <cellStyle name="표준 16 2 2" xfId="34418"/>
    <cellStyle name="표준 16 3" xfId="34419"/>
    <cellStyle name="표준 16_김포한강5블럭 부속동-일위대가" xfId="34420"/>
    <cellStyle name="표준 17" xfId="34421"/>
    <cellStyle name="표준 17 2" xfId="34422"/>
    <cellStyle name="표준 17 2 2" xfId="34423"/>
    <cellStyle name="표준 17 3" xfId="34424"/>
    <cellStyle name="표준 17 3 2" xfId="34425"/>
    <cellStyle name="표준 17 4" xfId="34426"/>
    <cellStyle name="표준 17_김포한강5블럭 부속동-일위대가" xfId="34427"/>
    <cellStyle name="표준 18" xfId="34428"/>
    <cellStyle name="표준 18 2" xfId="34429"/>
    <cellStyle name="표준 18 2 2" xfId="34430"/>
    <cellStyle name="표준 18 3" xfId="34431"/>
    <cellStyle name="표준 18 3 2" xfId="34432"/>
    <cellStyle name="표준 18 4" xfId="34433"/>
    <cellStyle name="표준 18_김포한강5블럭 부속동-일위대가" xfId="34434"/>
    <cellStyle name="표준 19" xfId="34435"/>
    <cellStyle name="표준 19 2" xfId="34436"/>
    <cellStyle name="표준 19 2 2" xfId="34437"/>
    <cellStyle name="표준 19 3" xfId="34438"/>
    <cellStyle name="표준 19 3 2" xfId="34439"/>
    <cellStyle name="표준 19 4" xfId="34440"/>
    <cellStyle name="표준 19_김포한강5블럭 부속동-일위대가" xfId="34441"/>
    <cellStyle name="표준 2" xfId="34442"/>
    <cellStyle name="표준 2 10" xfId="34443"/>
    <cellStyle name="표준 2 10 2" xfId="34444"/>
    <cellStyle name="표준 2 11" xfId="34445"/>
    <cellStyle name="표준 2 11 2" xfId="34446"/>
    <cellStyle name="표준 2 12" xfId="34447"/>
    <cellStyle name="표준 2 12 2" xfId="34448"/>
    <cellStyle name="표준 2 13" xfId="34449"/>
    <cellStyle name="표준 2 13 2" xfId="34450"/>
    <cellStyle name="표준 2 14" xfId="34451"/>
    <cellStyle name="표준 2 15" xfId="34452"/>
    <cellStyle name="표준 2 16" xfId="34453"/>
    <cellStyle name="표준 2 17" xfId="34454"/>
    <cellStyle name="표준 2 18" xfId="34455"/>
    <cellStyle name="표준 2 19" xfId="34456"/>
    <cellStyle name="표준 2 2" xfId="34457"/>
    <cellStyle name="표준 2 2 10" xfId="34458"/>
    <cellStyle name="표준 2 2 10 2" xfId="34459"/>
    <cellStyle name="표준 2 2 11" xfId="34460"/>
    <cellStyle name="표준 2 2 11 2" xfId="34461"/>
    <cellStyle name="표준 2 2 12" xfId="34462"/>
    <cellStyle name="표준 2 2 12 2" xfId="34463"/>
    <cellStyle name="표준 2 2 13" xfId="34464"/>
    <cellStyle name="표준 2 2 13 2" xfId="34465"/>
    <cellStyle name="표준 2 2 2" xfId="34466"/>
    <cellStyle name="표준 2 2 2 2" xfId="34467"/>
    <cellStyle name="표준 2 2 2 3" xfId="34468"/>
    <cellStyle name="표준 2 2 3" xfId="34469"/>
    <cellStyle name="표준 2 2 3 2" xfId="34470"/>
    <cellStyle name="표준 2 2 4" xfId="34471"/>
    <cellStyle name="표준 2 2 4 2" xfId="34472"/>
    <cellStyle name="표준 2 2 5" xfId="34473"/>
    <cellStyle name="표준 2 2 5 2" xfId="34474"/>
    <cellStyle name="표준 2 2 6" xfId="34475"/>
    <cellStyle name="표준 2 2 6 2" xfId="34476"/>
    <cellStyle name="표준 2 2 7" xfId="34477"/>
    <cellStyle name="표준 2 2 7 2" xfId="34478"/>
    <cellStyle name="표준 2 2 8" xfId="34479"/>
    <cellStyle name="표준 2 2 8 2" xfId="34480"/>
    <cellStyle name="표준 2 2 9" xfId="34481"/>
    <cellStyle name="표준 2 2 9 2" xfId="34482"/>
    <cellStyle name="표준 2 20" xfId="34483"/>
    <cellStyle name="표준 2 21" xfId="34484"/>
    <cellStyle name="표준 2 3" xfId="34485"/>
    <cellStyle name="표준 2 3 2" xfId="34486"/>
    <cellStyle name="표준 2 3 2 2" xfId="34487"/>
    <cellStyle name="표준 2 3 3" xfId="34488"/>
    <cellStyle name="표준 2 4" xfId="34489"/>
    <cellStyle name="표준 2 4 2" xfId="34490"/>
    <cellStyle name="표준 2 5" xfId="34491"/>
    <cellStyle name="표준 2 5 2" xfId="34492"/>
    <cellStyle name="표준 2 6" xfId="34493"/>
    <cellStyle name="표준 2 6 2" xfId="34494"/>
    <cellStyle name="표준 2 7" xfId="34495"/>
    <cellStyle name="표준 2 7 2" xfId="34496"/>
    <cellStyle name="표준 2 8" xfId="34497"/>
    <cellStyle name="표준 2 8 2" xfId="34498"/>
    <cellStyle name="표준 2 9" xfId="34499"/>
    <cellStyle name="표준 2 9 2" xfId="34500"/>
    <cellStyle name="표준 2_견적서1111" xfId="34557"/>
    <cellStyle name="표준 20" xfId="34501"/>
    <cellStyle name="표준 20 2" xfId="34502"/>
    <cellStyle name="표준 20 2 2" xfId="34503"/>
    <cellStyle name="표준 20 3" xfId="34504"/>
    <cellStyle name="표준 20 3 2" xfId="34505"/>
    <cellStyle name="표준 20 4" xfId="34506"/>
    <cellStyle name="표준 20_김포한강5블럭 부속동-일위대가" xfId="34507"/>
    <cellStyle name="표준 21" xfId="34508"/>
    <cellStyle name="표준 21 2" xfId="34509"/>
    <cellStyle name="표준 21 2 2" xfId="34510"/>
    <cellStyle name="표준 21 3" xfId="34511"/>
    <cellStyle name="표준 21 3 2" xfId="34512"/>
    <cellStyle name="표준 21 4" xfId="34513"/>
    <cellStyle name="표준 21_김포한강5블럭 부속동-일위대가" xfId="34514"/>
    <cellStyle name="표준 22" xfId="34515"/>
    <cellStyle name="표준 22 2" xfId="34516"/>
    <cellStyle name="표준 22 2 2" xfId="34517"/>
    <cellStyle name="표준 22 3" xfId="34518"/>
    <cellStyle name="표준 22 3 2" xfId="34519"/>
    <cellStyle name="표준 22 4" xfId="34520"/>
    <cellStyle name="표준 22_김포한강5블럭 부속동-일위대가" xfId="34521"/>
    <cellStyle name="표준 23" xfId="34522"/>
    <cellStyle name="표준 23 2" xfId="34523"/>
    <cellStyle name="표준 23 2 2" xfId="34524"/>
    <cellStyle name="표준 23 3" xfId="34525"/>
    <cellStyle name="표준 23_김포한강5블럭 부속동-일위대가" xfId="34526"/>
    <cellStyle name="표준 24" xfId="34527"/>
    <cellStyle name="표준 24 2" xfId="34528"/>
    <cellStyle name="표준 24 2 2" xfId="34529"/>
    <cellStyle name="표준 24 3" xfId="34530"/>
    <cellStyle name="표준 24_김포한강5블럭 부속동-일위대가" xfId="34531"/>
    <cellStyle name="표준 25" xfId="34532"/>
    <cellStyle name="표준 25 2" xfId="34533"/>
    <cellStyle name="표준 25 2 2" xfId="34534"/>
    <cellStyle name="표준 25 3" xfId="34535"/>
    <cellStyle name="표준 25_김포한강5블럭 부속동-일위대가" xfId="34536"/>
    <cellStyle name="표준 26" xfId="34537"/>
    <cellStyle name="표준 26 2" xfId="34538"/>
    <cellStyle name="표준 26 2 2" xfId="34539"/>
    <cellStyle name="표준 26 3" xfId="34540"/>
    <cellStyle name="표준 26_김포한강5블럭 부속동-일위대가" xfId="34541"/>
    <cellStyle name="표준 27" xfId="34542"/>
    <cellStyle name="표준 27 2" xfId="34543"/>
    <cellStyle name="표준 27 2 2" xfId="34544"/>
    <cellStyle name="표준 27 3" xfId="34545"/>
    <cellStyle name="표준 27_김포한강5블럭 부속동-일위대가" xfId="34546"/>
    <cellStyle name="표준 28" xfId="34547"/>
    <cellStyle name="표준 28 2" xfId="34548"/>
    <cellStyle name="표준 28 2 2" xfId="34549"/>
    <cellStyle name="표준 28 3" xfId="34550"/>
    <cellStyle name="표준 28_김포한강5블럭 부속동-일위대가" xfId="34551"/>
    <cellStyle name="표준 29" xfId="34552"/>
    <cellStyle name="표준 29 2" xfId="34553"/>
    <cellStyle name="표준 29 2 2" xfId="34554"/>
    <cellStyle name="표준 29 3" xfId="34555"/>
    <cellStyle name="표준 29_김포한강5블럭 부속동-일위대가" xfId="34556"/>
    <cellStyle name="표준 3" xfId="34558"/>
    <cellStyle name="표준 3 10" xfId="34559"/>
    <cellStyle name="표준 3 10 2" xfId="34560"/>
    <cellStyle name="표준 3 11" xfId="34561"/>
    <cellStyle name="표준 3 11 2" xfId="34562"/>
    <cellStyle name="표준 3 12" xfId="34563"/>
    <cellStyle name="표준 3 13" xfId="34564"/>
    <cellStyle name="표준 3 13 2" xfId="34565"/>
    <cellStyle name="표준 3 14" xfId="34566"/>
    <cellStyle name="표준 3 14 2" xfId="34567"/>
    <cellStyle name="표준 3 15" xfId="34568"/>
    <cellStyle name="표준 3 15 2" xfId="34569"/>
    <cellStyle name="표준 3 16" xfId="34570"/>
    <cellStyle name="표준 3 16 2" xfId="34571"/>
    <cellStyle name="표준 3 17" xfId="34572"/>
    <cellStyle name="표준 3 17 2" xfId="34573"/>
    <cellStyle name="표준 3 18" xfId="34574"/>
    <cellStyle name="표준 3 2" xfId="34575"/>
    <cellStyle name="표준 3 2 2" xfId="34576"/>
    <cellStyle name="표준 3 2 3" xfId="34577"/>
    <cellStyle name="표준 3 2 3 2" xfId="34578"/>
    <cellStyle name="표준 3 3" xfId="34579"/>
    <cellStyle name="표준 3 3 2" xfId="34580"/>
    <cellStyle name="표준 3 4" xfId="34581"/>
    <cellStyle name="표준 3 4 2" xfId="34582"/>
    <cellStyle name="표준 3 5" xfId="34583"/>
    <cellStyle name="표준 3 5 2" xfId="34584"/>
    <cellStyle name="표준 3 6" xfId="34585"/>
    <cellStyle name="표준 3 6 2" xfId="34586"/>
    <cellStyle name="표준 3 7" xfId="34587"/>
    <cellStyle name="표준 3 7 2" xfId="34588"/>
    <cellStyle name="표준 3 8" xfId="34589"/>
    <cellStyle name="표준 3 8 2" xfId="34590"/>
    <cellStyle name="표준 3 9" xfId="34591"/>
    <cellStyle name="표준 3 9 2" xfId="34592"/>
    <cellStyle name="표준 3_김포한강5블럭 부속동-일위대가" xfId="34640"/>
    <cellStyle name="표준 30" xfId="34593"/>
    <cellStyle name="표준 30 2" xfId="34594"/>
    <cellStyle name="표준 30 2 2" xfId="34595"/>
    <cellStyle name="표준 30 3" xfId="34596"/>
    <cellStyle name="표준 30_김포한강5블럭 부속동-일위대가" xfId="34597"/>
    <cellStyle name="표준 31" xfId="34598"/>
    <cellStyle name="표준 31 2" xfId="34599"/>
    <cellStyle name="표준 31 2 2" xfId="34600"/>
    <cellStyle name="표준 31 3" xfId="34601"/>
    <cellStyle name="표준 31_김포한강5블럭 부속동-일위대가" xfId="34602"/>
    <cellStyle name="표준 32" xfId="34603"/>
    <cellStyle name="표준 32 2" xfId="34604"/>
    <cellStyle name="표준 32 2 2" xfId="34605"/>
    <cellStyle name="표준 32 3" xfId="34606"/>
    <cellStyle name="표준 32_김포한강5블럭 부속동-일위대가" xfId="34607"/>
    <cellStyle name="표준 33" xfId="34608"/>
    <cellStyle name="표준 33 2" xfId="34609"/>
    <cellStyle name="표준 33 2 2" xfId="34610"/>
    <cellStyle name="표준 33 3" xfId="34611"/>
    <cellStyle name="표준 33_김포한강5블럭 부속동-일위대가" xfId="34612"/>
    <cellStyle name="표준 34" xfId="34613"/>
    <cellStyle name="표준 34 2" xfId="34614"/>
    <cellStyle name="표준 34 2 2" xfId="34615"/>
    <cellStyle name="표준 34 3" xfId="34616"/>
    <cellStyle name="표준 34_김포한강5블럭 부속동-일위대가" xfId="34617"/>
    <cellStyle name="표준 35" xfId="34618"/>
    <cellStyle name="표준 35 2" xfId="34619"/>
    <cellStyle name="표준 35 2 2" xfId="34620"/>
    <cellStyle name="표준 35 3" xfId="34621"/>
    <cellStyle name="표준 35_김포한강5블럭 부속동-일위대가" xfId="34622"/>
    <cellStyle name="표준 36" xfId="34623"/>
    <cellStyle name="표준 36 2" xfId="34624"/>
    <cellStyle name="표준 36 2 2" xfId="34625"/>
    <cellStyle name="표준 36 3" xfId="34626"/>
    <cellStyle name="표준 36_김포한강5블럭 부속동-일위대가" xfId="34627"/>
    <cellStyle name="표준 37" xfId="34628"/>
    <cellStyle name="표준 37 2" xfId="34629"/>
    <cellStyle name="표준 37 2 2" xfId="34630"/>
    <cellStyle name="표준 37 3" xfId="34631"/>
    <cellStyle name="표준 37_김포한강5블럭 부속동-일위대가" xfId="34632"/>
    <cellStyle name="표준 38" xfId="34633"/>
    <cellStyle name="표준 38 2" xfId="34634"/>
    <cellStyle name="표준 39" xfId="34635"/>
    <cellStyle name="표준 39 2" xfId="34636"/>
    <cellStyle name="표준 39 2 2" xfId="34637"/>
    <cellStyle name="표준 39 3" xfId="34638"/>
    <cellStyle name="표준 39_김포한강5블럭 부속동-일위대가" xfId="34639"/>
    <cellStyle name="표준 4" xfId="34641"/>
    <cellStyle name="표준 4 10" xfId="34642"/>
    <cellStyle name="표준 4 11" xfId="34643"/>
    <cellStyle name="표준 4 12" xfId="34644"/>
    <cellStyle name="표준 4 12 2" xfId="34645"/>
    <cellStyle name="표준 4 13" xfId="34646"/>
    <cellStyle name="표준 4 13 2" xfId="34647"/>
    <cellStyle name="표준 4 14" xfId="34648"/>
    <cellStyle name="표준 4 14 2" xfId="34649"/>
    <cellStyle name="표준 4 15" xfId="34650"/>
    <cellStyle name="표준 4 15 2" xfId="34651"/>
    <cellStyle name="표준 4 16" xfId="34652"/>
    <cellStyle name="표준 4 16 2" xfId="34653"/>
    <cellStyle name="표준 4 17" xfId="34654"/>
    <cellStyle name="표준 4 17 2" xfId="34655"/>
    <cellStyle name="표준 4 18" xfId="34656"/>
    <cellStyle name="표준 4 18 2" xfId="34657"/>
    <cellStyle name="표준 4 2" xfId="34658"/>
    <cellStyle name="표준 4 2 2" xfId="34659"/>
    <cellStyle name="표준 4 2 2 2" xfId="34660"/>
    <cellStyle name="표준 4 3" xfId="34661"/>
    <cellStyle name="표준 4 4" xfId="34662"/>
    <cellStyle name="표준 4 5" xfId="34663"/>
    <cellStyle name="표준 4 6" xfId="34664"/>
    <cellStyle name="표준 4 7" xfId="34665"/>
    <cellStyle name="표준 4 8" xfId="34666"/>
    <cellStyle name="표준 4 9" xfId="34667"/>
    <cellStyle name="표준 4_김포한강5블럭 부속동-일위대가" xfId="34718"/>
    <cellStyle name="표준 40" xfId="34668"/>
    <cellStyle name="표준 40 2" xfId="34669"/>
    <cellStyle name="표준 40 2 2" xfId="34670"/>
    <cellStyle name="표준 40 3" xfId="34671"/>
    <cellStyle name="표준 40_김포한강5블럭 부속동-일위대가" xfId="34672"/>
    <cellStyle name="표준 41" xfId="34673"/>
    <cellStyle name="표준 41 2" xfId="34674"/>
    <cellStyle name="표준 41 2 2" xfId="34675"/>
    <cellStyle name="표준 41 3" xfId="34676"/>
    <cellStyle name="표준 41_김포한강5블럭 부속동-일위대가" xfId="34677"/>
    <cellStyle name="표준 42" xfId="34678"/>
    <cellStyle name="표준 42 2" xfId="34679"/>
    <cellStyle name="표준 42 2 2" xfId="34680"/>
    <cellStyle name="표준 42 3" xfId="34681"/>
    <cellStyle name="표준 42_김포한강5블럭 부속동-일위대가" xfId="34682"/>
    <cellStyle name="표준 43" xfId="34683"/>
    <cellStyle name="표준 43 2" xfId="34684"/>
    <cellStyle name="표준 43 2 2" xfId="34685"/>
    <cellStyle name="표준 43 3" xfId="34686"/>
    <cellStyle name="표준 43_김포한강5블럭 부속동-일위대가" xfId="34687"/>
    <cellStyle name="표준 44" xfId="34688"/>
    <cellStyle name="표준 44 2" xfId="34689"/>
    <cellStyle name="표준 44 2 2" xfId="34690"/>
    <cellStyle name="표준 44 3" xfId="34691"/>
    <cellStyle name="표준 44_김포한강5블럭 부속동-일위대가" xfId="34692"/>
    <cellStyle name="표준 45" xfId="34693"/>
    <cellStyle name="표준 45 2" xfId="34694"/>
    <cellStyle name="표준 45 2 2" xfId="34695"/>
    <cellStyle name="표준 45 3" xfId="34696"/>
    <cellStyle name="표준 45_김포한강5블럭 부속동-일위대가" xfId="34697"/>
    <cellStyle name="표준 46" xfId="34698"/>
    <cellStyle name="표준 46 2" xfId="34699"/>
    <cellStyle name="표준 46 2 2" xfId="34700"/>
    <cellStyle name="표준 46 3" xfId="34701"/>
    <cellStyle name="표준 46_김포한강5블럭 부속동-일위대가" xfId="34702"/>
    <cellStyle name="표준 47" xfId="34703"/>
    <cellStyle name="표준 47 2" xfId="34704"/>
    <cellStyle name="표준 47 2 2" xfId="34705"/>
    <cellStyle name="표준 47 3" xfId="34706"/>
    <cellStyle name="표준 47_김포한강5블럭 부속동-일위대가" xfId="34707"/>
    <cellStyle name="표준 48" xfId="34708"/>
    <cellStyle name="표준 48 2" xfId="34709"/>
    <cellStyle name="표준 48 2 2" xfId="34710"/>
    <cellStyle name="표준 48 3" xfId="34711"/>
    <cellStyle name="표준 48_김포한강5블럭 부속동-일위대가" xfId="34712"/>
    <cellStyle name="표준 49" xfId="34713"/>
    <cellStyle name="표준 49 2" xfId="34714"/>
    <cellStyle name="표준 49 2 2" xfId="34715"/>
    <cellStyle name="표준 49 3" xfId="34716"/>
    <cellStyle name="표준 49_김포한강5블럭 부속동-일위대가" xfId="34717"/>
    <cellStyle name="표준 5" xfId="34719"/>
    <cellStyle name="표준 5 10" xfId="34720"/>
    <cellStyle name="표준 5 10 2" xfId="34721"/>
    <cellStyle name="표준 5 11" xfId="34722"/>
    <cellStyle name="표준 5 11 2" xfId="34723"/>
    <cellStyle name="표준 5 12" xfId="34724"/>
    <cellStyle name="표준 5 12 2" xfId="34725"/>
    <cellStyle name="표준 5 13" xfId="34726"/>
    <cellStyle name="표준 5 13 2" xfId="34727"/>
    <cellStyle name="표준 5 2" xfId="34728"/>
    <cellStyle name="표준 5 2 2" xfId="34729"/>
    <cellStyle name="표준 5 2 2 2" xfId="34730"/>
    <cellStyle name="표준 5 2 3" xfId="34731"/>
    <cellStyle name="표준 5 2 3 2" xfId="34732"/>
    <cellStyle name="표준 5 2 4" xfId="34733"/>
    <cellStyle name="표준 5 3" xfId="34734"/>
    <cellStyle name="표준 5 3 2" xfId="34735"/>
    <cellStyle name="표준 5 4" xfId="34736"/>
    <cellStyle name="표준 5 4 2" xfId="34737"/>
    <cellStyle name="표준 5 5" xfId="34738"/>
    <cellStyle name="표준 5 5 2" xfId="34739"/>
    <cellStyle name="표준 5 6" xfId="34740"/>
    <cellStyle name="표준 5 6 2" xfId="34741"/>
    <cellStyle name="표준 5 7" xfId="34742"/>
    <cellStyle name="표준 5 7 2" xfId="34743"/>
    <cellStyle name="표준 5 8" xfId="34744"/>
    <cellStyle name="표준 5 8 2" xfId="34745"/>
    <cellStyle name="표준 5 9" xfId="34746"/>
    <cellStyle name="표준 5 9 2" xfId="34747"/>
    <cellStyle name="표준 5_김포한강5블럭 부속동-일위대가" xfId="34798"/>
    <cellStyle name="표준 50" xfId="34748"/>
    <cellStyle name="표준 50 2" xfId="34749"/>
    <cellStyle name="표준 50 2 2" xfId="34750"/>
    <cellStyle name="표준 50 3" xfId="34751"/>
    <cellStyle name="표준 50_김포한강5블럭 부속동-일위대가" xfId="34752"/>
    <cellStyle name="표준 51" xfId="34753"/>
    <cellStyle name="표준 51 2" xfId="34754"/>
    <cellStyle name="표준 51 2 2" xfId="34755"/>
    <cellStyle name="표준 51 3" xfId="34756"/>
    <cellStyle name="표준 51_김포한강5블럭 부속동-일위대가" xfId="34757"/>
    <cellStyle name="표준 52" xfId="34758"/>
    <cellStyle name="표준 52 2" xfId="34759"/>
    <cellStyle name="표준 52 2 2" xfId="34760"/>
    <cellStyle name="표준 52 3" xfId="34761"/>
    <cellStyle name="표준 52_김포한강5블럭 부속동-일위대가" xfId="34762"/>
    <cellStyle name="표준 53" xfId="34763"/>
    <cellStyle name="표준 53 2" xfId="34764"/>
    <cellStyle name="표준 53 2 2" xfId="34765"/>
    <cellStyle name="표준 53 3" xfId="34766"/>
    <cellStyle name="표준 53_김포한강5블럭 부속동-일위대가" xfId="34767"/>
    <cellStyle name="표준 54" xfId="34768"/>
    <cellStyle name="표준 54 2" xfId="34769"/>
    <cellStyle name="표준 54 2 2" xfId="34770"/>
    <cellStyle name="표준 54 3" xfId="34771"/>
    <cellStyle name="표준 54_김포한강5블럭 부속동-일위대가" xfId="34772"/>
    <cellStyle name="표준 55" xfId="34773"/>
    <cellStyle name="표준 55 2" xfId="34774"/>
    <cellStyle name="표준 55 2 2" xfId="34775"/>
    <cellStyle name="표준 55 3" xfId="34776"/>
    <cellStyle name="표준 55_김포한강5블럭 부속동-일위대가" xfId="34777"/>
    <cellStyle name="표준 56" xfId="34778"/>
    <cellStyle name="표준 56 2" xfId="34779"/>
    <cellStyle name="표준 56 2 2" xfId="34780"/>
    <cellStyle name="표준 56 3" xfId="34781"/>
    <cellStyle name="표준 56_김포한강5블럭 부속동-일위대가" xfId="34782"/>
    <cellStyle name="표준 57" xfId="34783"/>
    <cellStyle name="표준 57 2" xfId="34784"/>
    <cellStyle name="표준 57 2 2" xfId="34785"/>
    <cellStyle name="표준 57 3" xfId="34786"/>
    <cellStyle name="표준 57_김포한강5블럭 부속동-일위대가" xfId="34787"/>
    <cellStyle name="표준 58" xfId="34788"/>
    <cellStyle name="표준 58 2" xfId="34789"/>
    <cellStyle name="표준 58 2 2" xfId="34790"/>
    <cellStyle name="표준 58 3" xfId="34791"/>
    <cellStyle name="표준 58_김포한강5블럭 부속동-일위대가" xfId="34792"/>
    <cellStyle name="표준 59" xfId="34793"/>
    <cellStyle name="표준 59 2" xfId="34794"/>
    <cellStyle name="표준 59 2 2" xfId="34795"/>
    <cellStyle name="표준 59 3" xfId="34796"/>
    <cellStyle name="표준 59_김포한강5블럭 부속동-일위대가" xfId="34797"/>
    <cellStyle name="표준 6" xfId="34799"/>
    <cellStyle name="표준 6 10" xfId="34800"/>
    <cellStyle name="표준 6 10 2" xfId="34801"/>
    <cellStyle name="표준 6 11" xfId="34802"/>
    <cellStyle name="표준 6 11 2" xfId="34803"/>
    <cellStyle name="표준 6 12" xfId="34804"/>
    <cellStyle name="표준 6 12 2" xfId="34805"/>
    <cellStyle name="표준 6 13" xfId="34806"/>
    <cellStyle name="표준 6 13 2" xfId="34807"/>
    <cellStyle name="표준 6 14" xfId="34808"/>
    <cellStyle name="표준 6 2" xfId="34809"/>
    <cellStyle name="표준 6 2 2" xfId="34810"/>
    <cellStyle name="표준 6 2 2 2" xfId="34811"/>
    <cellStyle name="표준 6 2 3" xfId="34812"/>
    <cellStyle name="표준 6 3" xfId="34813"/>
    <cellStyle name="표준 6 3 2" xfId="34814"/>
    <cellStyle name="표준 6 4" xfId="34815"/>
    <cellStyle name="표준 6 4 2" xfId="34816"/>
    <cellStyle name="표준 6 5" xfId="34817"/>
    <cellStyle name="표준 6 5 2" xfId="34818"/>
    <cellStyle name="표준 6 6" xfId="34819"/>
    <cellStyle name="표준 6 6 2" xfId="34820"/>
    <cellStyle name="표준 6 7" xfId="34821"/>
    <cellStyle name="표준 6 7 2" xfId="34822"/>
    <cellStyle name="표준 6 8" xfId="34823"/>
    <cellStyle name="표준 6 8 2" xfId="34824"/>
    <cellStyle name="표준 6 9" xfId="34825"/>
    <cellStyle name="표준 6 9 2" xfId="34826"/>
    <cellStyle name="표준 6_김포한강5블럭 부속동-일위대가" xfId="34871"/>
    <cellStyle name="표준 60" xfId="34827"/>
    <cellStyle name="표준 60 2" xfId="34828"/>
    <cellStyle name="표준 60 2 2" xfId="34829"/>
    <cellStyle name="표준 60 3" xfId="34830"/>
    <cellStyle name="표준 60_김포한강5블럭 부속동-일위대가" xfId="34831"/>
    <cellStyle name="표준 61" xfId="34832"/>
    <cellStyle name="표준 61 2" xfId="34833"/>
    <cellStyle name="표준 61 2 2" xfId="34834"/>
    <cellStyle name="표준 61 3" xfId="34835"/>
    <cellStyle name="표준 61_김포한강5블럭 부속동-일위대가" xfId="34836"/>
    <cellStyle name="표준 62" xfId="34837"/>
    <cellStyle name="표준 62 2" xfId="34838"/>
    <cellStyle name="표준 62 2 2" xfId="34839"/>
    <cellStyle name="표준 62 3" xfId="34840"/>
    <cellStyle name="표준 62_김포한강5블럭 부속동-일위대가" xfId="34841"/>
    <cellStyle name="표준 63" xfId="34842"/>
    <cellStyle name="표준 63 2" xfId="34843"/>
    <cellStyle name="표준 64" xfId="34844"/>
    <cellStyle name="표준 64 2" xfId="34845"/>
    <cellStyle name="표준 64 2 2" xfId="34846"/>
    <cellStyle name="표준 64 3" xfId="34847"/>
    <cellStyle name="표준 64_김포한강5블럭 부속동-일위대가" xfId="34848"/>
    <cellStyle name="표준 65" xfId="34849"/>
    <cellStyle name="표준 65 2" xfId="34850"/>
    <cellStyle name="표준 65 2 2" xfId="34851"/>
    <cellStyle name="표준 65 3" xfId="34852"/>
    <cellStyle name="표준 65_김포한강5블럭 부속동-일위대가" xfId="34853"/>
    <cellStyle name="표준 66" xfId="34854"/>
    <cellStyle name="표준 66 2" xfId="34855"/>
    <cellStyle name="표준 66 2 2" xfId="34856"/>
    <cellStyle name="표준 66 3" xfId="34857"/>
    <cellStyle name="표준 66_김포한강5블럭 부속동-일위대가" xfId="34858"/>
    <cellStyle name="표준 67" xfId="34859"/>
    <cellStyle name="표준 67 2" xfId="34860"/>
    <cellStyle name="표준 67 2 2" xfId="34861"/>
    <cellStyle name="표준 67 3" xfId="34862"/>
    <cellStyle name="표준 67_김포한강5블럭 부속동-일위대가" xfId="34863"/>
    <cellStyle name="표준 68" xfId="34864"/>
    <cellStyle name="표준 68 2" xfId="34865"/>
    <cellStyle name="표준 68 2 2" xfId="34866"/>
    <cellStyle name="표준 68 3" xfId="34867"/>
    <cellStyle name="표준 68_김포한강5블럭 부속동-일위대가" xfId="34868"/>
    <cellStyle name="표준 69" xfId="34869"/>
    <cellStyle name="표준 69 2" xfId="34870"/>
    <cellStyle name="표준 7" xfId="34872"/>
    <cellStyle name="표준 7 10" xfId="34873"/>
    <cellStyle name="표준 7 10 2" xfId="34874"/>
    <cellStyle name="표준 7 11" xfId="34875"/>
    <cellStyle name="표준 7 11 2" xfId="34876"/>
    <cellStyle name="표준 7 12" xfId="34877"/>
    <cellStyle name="표준 7 12 2" xfId="34878"/>
    <cellStyle name="표준 7 13" xfId="34879"/>
    <cellStyle name="표준 7 13 2" xfId="34880"/>
    <cellStyle name="표준 7 14" xfId="34881"/>
    <cellStyle name="표준 7 14 2" xfId="34882"/>
    <cellStyle name="표준 7 15" xfId="34883"/>
    <cellStyle name="표준 7 15 2" xfId="34884"/>
    <cellStyle name="표준 7 16" xfId="34885"/>
    <cellStyle name="표준 7 16 2" xfId="34886"/>
    <cellStyle name="표준 7 17" xfId="34887"/>
    <cellStyle name="표준 7 17 2" xfId="34888"/>
    <cellStyle name="표준 7 18" xfId="34889"/>
    <cellStyle name="표준 7 18 10" xfId="34890"/>
    <cellStyle name="표준 7 18 10 2" xfId="34891"/>
    <cellStyle name="표준 7 18 11" xfId="34892"/>
    <cellStyle name="표준 7 18 11 2" xfId="34893"/>
    <cellStyle name="표준 7 18 12" xfId="34894"/>
    <cellStyle name="표준 7 18 12 2" xfId="34895"/>
    <cellStyle name="표준 7 18 13" xfId="34896"/>
    <cellStyle name="표준 7 18 2" xfId="34897"/>
    <cellStyle name="표준 7 18 2 2" xfId="34898"/>
    <cellStyle name="표준 7 18 3" xfId="34899"/>
    <cellStyle name="표준 7 18 3 2" xfId="34900"/>
    <cellStyle name="표준 7 18 4" xfId="34901"/>
    <cellStyle name="표준 7 18 4 2" xfId="34902"/>
    <cellStyle name="표준 7 18 5" xfId="34903"/>
    <cellStyle name="표준 7 18 5 2" xfId="34904"/>
    <cellStyle name="표준 7 18 6" xfId="34905"/>
    <cellStyle name="표준 7 18 6 2" xfId="34906"/>
    <cellStyle name="표준 7 18 7" xfId="34907"/>
    <cellStyle name="표준 7 18 7 2" xfId="34908"/>
    <cellStyle name="표준 7 18 8" xfId="34909"/>
    <cellStyle name="표준 7 18 8 2" xfId="34910"/>
    <cellStyle name="표준 7 18 9" xfId="34911"/>
    <cellStyle name="표준 7 18 9 2" xfId="34912"/>
    <cellStyle name="표준 7 19" xfId="34913"/>
    <cellStyle name="표준 7 19 10" xfId="34914"/>
    <cellStyle name="표준 7 19 10 2" xfId="34915"/>
    <cellStyle name="표준 7 19 11" xfId="34916"/>
    <cellStyle name="표준 7 19 11 2" xfId="34917"/>
    <cellStyle name="표준 7 19 12" xfId="34918"/>
    <cellStyle name="표준 7 19 12 2" xfId="34919"/>
    <cellStyle name="표준 7 19 13" xfId="34920"/>
    <cellStyle name="표준 7 19 2" xfId="34921"/>
    <cellStyle name="표준 7 19 2 2" xfId="34922"/>
    <cellStyle name="표준 7 19 3" xfId="34923"/>
    <cellStyle name="표준 7 19 3 2" xfId="34924"/>
    <cellStyle name="표준 7 19 4" xfId="34925"/>
    <cellStyle name="표준 7 19 4 2" xfId="34926"/>
    <cellStyle name="표준 7 19 5" xfId="34927"/>
    <cellStyle name="표준 7 19 5 2" xfId="34928"/>
    <cellStyle name="표준 7 19 6" xfId="34929"/>
    <cellStyle name="표준 7 19 6 2" xfId="34930"/>
    <cellStyle name="표준 7 19 7" xfId="34931"/>
    <cellStyle name="표준 7 19 7 2" xfId="34932"/>
    <cellStyle name="표준 7 19 8" xfId="34933"/>
    <cellStyle name="표준 7 19 8 2" xfId="34934"/>
    <cellStyle name="표준 7 19 9" xfId="34935"/>
    <cellStyle name="표준 7 19 9 2" xfId="34936"/>
    <cellStyle name="표준 7 2" xfId="34937"/>
    <cellStyle name="표준 7 2 10" xfId="34938"/>
    <cellStyle name="표준 7 2 10 2" xfId="34939"/>
    <cellStyle name="표준 7 2 11" xfId="34940"/>
    <cellStyle name="표준 7 2 11 2" xfId="34941"/>
    <cellStyle name="표준 7 2 12" xfId="34942"/>
    <cellStyle name="표준 7 2 12 2" xfId="34943"/>
    <cellStyle name="표준 7 2 13" xfId="34944"/>
    <cellStyle name="표준 7 2 13 2" xfId="34945"/>
    <cellStyle name="표준 7 2 14" xfId="34946"/>
    <cellStyle name="표준 7 2 14 2" xfId="34947"/>
    <cellStyle name="표준 7 2 15" xfId="34948"/>
    <cellStyle name="표준 7 2 16" xfId="34949"/>
    <cellStyle name="표준 7 2 17" xfId="34950"/>
    <cellStyle name="표준 7 2 18" xfId="34951"/>
    <cellStyle name="표준 7 2 2" xfId="34952"/>
    <cellStyle name="표준 7 2 2 10" xfId="34953"/>
    <cellStyle name="표준 7 2 2 10 2" xfId="34954"/>
    <cellStyle name="표준 7 2 2 11" xfId="34955"/>
    <cellStyle name="표준 7 2 2 11 2" xfId="34956"/>
    <cellStyle name="표준 7 2 2 12" xfId="34957"/>
    <cellStyle name="표준 7 2 2 12 2" xfId="34958"/>
    <cellStyle name="표준 7 2 2 13" xfId="34959"/>
    <cellStyle name="표준 7 2 2 2" xfId="34960"/>
    <cellStyle name="표준 7 2 2 2 2" xfId="34961"/>
    <cellStyle name="표준 7 2 2 3" xfId="34962"/>
    <cellStyle name="표준 7 2 2 3 2" xfId="34963"/>
    <cellStyle name="표준 7 2 2 4" xfId="34964"/>
    <cellStyle name="표준 7 2 2 4 2" xfId="34965"/>
    <cellStyle name="표준 7 2 2 5" xfId="34966"/>
    <cellStyle name="표준 7 2 2 5 2" xfId="34967"/>
    <cellStyle name="표준 7 2 2 6" xfId="34968"/>
    <cellStyle name="표준 7 2 2 6 2" xfId="34969"/>
    <cellStyle name="표준 7 2 2 7" xfId="34970"/>
    <cellStyle name="표준 7 2 2 7 2" xfId="34971"/>
    <cellStyle name="표준 7 2 2 8" xfId="34972"/>
    <cellStyle name="표준 7 2 2 8 2" xfId="34973"/>
    <cellStyle name="표준 7 2 2 9" xfId="34974"/>
    <cellStyle name="표준 7 2 2 9 2" xfId="34975"/>
    <cellStyle name="표준 7 2 3" xfId="34976"/>
    <cellStyle name="표준 7 2 3 2" xfId="34977"/>
    <cellStyle name="표준 7 2 4" xfId="34978"/>
    <cellStyle name="표준 7 2 4 2" xfId="34979"/>
    <cellStyle name="표준 7 2 5" xfId="34980"/>
    <cellStyle name="표준 7 2 5 2" xfId="34981"/>
    <cellStyle name="표준 7 2 6" xfId="34982"/>
    <cellStyle name="표준 7 2 6 2" xfId="34983"/>
    <cellStyle name="표준 7 2 7" xfId="34984"/>
    <cellStyle name="표준 7 2 7 2" xfId="34985"/>
    <cellStyle name="표준 7 2 8" xfId="34986"/>
    <cellStyle name="표준 7 2 8 2" xfId="34987"/>
    <cellStyle name="표준 7 2 9" xfId="34988"/>
    <cellStyle name="표준 7 2 9 2" xfId="34989"/>
    <cellStyle name="표준 7 20" xfId="34990"/>
    <cellStyle name="표준 7 20 10" xfId="34991"/>
    <cellStyle name="표준 7 20 10 2" xfId="34992"/>
    <cellStyle name="표준 7 20 11" xfId="34993"/>
    <cellStyle name="표준 7 20 11 2" xfId="34994"/>
    <cellStyle name="표준 7 20 12" xfId="34995"/>
    <cellStyle name="표준 7 20 12 2" xfId="34996"/>
    <cellStyle name="표준 7 20 13" xfId="34997"/>
    <cellStyle name="표준 7 20 2" xfId="34998"/>
    <cellStyle name="표준 7 20 2 2" xfId="34999"/>
    <cellStyle name="표준 7 20 3" xfId="35000"/>
    <cellStyle name="표준 7 20 3 2" xfId="35001"/>
    <cellStyle name="표준 7 20 4" xfId="35002"/>
    <cellStyle name="표준 7 20 4 2" xfId="35003"/>
    <cellStyle name="표준 7 20 5" xfId="35004"/>
    <cellStyle name="표준 7 20 5 2" xfId="35005"/>
    <cellStyle name="표준 7 20 6" xfId="35006"/>
    <cellStyle name="표준 7 20 6 2" xfId="35007"/>
    <cellStyle name="표준 7 20 7" xfId="35008"/>
    <cellStyle name="표준 7 20 7 2" xfId="35009"/>
    <cellStyle name="표준 7 20 8" xfId="35010"/>
    <cellStyle name="표준 7 20 8 2" xfId="35011"/>
    <cellStyle name="표준 7 20 9" xfId="35012"/>
    <cellStyle name="표준 7 20 9 2" xfId="35013"/>
    <cellStyle name="표준 7 21" xfId="35014"/>
    <cellStyle name="표준 7 21 10" xfId="35015"/>
    <cellStyle name="표준 7 21 10 2" xfId="35016"/>
    <cellStyle name="표준 7 21 11" xfId="35017"/>
    <cellStyle name="표준 7 21 11 2" xfId="35018"/>
    <cellStyle name="표준 7 21 12" xfId="35019"/>
    <cellStyle name="표준 7 21 12 2" xfId="35020"/>
    <cellStyle name="표준 7 21 13" xfId="35021"/>
    <cellStyle name="표준 7 21 2" xfId="35022"/>
    <cellStyle name="표준 7 21 2 2" xfId="35023"/>
    <cellStyle name="표준 7 21 3" xfId="35024"/>
    <cellStyle name="표준 7 21 3 2" xfId="35025"/>
    <cellStyle name="표준 7 21 4" xfId="35026"/>
    <cellStyle name="표준 7 21 4 2" xfId="35027"/>
    <cellStyle name="표준 7 21 5" xfId="35028"/>
    <cellStyle name="표준 7 21 5 2" xfId="35029"/>
    <cellStyle name="표준 7 21 6" xfId="35030"/>
    <cellStyle name="표준 7 21 6 2" xfId="35031"/>
    <cellStyle name="표준 7 21 7" xfId="35032"/>
    <cellStyle name="표준 7 21 7 2" xfId="35033"/>
    <cellStyle name="표준 7 21 8" xfId="35034"/>
    <cellStyle name="표준 7 21 8 2" xfId="35035"/>
    <cellStyle name="표준 7 21 9" xfId="35036"/>
    <cellStyle name="표준 7 21 9 2" xfId="35037"/>
    <cellStyle name="표준 7 22" xfId="35038"/>
    <cellStyle name="표준 7 22 10" xfId="35039"/>
    <cellStyle name="표준 7 22 10 2" xfId="35040"/>
    <cellStyle name="표준 7 22 11" xfId="35041"/>
    <cellStyle name="표준 7 22 11 2" xfId="35042"/>
    <cellStyle name="표준 7 22 12" xfId="35043"/>
    <cellStyle name="표준 7 22 12 2" xfId="35044"/>
    <cellStyle name="표준 7 22 13" xfId="35045"/>
    <cellStyle name="표준 7 22 2" xfId="35046"/>
    <cellStyle name="표준 7 22 2 2" xfId="35047"/>
    <cellStyle name="표준 7 22 3" xfId="35048"/>
    <cellStyle name="표준 7 22 3 2" xfId="35049"/>
    <cellStyle name="표준 7 22 4" xfId="35050"/>
    <cellStyle name="표준 7 22 4 2" xfId="35051"/>
    <cellStyle name="표준 7 22 5" xfId="35052"/>
    <cellStyle name="표준 7 22 5 2" xfId="35053"/>
    <cellStyle name="표준 7 22 6" xfId="35054"/>
    <cellStyle name="표준 7 22 6 2" xfId="35055"/>
    <cellStyle name="표준 7 22 7" xfId="35056"/>
    <cellStyle name="표준 7 22 7 2" xfId="35057"/>
    <cellStyle name="표준 7 22 8" xfId="35058"/>
    <cellStyle name="표준 7 22 8 2" xfId="35059"/>
    <cellStyle name="표준 7 22 9" xfId="35060"/>
    <cellStyle name="표준 7 22 9 2" xfId="35061"/>
    <cellStyle name="표준 7 23" xfId="35062"/>
    <cellStyle name="표준 7 23 10" xfId="35063"/>
    <cellStyle name="표준 7 23 10 2" xfId="35064"/>
    <cellStyle name="표준 7 23 11" xfId="35065"/>
    <cellStyle name="표준 7 23 11 2" xfId="35066"/>
    <cellStyle name="표준 7 23 12" xfId="35067"/>
    <cellStyle name="표준 7 23 12 2" xfId="35068"/>
    <cellStyle name="표준 7 23 13" xfId="35069"/>
    <cellStyle name="표준 7 23 2" xfId="35070"/>
    <cellStyle name="표준 7 23 2 2" xfId="35071"/>
    <cellStyle name="표준 7 23 3" xfId="35072"/>
    <cellStyle name="표준 7 23 3 2" xfId="35073"/>
    <cellStyle name="표준 7 23 4" xfId="35074"/>
    <cellStyle name="표준 7 23 4 2" xfId="35075"/>
    <cellStyle name="표준 7 23 5" xfId="35076"/>
    <cellStyle name="표준 7 23 5 2" xfId="35077"/>
    <cellStyle name="표준 7 23 6" xfId="35078"/>
    <cellStyle name="표준 7 23 6 2" xfId="35079"/>
    <cellStyle name="표준 7 23 7" xfId="35080"/>
    <cellStyle name="표준 7 23 7 2" xfId="35081"/>
    <cellStyle name="표준 7 23 8" xfId="35082"/>
    <cellStyle name="표준 7 23 8 2" xfId="35083"/>
    <cellStyle name="표준 7 23 9" xfId="35084"/>
    <cellStyle name="표준 7 23 9 2" xfId="35085"/>
    <cellStyle name="표준 7 24" xfId="35086"/>
    <cellStyle name="표준 7 24 10" xfId="35087"/>
    <cellStyle name="표준 7 24 10 2" xfId="35088"/>
    <cellStyle name="표준 7 24 11" xfId="35089"/>
    <cellStyle name="표준 7 24 11 2" xfId="35090"/>
    <cellStyle name="표준 7 24 12" xfId="35091"/>
    <cellStyle name="표준 7 24 12 2" xfId="35092"/>
    <cellStyle name="표준 7 24 13" xfId="35093"/>
    <cellStyle name="표준 7 24 2" xfId="35094"/>
    <cellStyle name="표준 7 24 2 2" xfId="35095"/>
    <cellStyle name="표준 7 24 3" xfId="35096"/>
    <cellStyle name="표준 7 24 3 2" xfId="35097"/>
    <cellStyle name="표준 7 24 4" xfId="35098"/>
    <cellStyle name="표준 7 24 4 2" xfId="35099"/>
    <cellStyle name="표준 7 24 5" xfId="35100"/>
    <cellStyle name="표준 7 24 5 2" xfId="35101"/>
    <cellStyle name="표준 7 24 6" xfId="35102"/>
    <cellStyle name="표준 7 24 6 2" xfId="35103"/>
    <cellStyle name="표준 7 24 7" xfId="35104"/>
    <cellStyle name="표준 7 24 7 2" xfId="35105"/>
    <cellStyle name="표준 7 24 8" xfId="35106"/>
    <cellStyle name="표준 7 24 8 2" xfId="35107"/>
    <cellStyle name="표준 7 24 9" xfId="35108"/>
    <cellStyle name="표준 7 24 9 2" xfId="35109"/>
    <cellStyle name="표준 7 25" xfId="35110"/>
    <cellStyle name="표준 7 25 10" xfId="35111"/>
    <cellStyle name="표준 7 25 10 2" xfId="35112"/>
    <cellStyle name="표준 7 25 11" xfId="35113"/>
    <cellStyle name="표준 7 25 11 2" xfId="35114"/>
    <cellStyle name="표준 7 25 12" xfId="35115"/>
    <cellStyle name="표준 7 25 12 2" xfId="35116"/>
    <cellStyle name="표준 7 25 13" xfId="35117"/>
    <cellStyle name="표준 7 25 2" xfId="35118"/>
    <cellStyle name="표준 7 25 2 2" xfId="35119"/>
    <cellStyle name="표준 7 25 3" xfId="35120"/>
    <cellStyle name="표준 7 25 3 2" xfId="35121"/>
    <cellStyle name="표준 7 25 4" xfId="35122"/>
    <cellStyle name="표준 7 25 4 2" xfId="35123"/>
    <cellStyle name="표준 7 25 5" xfId="35124"/>
    <cellStyle name="표준 7 25 5 2" xfId="35125"/>
    <cellStyle name="표준 7 25 6" xfId="35126"/>
    <cellStyle name="표준 7 25 6 2" xfId="35127"/>
    <cellStyle name="표준 7 25 7" xfId="35128"/>
    <cellStyle name="표준 7 25 7 2" xfId="35129"/>
    <cellStyle name="표준 7 25 8" xfId="35130"/>
    <cellStyle name="표준 7 25 8 2" xfId="35131"/>
    <cellStyle name="표준 7 25 9" xfId="35132"/>
    <cellStyle name="표준 7 25 9 2" xfId="35133"/>
    <cellStyle name="표준 7 26" xfId="35134"/>
    <cellStyle name="표준 7 26 10" xfId="35135"/>
    <cellStyle name="표준 7 26 10 2" xfId="35136"/>
    <cellStyle name="표준 7 26 11" xfId="35137"/>
    <cellStyle name="표준 7 26 11 2" xfId="35138"/>
    <cellStyle name="표준 7 26 12" xfId="35139"/>
    <cellStyle name="표준 7 26 12 2" xfId="35140"/>
    <cellStyle name="표준 7 26 13" xfId="35141"/>
    <cellStyle name="표준 7 26 2" xfId="35142"/>
    <cellStyle name="표준 7 26 2 2" xfId="35143"/>
    <cellStyle name="표준 7 26 3" xfId="35144"/>
    <cellStyle name="표준 7 26 3 2" xfId="35145"/>
    <cellStyle name="표준 7 26 4" xfId="35146"/>
    <cellStyle name="표준 7 26 4 2" xfId="35147"/>
    <cellStyle name="표준 7 26 5" xfId="35148"/>
    <cellStyle name="표준 7 26 5 2" xfId="35149"/>
    <cellStyle name="표준 7 26 6" xfId="35150"/>
    <cellStyle name="표준 7 26 6 2" xfId="35151"/>
    <cellStyle name="표준 7 26 7" xfId="35152"/>
    <cellStyle name="표준 7 26 7 2" xfId="35153"/>
    <cellStyle name="표준 7 26 8" xfId="35154"/>
    <cellStyle name="표준 7 26 8 2" xfId="35155"/>
    <cellStyle name="표준 7 26 9" xfId="35156"/>
    <cellStyle name="표준 7 26 9 2" xfId="35157"/>
    <cellStyle name="표준 7 27" xfId="35158"/>
    <cellStyle name="표준 7 27 10" xfId="35159"/>
    <cellStyle name="표준 7 27 10 2" xfId="35160"/>
    <cellStyle name="표준 7 27 11" xfId="35161"/>
    <cellStyle name="표준 7 27 11 2" xfId="35162"/>
    <cellStyle name="표준 7 27 12" xfId="35163"/>
    <cellStyle name="표준 7 27 12 2" xfId="35164"/>
    <cellStyle name="표준 7 27 13" xfId="35165"/>
    <cellStyle name="표준 7 27 2" xfId="35166"/>
    <cellStyle name="표준 7 27 2 2" xfId="35167"/>
    <cellStyle name="표준 7 27 3" xfId="35168"/>
    <cellStyle name="표준 7 27 3 2" xfId="35169"/>
    <cellStyle name="표준 7 27 4" xfId="35170"/>
    <cellStyle name="표준 7 27 4 2" xfId="35171"/>
    <cellStyle name="표준 7 27 5" xfId="35172"/>
    <cellStyle name="표준 7 27 5 2" xfId="35173"/>
    <cellStyle name="표준 7 27 6" xfId="35174"/>
    <cellStyle name="표준 7 27 6 2" xfId="35175"/>
    <cellStyle name="표준 7 27 7" xfId="35176"/>
    <cellStyle name="표준 7 27 7 2" xfId="35177"/>
    <cellStyle name="표준 7 27 8" xfId="35178"/>
    <cellStyle name="표준 7 27 8 2" xfId="35179"/>
    <cellStyle name="표준 7 27 9" xfId="35180"/>
    <cellStyle name="표준 7 27 9 2" xfId="35181"/>
    <cellStyle name="표준 7 28" xfId="35182"/>
    <cellStyle name="표준 7 29" xfId="35183"/>
    <cellStyle name="표준 7 29 2" xfId="35184"/>
    <cellStyle name="표준 7 3" xfId="35185"/>
    <cellStyle name="표준 7 3 10" xfId="35186"/>
    <cellStyle name="표준 7 3 10 2" xfId="35187"/>
    <cellStyle name="표준 7 3 11" xfId="35188"/>
    <cellStyle name="표준 7 3 11 2" xfId="35189"/>
    <cellStyle name="표준 7 3 12" xfId="35190"/>
    <cellStyle name="표준 7 3 12 2" xfId="35191"/>
    <cellStyle name="표준 7 3 13" xfId="35192"/>
    <cellStyle name="표준 7 3 13 2" xfId="35193"/>
    <cellStyle name="표준 7 3 14" xfId="35194"/>
    <cellStyle name="표준 7 3 2" xfId="35195"/>
    <cellStyle name="표준 7 3 2 10" xfId="35196"/>
    <cellStyle name="표준 7 3 2 10 2" xfId="35197"/>
    <cellStyle name="표준 7 3 2 11" xfId="35198"/>
    <cellStyle name="표준 7 3 2 11 2" xfId="35199"/>
    <cellStyle name="표준 7 3 2 12" xfId="35200"/>
    <cellStyle name="표준 7 3 2 12 2" xfId="35201"/>
    <cellStyle name="표준 7 3 2 13" xfId="35202"/>
    <cellStyle name="표준 7 3 2 2" xfId="35203"/>
    <cellStyle name="표준 7 3 2 2 2" xfId="35204"/>
    <cellStyle name="표준 7 3 2 3" xfId="35205"/>
    <cellStyle name="표준 7 3 2 3 2" xfId="35206"/>
    <cellStyle name="표준 7 3 2 4" xfId="35207"/>
    <cellStyle name="표준 7 3 2 4 2" xfId="35208"/>
    <cellStyle name="표준 7 3 2 5" xfId="35209"/>
    <cellStyle name="표준 7 3 2 5 2" xfId="35210"/>
    <cellStyle name="표준 7 3 2 6" xfId="35211"/>
    <cellStyle name="표준 7 3 2 6 2" xfId="35212"/>
    <cellStyle name="표준 7 3 2 7" xfId="35213"/>
    <cellStyle name="표준 7 3 2 7 2" xfId="35214"/>
    <cellStyle name="표준 7 3 2 8" xfId="35215"/>
    <cellStyle name="표준 7 3 2 8 2" xfId="35216"/>
    <cellStyle name="표준 7 3 2 9" xfId="35217"/>
    <cellStyle name="표준 7 3 2 9 2" xfId="35218"/>
    <cellStyle name="표준 7 3 3" xfId="35219"/>
    <cellStyle name="표준 7 3 3 2" xfId="35220"/>
    <cellStyle name="표준 7 3 4" xfId="35221"/>
    <cellStyle name="표준 7 3 4 2" xfId="35222"/>
    <cellStyle name="표준 7 3 5" xfId="35223"/>
    <cellStyle name="표준 7 3 5 2" xfId="35224"/>
    <cellStyle name="표준 7 3 6" xfId="35225"/>
    <cellStyle name="표준 7 3 6 2" xfId="35226"/>
    <cellStyle name="표준 7 3 7" xfId="35227"/>
    <cellStyle name="표준 7 3 7 2" xfId="35228"/>
    <cellStyle name="표준 7 3 8" xfId="35229"/>
    <cellStyle name="표준 7 3 8 2" xfId="35230"/>
    <cellStyle name="표준 7 3 9" xfId="35231"/>
    <cellStyle name="표준 7 3 9 2" xfId="35232"/>
    <cellStyle name="표준 7 30" xfId="35233"/>
    <cellStyle name="표준 7 30 2" xfId="35234"/>
    <cellStyle name="표준 7 31" xfId="35235"/>
    <cellStyle name="표준 7 31 2" xfId="35236"/>
    <cellStyle name="표준 7 32" xfId="35237"/>
    <cellStyle name="표준 7 32 2" xfId="35238"/>
    <cellStyle name="표준 7 33" xfId="35239"/>
    <cellStyle name="표준 7 33 2" xfId="35240"/>
    <cellStyle name="표준 7 34" xfId="35241"/>
    <cellStyle name="표준 7 34 2" xfId="35242"/>
    <cellStyle name="표준 7 35" xfId="35243"/>
    <cellStyle name="표준 7 35 2" xfId="35244"/>
    <cellStyle name="표준 7 36" xfId="35245"/>
    <cellStyle name="표준 7 36 2" xfId="35246"/>
    <cellStyle name="표준 7 37" xfId="35247"/>
    <cellStyle name="표준 7 37 2" xfId="35248"/>
    <cellStyle name="표준 7 38" xfId="35249"/>
    <cellStyle name="표준 7 38 2" xfId="35250"/>
    <cellStyle name="표준 7 39" xfId="35251"/>
    <cellStyle name="표준 7 39 2" xfId="35252"/>
    <cellStyle name="표준 7 4" xfId="35253"/>
    <cellStyle name="표준 7 4 10" xfId="35254"/>
    <cellStyle name="표준 7 4 10 2" xfId="35255"/>
    <cellStyle name="표준 7 4 11" xfId="35256"/>
    <cellStyle name="표준 7 4 11 2" xfId="35257"/>
    <cellStyle name="표준 7 4 12" xfId="35258"/>
    <cellStyle name="표준 7 4 12 2" xfId="35259"/>
    <cellStyle name="표준 7 4 13" xfId="35260"/>
    <cellStyle name="표준 7 4 13 2" xfId="35261"/>
    <cellStyle name="표준 7 4 14" xfId="35262"/>
    <cellStyle name="표준 7 4 2" xfId="35263"/>
    <cellStyle name="표준 7 4 2 10" xfId="35264"/>
    <cellStyle name="표준 7 4 2 10 2" xfId="35265"/>
    <cellStyle name="표준 7 4 2 11" xfId="35266"/>
    <cellStyle name="표준 7 4 2 11 2" xfId="35267"/>
    <cellStyle name="표준 7 4 2 12" xfId="35268"/>
    <cellStyle name="표준 7 4 2 12 2" xfId="35269"/>
    <cellStyle name="표준 7 4 2 13" xfId="35270"/>
    <cellStyle name="표준 7 4 2 2" xfId="35271"/>
    <cellStyle name="표준 7 4 2 2 2" xfId="35272"/>
    <cellStyle name="표준 7 4 2 3" xfId="35273"/>
    <cellStyle name="표준 7 4 2 3 2" xfId="35274"/>
    <cellStyle name="표준 7 4 2 4" xfId="35275"/>
    <cellStyle name="표준 7 4 2 4 2" xfId="35276"/>
    <cellStyle name="표준 7 4 2 5" xfId="35277"/>
    <cellStyle name="표준 7 4 2 5 2" xfId="35278"/>
    <cellStyle name="표준 7 4 2 6" xfId="35279"/>
    <cellStyle name="표준 7 4 2 6 2" xfId="35280"/>
    <cellStyle name="표준 7 4 2 7" xfId="35281"/>
    <cellStyle name="표준 7 4 2 7 2" xfId="35282"/>
    <cellStyle name="표준 7 4 2 8" xfId="35283"/>
    <cellStyle name="표준 7 4 2 8 2" xfId="35284"/>
    <cellStyle name="표준 7 4 2 9" xfId="35285"/>
    <cellStyle name="표준 7 4 2 9 2" xfId="35286"/>
    <cellStyle name="표준 7 4 3" xfId="35287"/>
    <cellStyle name="표준 7 4 3 2" xfId="35288"/>
    <cellStyle name="표준 7 4 4" xfId="35289"/>
    <cellStyle name="표준 7 4 4 2" xfId="35290"/>
    <cellStyle name="표준 7 4 5" xfId="35291"/>
    <cellStyle name="표준 7 4 5 2" xfId="35292"/>
    <cellStyle name="표준 7 4 6" xfId="35293"/>
    <cellStyle name="표준 7 4 6 2" xfId="35294"/>
    <cellStyle name="표준 7 4 7" xfId="35295"/>
    <cellStyle name="표준 7 4 7 2" xfId="35296"/>
    <cellStyle name="표준 7 4 8" xfId="35297"/>
    <cellStyle name="표준 7 4 8 2" xfId="35298"/>
    <cellStyle name="표준 7 4 9" xfId="35299"/>
    <cellStyle name="표준 7 4 9 2" xfId="35300"/>
    <cellStyle name="표준 7 5" xfId="35301"/>
    <cellStyle name="표준 7 5 10" xfId="35302"/>
    <cellStyle name="표준 7 5 10 2" xfId="35303"/>
    <cellStyle name="표준 7 5 11" xfId="35304"/>
    <cellStyle name="표준 7 5 11 2" xfId="35305"/>
    <cellStyle name="표준 7 5 12" xfId="35306"/>
    <cellStyle name="표준 7 5 12 2" xfId="35307"/>
    <cellStyle name="표준 7 5 13" xfId="35308"/>
    <cellStyle name="표준 7 5 13 2" xfId="35309"/>
    <cellStyle name="표준 7 5 14" xfId="35310"/>
    <cellStyle name="표준 7 5 2" xfId="35311"/>
    <cellStyle name="표준 7 5 2 10" xfId="35312"/>
    <cellStyle name="표준 7 5 2 10 2" xfId="35313"/>
    <cellStyle name="표준 7 5 2 11" xfId="35314"/>
    <cellStyle name="표준 7 5 2 11 2" xfId="35315"/>
    <cellStyle name="표준 7 5 2 12" xfId="35316"/>
    <cellStyle name="표준 7 5 2 12 2" xfId="35317"/>
    <cellStyle name="표준 7 5 2 13" xfId="35318"/>
    <cellStyle name="표준 7 5 2 2" xfId="35319"/>
    <cellStyle name="표준 7 5 2 2 2" xfId="35320"/>
    <cellStyle name="표준 7 5 2 3" xfId="35321"/>
    <cellStyle name="표준 7 5 2 3 2" xfId="35322"/>
    <cellStyle name="표준 7 5 2 4" xfId="35323"/>
    <cellStyle name="표준 7 5 2 4 2" xfId="35324"/>
    <cellStyle name="표준 7 5 2 5" xfId="35325"/>
    <cellStyle name="표준 7 5 2 5 2" xfId="35326"/>
    <cellStyle name="표준 7 5 2 6" xfId="35327"/>
    <cellStyle name="표준 7 5 2 6 2" xfId="35328"/>
    <cellStyle name="표준 7 5 2 7" xfId="35329"/>
    <cellStyle name="표준 7 5 2 7 2" xfId="35330"/>
    <cellStyle name="표준 7 5 2 8" xfId="35331"/>
    <cellStyle name="표준 7 5 2 8 2" xfId="35332"/>
    <cellStyle name="표준 7 5 2 9" xfId="35333"/>
    <cellStyle name="표준 7 5 2 9 2" xfId="35334"/>
    <cellStyle name="표준 7 5 3" xfId="35335"/>
    <cellStyle name="표준 7 5 3 2" xfId="35336"/>
    <cellStyle name="표준 7 5 4" xfId="35337"/>
    <cellStyle name="표준 7 5 4 2" xfId="35338"/>
    <cellStyle name="표준 7 5 5" xfId="35339"/>
    <cellStyle name="표준 7 5 5 2" xfId="35340"/>
    <cellStyle name="표준 7 5 6" xfId="35341"/>
    <cellStyle name="표준 7 5 6 2" xfId="35342"/>
    <cellStyle name="표준 7 5 7" xfId="35343"/>
    <cellStyle name="표준 7 5 7 2" xfId="35344"/>
    <cellStyle name="표준 7 5 8" xfId="35345"/>
    <cellStyle name="표준 7 5 8 2" xfId="35346"/>
    <cellStyle name="표준 7 5 9" xfId="35347"/>
    <cellStyle name="표준 7 5 9 2" xfId="35348"/>
    <cellStyle name="표준 7 6" xfId="35349"/>
    <cellStyle name="표준 7 6 10" xfId="35350"/>
    <cellStyle name="표준 7 6 10 2" xfId="35351"/>
    <cellStyle name="표준 7 6 11" xfId="35352"/>
    <cellStyle name="표준 7 6 11 2" xfId="35353"/>
    <cellStyle name="표준 7 6 12" xfId="35354"/>
    <cellStyle name="표준 7 6 12 2" xfId="35355"/>
    <cellStyle name="표준 7 6 13" xfId="35356"/>
    <cellStyle name="표준 7 6 13 2" xfId="35357"/>
    <cellStyle name="표준 7 6 14" xfId="35358"/>
    <cellStyle name="표준 7 6 2" xfId="35359"/>
    <cellStyle name="표준 7 6 2 10" xfId="35360"/>
    <cellStyle name="표준 7 6 2 10 2" xfId="35361"/>
    <cellStyle name="표준 7 6 2 11" xfId="35362"/>
    <cellStyle name="표준 7 6 2 11 2" xfId="35363"/>
    <cellStyle name="표준 7 6 2 12" xfId="35364"/>
    <cellStyle name="표준 7 6 2 12 2" xfId="35365"/>
    <cellStyle name="표준 7 6 2 13" xfId="35366"/>
    <cellStyle name="표준 7 6 2 2" xfId="35367"/>
    <cellStyle name="표준 7 6 2 2 2" xfId="35368"/>
    <cellStyle name="표준 7 6 2 3" xfId="35369"/>
    <cellStyle name="표준 7 6 2 3 2" xfId="35370"/>
    <cellStyle name="표준 7 6 2 4" xfId="35371"/>
    <cellStyle name="표준 7 6 2 4 2" xfId="35372"/>
    <cellStyle name="표준 7 6 2 5" xfId="35373"/>
    <cellStyle name="표준 7 6 2 5 2" xfId="35374"/>
    <cellStyle name="표준 7 6 2 6" xfId="35375"/>
    <cellStyle name="표준 7 6 2 6 2" xfId="35376"/>
    <cellStyle name="표준 7 6 2 7" xfId="35377"/>
    <cellStyle name="표준 7 6 2 7 2" xfId="35378"/>
    <cellStyle name="표준 7 6 2 8" xfId="35379"/>
    <cellStyle name="표준 7 6 2 8 2" xfId="35380"/>
    <cellStyle name="표준 7 6 2 9" xfId="35381"/>
    <cellStyle name="표준 7 6 2 9 2" xfId="35382"/>
    <cellStyle name="표준 7 6 3" xfId="35383"/>
    <cellStyle name="표준 7 6 3 2" xfId="35384"/>
    <cellStyle name="표준 7 6 4" xfId="35385"/>
    <cellStyle name="표준 7 6 4 2" xfId="35386"/>
    <cellStyle name="표준 7 6 5" xfId="35387"/>
    <cellStyle name="표준 7 6 5 2" xfId="35388"/>
    <cellStyle name="표준 7 6 6" xfId="35389"/>
    <cellStyle name="표준 7 6 6 2" xfId="35390"/>
    <cellStyle name="표준 7 6 7" xfId="35391"/>
    <cellStyle name="표준 7 6 7 2" xfId="35392"/>
    <cellStyle name="표준 7 6 8" xfId="35393"/>
    <cellStyle name="표준 7 6 8 2" xfId="35394"/>
    <cellStyle name="표준 7 6 9" xfId="35395"/>
    <cellStyle name="표준 7 6 9 2" xfId="35396"/>
    <cellStyle name="표준 7 7" xfId="35397"/>
    <cellStyle name="표준 7 7 10" xfId="35398"/>
    <cellStyle name="표준 7 7 10 2" xfId="35399"/>
    <cellStyle name="표준 7 7 11" xfId="35400"/>
    <cellStyle name="표준 7 7 11 2" xfId="35401"/>
    <cellStyle name="표준 7 7 12" xfId="35402"/>
    <cellStyle name="표준 7 7 12 2" xfId="35403"/>
    <cellStyle name="표준 7 7 13" xfId="35404"/>
    <cellStyle name="표준 7 7 13 2" xfId="35405"/>
    <cellStyle name="표준 7 7 14" xfId="35406"/>
    <cellStyle name="표준 7 7 2" xfId="35407"/>
    <cellStyle name="표준 7 7 2 10" xfId="35408"/>
    <cellStyle name="표준 7 7 2 10 2" xfId="35409"/>
    <cellStyle name="표준 7 7 2 11" xfId="35410"/>
    <cellStyle name="표준 7 7 2 11 2" xfId="35411"/>
    <cellStyle name="표준 7 7 2 12" xfId="35412"/>
    <cellStyle name="표준 7 7 2 12 2" xfId="35413"/>
    <cellStyle name="표준 7 7 2 13" xfId="35414"/>
    <cellStyle name="표준 7 7 2 2" xfId="35415"/>
    <cellStyle name="표준 7 7 2 2 2" xfId="35416"/>
    <cellStyle name="표준 7 7 2 3" xfId="35417"/>
    <cellStyle name="표준 7 7 2 3 2" xfId="35418"/>
    <cellStyle name="표준 7 7 2 4" xfId="35419"/>
    <cellStyle name="표준 7 7 2 4 2" xfId="35420"/>
    <cellStyle name="표준 7 7 2 5" xfId="35421"/>
    <cellStyle name="표준 7 7 2 5 2" xfId="35422"/>
    <cellStyle name="표준 7 7 2 6" xfId="35423"/>
    <cellStyle name="표준 7 7 2 6 2" xfId="35424"/>
    <cellStyle name="표준 7 7 2 7" xfId="35425"/>
    <cellStyle name="표준 7 7 2 7 2" xfId="35426"/>
    <cellStyle name="표준 7 7 2 8" xfId="35427"/>
    <cellStyle name="표준 7 7 2 8 2" xfId="35428"/>
    <cellStyle name="표준 7 7 2 9" xfId="35429"/>
    <cellStyle name="표준 7 7 2 9 2" xfId="35430"/>
    <cellStyle name="표준 7 7 3" xfId="35431"/>
    <cellStyle name="표준 7 7 3 2" xfId="35432"/>
    <cellStyle name="표준 7 7 4" xfId="35433"/>
    <cellStyle name="표준 7 7 4 2" xfId="35434"/>
    <cellStyle name="표준 7 7 5" xfId="35435"/>
    <cellStyle name="표준 7 7 5 2" xfId="35436"/>
    <cellStyle name="표준 7 7 6" xfId="35437"/>
    <cellStyle name="표준 7 7 6 2" xfId="35438"/>
    <cellStyle name="표준 7 7 7" xfId="35439"/>
    <cellStyle name="표준 7 7 7 2" xfId="35440"/>
    <cellStyle name="표준 7 7 8" xfId="35441"/>
    <cellStyle name="표준 7 7 8 2" xfId="35442"/>
    <cellStyle name="표준 7 7 9" xfId="35443"/>
    <cellStyle name="표준 7 7 9 2" xfId="35444"/>
    <cellStyle name="표준 7 8" xfId="35445"/>
    <cellStyle name="표준 7 8 2" xfId="35446"/>
    <cellStyle name="표준 7 9" xfId="35447"/>
    <cellStyle name="표준 7 9 2" xfId="35448"/>
    <cellStyle name="표준 7_김포한강5블럭 부속동-일위대가" xfId="35462"/>
    <cellStyle name="표준 70" xfId="35449"/>
    <cellStyle name="표준 70 2" xfId="35450"/>
    <cellStyle name="표준 71" xfId="35451"/>
    <cellStyle name="표준 71 2" xfId="35452"/>
    <cellStyle name="표준 72" xfId="35453"/>
    <cellStyle name="표준 73" xfId="35454"/>
    <cellStyle name="표준 74" xfId="35455"/>
    <cellStyle name="표준 74 2" xfId="35456"/>
    <cellStyle name="표준 75" xfId="35457"/>
    <cellStyle name="표준 76" xfId="35458"/>
    <cellStyle name="표준 77" xfId="35459"/>
    <cellStyle name="표준 78" xfId="35460"/>
    <cellStyle name="표준 79" xfId="35461"/>
    <cellStyle name="표준 8" xfId="35463"/>
    <cellStyle name="표준 8 2" xfId="35464"/>
    <cellStyle name="표준 8 2 2" xfId="35465"/>
    <cellStyle name="표준 8 2 2 2" xfId="35466"/>
    <cellStyle name="표준 8 3" xfId="35467"/>
    <cellStyle name="표준 8 3 2" xfId="35468"/>
    <cellStyle name="표준 8_김포한강5블럭 부속동-일위대가" xfId="35479"/>
    <cellStyle name="표준 80" xfId="35469"/>
    <cellStyle name="표준 81" xfId="35470"/>
    <cellStyle name="표준 82" xfId="35471"/>
    <cellStyle name="표준 83" xfId="35472"/>
    <cellStyle name="표준 84" xfId="35473"/>
    <cellStyle name="표준 85" xfId="35474"/>
    <cellStyle name="표준 86" xfId="35475"/>
    <cellStyle name="표준 87" xfId="35476"/>
    <cellStyle name="표준 88" xfId="35477"/>
    <cellStyle name="표준 89" xfId="35478"/>
    <cellStyle name="표준 9" xfId="35480"/>
    <cellStyle name="표준 9 2" xfId="35481"/>
    <cellStyle name="표준 9 2 2" xfId="35482"/>
    <cellStyle name="표준 9 2 2 2" xfId="35483"/>
    <cellStyle name="표준 9 2 3" xfId="35484"/>
    <cellStyle name="표준 9 3" xfId="35485"/>
    <cellStyle name="표준 9 3 2" xfId="35486"/>
    <cellStyle name="표준 9_김포한강5블럭 부속동-일위대가" xfId="35498"/>
    <cellStyle name="표준 90" xfId="35487"/>
    <cellStyle name="표준 91" xfId="35488"/>
    <cellStyle name="표준 92" xfId="35489"/>
    <cellStyle name="표준 93" xfId="35490"/>
    <cellStyle name="표준 94" xfId="35491"/>
    <cellStyle name="표준 95" xfId="35492"/>
    <cellStyle name="표준 96" xfId="35493"/>
    <cellStyle name="표준 97" xfId="35494"/>
    <cellStyle name="표준 98" xfId="35495"/>
    <cellStyle name="표준 99" xfId="35496"/>
    <cellStyle name="표준 99 2" xfId="35497"/>
    <cellStyle name="표준[Sheet1 (2)_공사일지" xfId="35505"/>
    <cellStyle name="標準_ ｹ-ﾌﾞﾙ物量(B)" xfId="31155"/>
    <cellStyle name="표준1" xfId="35499"/>
    <cellStyle name="표준1 2" xfId="35500"/>
    <cellStyle name="표준1 2 2" xfId="35501"/>
    <cellStyle name="표준1 3" xfId="35502"/>
    <cellStyle name="표준2" xfId="35503"/>
    <cellStyle name="표준2 2" xfId="35504"/>
    <cellStyle name="표준laroux_4_제어1(변)_토목변경(대남)" xfId="35506"/>
    <cellStyle name="표쥰" xfId="35507"/>
    <cellStyle name="표쥰 2" xfId="35508"/>
    <cellStyle name="푤롸貫[0]_撚젬목駕 " xfId="35509"/>
    <cellStyle name="푤롸貫_撚젬목駕 " xfId="35510"/>
    <cellStyle name="피벗 테이블 보고서로 항목 끌기" xfId="35511"/>
    <cellStyle name="피벗 테이블 보고서로 항목 끌기 2" xfId="35512"/>
    <cellStyle name="하이퍼링크" xfId="1" builtinId="8"/>
    <cellStyle name="하이퍼링크 2" xfId="35513"/>
    <cellStyle name="하이퍼링크 2 2" xfId="35514"/>
    <cellStyle name="하이퍼링크 3" xfId="35515"/>
    <cellStyle name="하이퍼링크 3 2" xfId="35516"/>
    <cellStyle name="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70"/>
    <cellStyle name="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3" xfId="31171"/>
    <cellStyle name="합계" xfId="35517"/>
    <cellStyle name="합계 2" xfId="35518"/>
    <cellStyle name="합산" xfId="35519"/>
    <cellStyle name="합산 10" xfId="35520"/>
    <cellStyle name="합산 10 2" xfId="35521"/>
    <cellStyle name="합산 11" xfId="35522"/>
    <cellStyle name="합산 11 2" xfId="35523"/>
    <cellStyle name="합산 12" xfId="35524"/>
    <cellStyle name="합산 2" xfId="35525"/>
    <cellStyle name="합산 2 2" xfId="35526"/>
    <cellStyle name="합산 3" xfId="35527"/>
    <cellStyle name="합산 3 2" xfId="35528"/>
    <cellStyle name="합산 4" xfId="35529"/>
    <cellStyle name="합산 4 2" xfId="35530"/>
    <cellStyle name="합산 5" xfId="35531"/>
    <cellStyle name="합산 5 2" xfId="35532"/>
    <cellStyle name="합산 6" xfId="35533"/>
    <cellStyle name="합산 6 2" xfId="35534"/>
    <cellStyle name="합산 7" xfId="35535"/>
    <cellStyle name="합산 7 2" xfId="35536"/>
    <cellStyle name="합산 8" xfId="35537"/>
    <cellStyle name="합산 8 2" xfId="35538"/>
    <cellStyle name="합산 9" xfId="35539"/>
    <cellStyle name="합산 9 2" xfId="35540"/>
    <cellStyle name="桁区切り [0.00]_laroux" xfId="31151"/>
    <cellStyle name="桁区切り_laroux" xfId="31152"/>
    <cellStyle name="항목" xfId="35541"/>
    <cellStyle name="항목 2" xfId="35542"/>
    <cellStyle name="해동양식" xfId="35543"/>
    <cellStyle name="해동양식 2" xfId="35544"/>
    <cellStyle name="행 영역" xfId="35545"/>
    <cellStyle name="행 영역 2" xfId="35546"/>
    <cellStyle name="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56"/>
    <cellStyle name="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4" xfId="31157"/>
    <cellStyle name="爀椀琀攀" xfId="31158"/>
    <cellStyle name="爀椀琀攀 2" xfId="31159"/>
    <cellStyle name="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xfId="31160"/>
    <cellStyle name="爀椀琀攀爀椀愀倀爀椀渀琀开䄀爀攀愀倀爀椀渀琀开吀椀琀氀攀猀刀攀挀漀爀搀攀爀䐀愀琀愀开䘀漀爀洀䄀甀琀漀开䄀挀琀椀瘀愀琀攀䄀甀琀漀开䐀攀愀挀琀椀瘀愀琀攀匀栀攀攀琀开吀椀琀氀攀开䘀椀氀琀攀爀䐀愀琀愀戀愀猀攀㄀圀䬀㼀 匀攀琀琀椀渀最猀䰀漀愀搀开䌀栀愀爀琀开圀渀搀䄀䘀䔀䴀漀渀漀猀瀀愀挀攀䜀爀椀搀氀椀渀攀猀倀爀漀搀甀挀琀 䤀䐀㨀 䰀⃅᠀⃂였铅₲가꧀郆Ⓡ壁ᣎ살⃉䨀䃅⃇萀Ҽ⫈⸀⨀吀ꢺ겺¹€耀熽壈⃅䴀椀挀爀漀猀漀昀琀 伀昀昀椀挀攀 䔀砀挀攀氀䐀⃇观惕⃕᠀⃂였뗅죂⺲ 碲₹儀꧇⃆Ѐ峕ꢭ䒷⃇䂲⃇쐀⃖ 25" xfId="31161"/>
    <cellStyle name="화폐기호" xfId="35547"/>
    <cellStyle name="화폐기호 10" xfId="35548"/>
    <cellStyle name="화폐기호 10 2" xfId="35549"/>
    <cellStyle name="화폐기호 11" xfId="35550"/>
    <cellStyle name="화폐기호 11 2" xfId="35551"/>
    <cellStyle name="화폐기호 12" xfId="35552"/>
    <cellStyle name="화폐기호 12 2" xfId="35553"/>
    <cellStyle name="화폐기호 13" xfId="35554"/>
    <cellStyle name="화폐기호 13 2" xfId="35555"/>
    <cellStyle name="화폐기호 14" xfId="35556"/>
    <cellStyle name="화폐기호 14 2" xfId="35557"/>
    <cellStyle name="화폐기호 15" xfId="35558"/>
    <cellStyle name="화폐기호 15 2" xfId="35559"/>
    <cellStyle name="화폐기호 16" xfId="35560"/>
    <cellStyle name="화폐기호 16 2" xfId="35561"/>
    <cellStyle name="화폐기호 17" xfId="35562"/>
    <cellStyle name="화폐기호 17 2" xfId="35563"/>
    <cellStyle name="화폐기호 18" xfId="35564"/>
    <cellStyle name="화폐기호 2" xfId="35565"/>
    <cellStyle name="화폐기호 2 2" xfId="35566"/>
    <cellStyle name="화폐기호 2 2 2" xfId="35567"/>
    <cellStyle name="화폐기호 2 3" xfId="35568"/>
    <cellStyle name="화폐기호 3" xfId="35569"/>
    <cellStyle name="화폐기호 3 2" xfId="35570"/>
    <cellStyle name="화폐기호 4" xfId="35571"/>
    <cellStyle name="화폐기호 4 2" xfId="35572"/>
    <cellStyle name="화폐기호 5" xfId="35573"/>
    <cellStyle name="화폐기호 5 2" xfId="35574"/>
    <cellStyle name="화폐기호 6" xfId="35575"/>
    <cellStyle name="화폐기호 6 2" xfId="35576"/>
    <cellStyle name="화폐기호 7" xfId="35577"/>
    <cellStyle name="화폐기호 7 2" xfId="35578"/>
    <cellStyle name="화폐기호 8" xfId="35579"/>
    <cellStyle name="화폐기호 8 2" xfId="35580"/>
    <cellStyle name="화폐기호 9" xfId="35581"/>
    <cellStyle name="화폐기호 9 2" xfId="35582"/>
    <cellStyle name="화폐기호0" xfId="35583"/>
    <cellStyle name="화폐기호0 10" xfId="35584"/>
    <cellStyle name="화폐기호0 10 2" xfId="35585"/>
    <cellStyle name="화폐기호0 11" xfId="35586"/>
    <cellStyle name="화폐기호0 11 2" xfId="35587"/>
    <cellStyle name="화폐기호0 12" xfId="35588"/>
    <cellStyle name="화폐기호0 12 2" xfId="35589"/>
    <cellStyle name="화폐기호0 13" xfId="35590"/>
    <cellStyle name="화폐기호0 13 2" xfId="35591"/>
    <cellStyle name="화폐기호0 14" xfId="35592"/>
    <cellStyle name="화폐기호0 14 2" xfId="35593"/>
    <cellStyle name="화폐기호0 15" xfId="35594"/>
    <cellStyle name="화폐기호0 15 2" xfId="35595"/>
    <cellStyle name="화폐기호0 16" xfId="35596"/>
    <cellStyle name="화폐기호0 16 2" xfId="35597"/>
    <cellStyle name="화폐기호0 17" xfId="35598"/>
    <cellStyle name="화폐기호0 17 2" xfId="35599"/>
    <cellStyle name="화폐기호0 18" xfId="35600"/>
    <cellStyle name="화폐기호0 18 2" xfId="35601"/>
    <cellStyle name="화폐기호0 19" xfId="35602"/>
    <cellStyle name="화폐기호0 2" xfId="35603"/>
    <cellStyle name="화폐기호0 2 2" xfId="35604"/>
    <cellStyle name="화폐기호0 2 2 2" xfId="35605"/>
    <cellStyle name="화폐기호0 2 3" xfId="35606"/>
    <cellStyle name="화폐기호0 3" xfId="35607"/>
    <cellStyle name="화폐기호0 3 2" xfId="35608"/>
    <cellStyle name="화폐기호0 4" xfId="35609"/>
    <cellStyle name="화폐기호0 4 2" xfId="35610"/>
    <cellStyle name="화폐기호0 5" xfId="35611"/>
    <cellStyle name="화폐기호0 5 2" xfId="35612"/>
    <cellStyle name="화폐기호0 6" xfId="35613"/>
    <cellStyle name="화폐기호0 6 2" xfId="35614"/>
    <cellStyle name="화폐기호0 7" xfId="35615"/>
    <cellStyle name="화폐기호0 7 2" xfId="35616"/>
    <cellStyle name="화폐기호0 8" xfId="35617"/>
    <cellStyle name="화폐기호0 8 2" xfId="35618"/>
    <cellStyle name="화폐기호0 9" xfId="35619"/>
    <cellStyle name="화폐기호0 9 2" xfId="35620"/>
    <cellStyle name="ㅣ" xfId="31031"/>
    <cellStyle name="ㅣ 2" xfId="31032"/>
  </cellStyles>
  <dxfs count="1">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20000"/>
      <rgbColor rgb="FF008000"/>
      <rgbColor rgb="FF000080"/>
      <rgbColor rgb="FFCCB3B2"/>
      <rgbColor rgb="FF800080"/>
      <rgbColor rgb="FF008080"/>
      <rgbColor rgb="FFC0C0C0"/>
      <rgbColor rgb="FF808065"/>
      <rgbColor rgb="FF9999FF"/>
      <rgbColor rgb="FFBEBEBE"/>
      <rgbColor rgb="FFFFFFCC"/>
      <rgbColor rgb="FFCCFFFF"/>
      <rgbColor rgb="FF660066"/>
      <rgbColor rgb="FFFF8080"/>
      <rgbColor rgb="FF0066CC"/>
      <rgbColor rgb="FFCCCCFF"/>
      <rgbColor rgb="FFFDEADA"/>
      <rgbColor rgb="FFDDD9C3"/>
      <rgbColor rgb="FFCCFF99"/>
      <rgbColor rgb="FFA6D9FF"/>
      <rgbColor rgb="FFF2DCDB"/>
      <rgbColor rgb="FFE0E0E0"/>
      <rgbColor rgb="FFC2D3E8"/>
      <rgbColor rgb="FFF0F0F0"/>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E6E0EC"/>
      <rgbColor rgb="FFC6D9F1"/>
      <rgbColor rgb="FF993300"/>
      <rgbColor rgb="FFFFC7CE"/>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73feel@naver.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WVO33"/>
  <sheetViews>
    <sheetView view="pageBreakPreview" zoomScaleNormal="100" workbookViewId="0">
      <selection activeCell="O21" sqref="O21"/>
    </sheetView>
  </sheetViews>
  <sheetFormatPr defaultColWidth="7.77734375" defaultRowHeight="13.5"/>
  <cols>
    <col min="1" max="2" width="6.109375" style="5" customWidth="1"/>
    <col min="3" max="4" width="19.109375" style="5" customWidth="1"/>
    <col min="5" max="5" width="33.44140625" style="5" customWidth="1"/>
    <col min="6" max="6" width="12.109375" style="5" customWidth="1"/>
    <col min="7" max="9" width="8.33203125" style="5" hidden="1" customWidth="1"/>
    <col min="10" max="10" width="0.6640625" style="5" hidden="1" customWidth="1"/>
    <col min="11" max="11" width="20.44140625" style="5" customWidth="1"/>
    <col min="12" max="12" width="10.109375" style="6" customWidth="1"/>
    <col min="13" max="13" width="9.77734375" style="6" customWidth="1"/>
    <col min="14" max="14" width="15.77734375" style="5" customWidth="1"/>
    <col min="15" max="15" width="17.5546875" style="5" customWidth="1"/>
    <col min="16" max="16" width="20.5546875" style="5" customWidth="1"/>
    <col min="17" max="253" width="7.77734375" style="5"/>
    <col min="254" max="255" width="5.109375" style="5" customWidth="1"/>
    <col min="256" max="256" width="18.109375" style="5" customWidth="1"/>
    <col min="257" max="257" width="18.33203125" style="5" customWidth="1"/>
    <col min="258" max="258" width="33.44140625" style="5" customWidth="1"/>
    <col min="259" max="259" width="12.109375" style="5" customWidth="1"/>
    <col min="260" max="263" width="13" style="5" hidden="1" customWidth="1"/>
    <col min="264" max="264" width="17.44140625" style="5" customWidth="1"/>
    <col min="265" max="265" width="10.109375" style="5" customWidth="1"/>
    <col min="266" max="266" width="16.6640625" style="5" customWidth="1"/>
    <col min="267" max="267" width="13.88671875" style="5" customWidth="1"/>
    <col min="268" max="269" width="7.77734375" style="5"/>
    <col min="270" max="270" width="9.33203125" style="5" customWidth="1"/>
    <col min="271" max="509" width="7.77734375" style="5"/>
    <col min="510" max="511" width="5.109375" style="5" customWidth="1"/>
    <col min="512" max="512" width="18.109375" style="5" customWidth="1"/>
    <col min="513" max="513" width="18.33203125" style="5" customWidth="1"/>
    <col min="514" max="514" width="33.44140625" style="5" customWidth="1"/>
    <col min="515" max="515" width="12.109375" style="5" customWidth="1"/>
    <col min="516" max="519" width="13" style="5" hidden="1" customWidth="1"/>
    <col min="520" max="520" width="17.44140625" style="5" customWidth="1"/>
    <col min="521" max="521" width="10.109375" style="5" customWidth="1"/>
    <col min="522" max="522" width="16.6640625" style="5" customWidth="1"/>
    <col min="523" max="523" width="13.88671875" style="5" customWidth="1"/>
    <col min="524" max="525" width="7.77734375" style="5"/>
    <col min="526" max="526" width="9.33203125" style="5" customWidth="1"/>
    <col min="527" max="765" width="7.77734375" style="5"/>
    <col min="766" max="767" width="5.109375" style="5" customWidth="1"/>
    <col min="768" max="768" width="18.109375" style="5" customWidth="1"/>
    <col min="769" max="769" width="18.33203125" style="5" customWidth="1"/>
    <col min="770" max="770" width="33.44140625" style="5" customWidth="1"/>
    <col min="771" max="771" width="12.109375" style="5" customWidth="1"/>
    <col min="772" max="775" width="13" style="5" hidden="1" customWidth="1"/>
    <col min="776" max="776" width="17.44140625" style="5" customWidth="1"/>
    <col min="777" max="777" width="10.109375" style="5" customWidth="1"/>
    <col min="778" max="778" width="16.6640625" style="5" customWidth="1"/>
    <col min="779" max="779" width="13.88671875" style="5" customWidth="1"/>
    <col min="780" max="781" width="7.77734375" style="5"/>
    <col min="782" max="782" width="9.33203125" style="5" customWidth="1"/>
    <col min="783" max="1021" width="7.77734375" style="5"/>
    <col min="1022" max="1023" width="5.109375" style="5" customWidth="1"/>
    <col min="1024" max="1024" width="18.109375" style="5" customWidth="1"/>
    <col min="1025" max="1025" width="18.33203125" style="5" customWidth="1"/>
    <col min="1026" max="1026" width="33.44140625" style="5" customWidth="1"/>
    <col min="1027" max="1027" width="12.109375" style="5" customWidth="1"/>
    <col min="1028" max="1031" width="13" style="5" hidden="1" customWidth="1"/>
    <col min="1032" max="1032" width="17.44140625" style="5" customWidth="1"/>
    <col min="1033" max="1033" width="10.109375" style="5" customWidth="1"/>
    <col min="1034" max="1034" width="16.6640625" style="5" customWidth="1"/>
    <col min="1035" max="1035" width="13.88671875" style="5" customWidth="1"/>
    <col min="1036" max="1037" width="7.77734375" style="5"/>
    <col min="1038" max="1038" width="9.33203125" style="5" customWidth="1"/>
    <col min="1039" max="1277" width="7.77734375" style="5"/>
    <col min="1278" max="1279" width="5.109375" style="5" customWidth="1"/>
    <col min="1280" max="1280" width="18.109375" style="5" customWidth="1"/>
    <col min="1281" max="1281" width="18.33203125" style="5" customWidth="1"/>
    <col min="1282" max="1282" width="33.44140625" style="5" customWidth="1"/>
    <col min="1283" max="1283" width="12.109375" style="5" customWidth="1"/>
    <col min="1284" max="1287" width="13" style="5" hidden="1" customWidth="1"/>
    <col min="1288" max="1288" width="17.44140625" style="5" customWidth="1"/>
    <col min="1289" max="1289" width="10.109375" style="5" customWidth="1"/>
    <col min="1290" max="1290" width="16.6640625" style="5" customWidth="1"/>
    <col min="1291" max="1291" width="13.88671875" style="5" customWidth="1"/>
    <col min="1292" max="1293" width="7.77734375" style="5"/>
    <col min="1294" max="1294" width="9.33203125" style="5" customWidth="1"/>
    <col min="1295" max="1533" width="7.77734375" style="5"/>
    <col min="1534" max="1535" width="5.109375" style="5" customWidth="1"/>
    <col min="1536" max="1536" width="18.109375" style="5" customWidth="1"/>
    <col min="1537" max="1537" width="18.33203125" style="5" customWidth="1"/>
    <col min="1538" max="1538" width="33.44140625" style="5" customWidth="1"/>
    <col min="1539" max="1539" width="12.109375" style="5" customWidth="1"/>
    <col min="1540" max="1543" width="13" style="5" hidden="1" customWidth="1"/>
    <col min="1544" max="1544" width="17.44140625" style="5" customWidth="1"/>
    <col min="1545" max="1545" width="10.109375" style="5" customWidth="1"/>
    <col min="1546" max="1546" width="16.6640625" style="5" customWidth="1"/>
    <col min="1547" max="1547" width="13.88671875" style="5" customWidth="1"/>
    <col min="1548" max="1549" width="7.77734375" style="5"/>
    <col min="1550" max="1550" width="9.33203125" style="5" customWidth="1"/>
    <col min="1551" max="1789" width="7.77734375" style="5"/>
    <col min="1790" max="1791" width="5.109375" style="5" customWidth="1"/>
    <col min="1792" max="1792" width="18.109375" style="5" customWidth="1"/>
    <col min="1793" max="1793" width="18.33203125" style="5" customWidth="1"/>
    <col min="1794" max="1794" width="33.44140625" style="5" customWidth="1"/>
    <col min="1795" max="1795" width="12.109375" style="5" customWidth="1"/>
    <col min="1796" max="1799" width="13" style="5" hidden="1" customWidth="1"/>
    <col min="1800" max="1800" width="17.44140625" style="5" customWidth="1"/>
    <col min="1801" max="1801" width="10.109375" style="5" customWidth="1"/>
    <col min="1802" max="1802" width="16.6640625" style="5" customWidth="1"/>
    <col min="1803" max="1803" width="13.88671875" style="5" customWidth="1"/>
    <col min="1804" max="1805" width="7.77734375" style="5"/>
    <col min="1806" max="1806" width="9.33203125" style="5" customWidth="1"/>
    <col min="1807" max="2045" width="7.77734375" style="5"/>
    <col min="2046" max="2047" width="5.109375" style="5" customWidth="1"/>
    <col min="2048" max="2048" width="18.109375" style="5" customWidth="1"/>
    <col min="2049" max="2049" width="18.33203125" style="5" customWidth="1"/>
    <col min="2050" max="2050" width="33.44140625" style="5" customWidth="1"/>
    <col min="2051" max="2051" width="12.109375" style="5" customWidth="1"/>
    <col min="2052" max="2055" width="13" style="5" hidden="1" customWidth="1"/>
    <col min="2056" max="2056" width="17.44140625" style="5" customWidth="1"/>
    <col min="2057" max="2057" width="10.109375" style="5" customWidth="1"/>
    <col min="2058" max="2058" width="16.6640625" style="5" customWidth="1"/>
    <col min="2059" max="2059" width="13.88671875" style="5" customWidth="1"/>
    <col min="2060" max="2061" width="7.77734375" style="5"/>
    <col min="2062" max="2062" width="9.33203125" style="5" customWidth="1"/>
    <col min="2063" max="2301" width="7.77734375" style="5"/>
    <col min="2302" max="2303" width="5.109375" style="5" customWidth="1"/>
    <col min="2304" max="2304" width="18.109375" style="5" customWidth="1"/>
    <col min="2305" max="2305" width="18.33203125" style="5" customWidth="1"/>
    <col min="2306" max="2306" width="33.44140625" style="5" customWidth="1"/>
    <col min="2307" max="2307" width="12.109375" style="5" customWidth="1"/>
    <col min="2308" max="2311" width="13" style="5" hidden="1" customWidth="1"/>
    <col min="2312" max="2312" width="17.44140625" style="5" customWidth="1"/>
    <col min="2313" max="2313" width="10.109375" style="5" customWidth="1"/>
    <col min="2314" max="2314" width="16.6640625" style="5" customWidth="1"/>
    <col min="2315" max="2315" width="13.88671875" style="5" customWidth="1"/>
    <col min="2316" max="2317" width="7.77734375" style="5"/>
    <col min="2318" max="2318" width="9.33203125" style="5" customWidth="1"/>
    <col min="2319" max="2557" width="7.77734375" style="5"/>
    <col min="2558" max="2559" width="5.109375" style="5" customWidth="1"/>
    <col min="2560" max="2560" width="18.109375" style="5" customWidth="1"/>
    <col min="2561" max="2561" width="18.33203125" style="5" customWidth="1"/>
    <col min="2562" max="2562" width="33.44140625" style="5" customWidth="1"/>
    <col min="2563" max="2563" width="12.109375" style="5" customWidth="1"/>
    <col min="2564" max="2567" width="13" style="5" hidden="1" customWidth="1"/>
    <col min="2568" max="2568" width="17.44140625" style="5" customWidth="1"/>
    <col min="2569" max="2569" width="10.109375" style="5" customWidth="1"/>
    <col min="2570" max="2570" width="16.6640625" style="5" customWidth="1"/>
    <col min="2571" max="2571" width="13.88671875" style="5" customWidth="1"/>
    <col min="2572" max="2573" width="7.77734375" style="5"/>
    <col min="2574" max="2574" width="9.33203125" style="5" customWidth="1"/>
    <col min="2575" max="2813" width="7.77734375" style="5"/>
    <col min="2814" max="2815" width="5.109375" style="5" customWidth="1"/>
    <col min="2816" max="2816" width="18.109375" style="5" customWidth="1"/>
    <col min="2817" max="2817" width="18.33203125" style="5" customWidth="1"/>
    <col min="2818" max="2818" width="33.44140625" style="5" customWidth="1"/>
    <col min="2819" max="2819" width="12.109375" style="5" customWidth="1"/>
    <col min="2820" max="2823" width="13" style="5" hidden="1" customWidth="1"/>
    <col min="2824" max="2824" width="17.44140625" style="5" customWidth="1"/>
    <col min="2825" max="2825" width="10.109375" style="5" customWidth="1"/>
    <col min="2826" max="2826" width="16.6640625" style="5" customWidth="1"/>
    <col min="2827" max="2827" width="13.88671875" style="5" customWidth="1"/>
    <col min="2828" max="2829" width="7.77734375" style="5"/>
    <col min="2830" max="2830" width="9.33203125" style="5" customWidth="1"/>
    <col min="2831" max="3069" width="7.77734375" style="5"/>
    <col min="3070" max="3071" width="5.109375" style="5" customWidth="1"/>
    <col min="3072" max="3072" width="18.109375" style="5" customWidth="1"/>
    <col min="3073" max="3073" width="18.33203125" style="5" customWidth="1"/>
    <col min="3074" max="3074" width="33.44140625" style="5" customWidth="1"/>
    <col min="3075" max="3075" width="12.109375" style="5" customWidth="1"/>
    <col min="3076" max="3079" width="13" style="5" hidden="1" customWidth="1"/>
    <col min="3080" max="3080" width="17.44140625" style="5" customWidth="1"/>
    <col min="3081" max="3081" width="10.109375" style="5" customWidth="1"/>
    <col min="3082" max="3082" width="16.6640625" style="5" customWidth="1"/>
    <col min="3083" max="3083" width="13.88671875" style="5" customWidth="1"/>
    <col min="3084" max="3085" width="7.77734375" style="5"/>
    <col min="3086" max="3086" width="9.33203125" style="5" customWidth="1"/>
    <col min="3087" max="3325" width="7.77734375" style="5"/>
    <col min="3326" max="3327" width="5.109375" style="5" customWidth="1"/>
    <col min="3328" max="3328" width="18.109375" style="5" customWidth="1"/>
    <col min="3329" max="3329" width="18.33203125" style="5" customWidth="1"/>
    <col min="3330" max="3330" width="33.44140625" style="5" customWidth="1"/>
    <col min="3331" max="3331" width="12.109375" style="5" customWidth="1"/>
    <col min="3332" max="3335" width="13" style="5" hidden="1" customWidth="1"/>
    <col min="3336" max="3336" width="17.44140625" style="5" customWidth="1"/>
    <col min="3337" max="3337" width="10.109375" style="5" customWidth="1"/>
    <col min="3338" max="3338" width="16.6640625" style="5" customWidth="1"/>
    <col min="3339" max="3339" width="13.88671875" style="5" customWidth="1"/>
    <col min="3340" max="3341" width="7.77734375" style="5"/>
    <col min="3342" max="3342" width="9.33203125" style="5" customWidth="1"/>
    <col min="3343" max="3581" width="7.77734375" style="5"/>
    <col min="3582" max="3583" width="5.109375" style="5" customWidth="1"/>
    <col min="3584" max="3584" width="18.109375" style="5" customWidth="1"/>
    <col min="3585" max="3585" width="18.33203125" style="5" customWidth="1"/>
    <col min="3586" max="3586" width="33.44140625" style="5" customWidth="1"/>
    <col min="3587" max="3587" width="12.109375" style="5" customWidth="1"/>
    <col min="3588" max="3591" width="13" style="5" hidden="1" customWidth="1"/>
    <col min="3592" max="3592" width="17.44140625" style="5" customWidth="1"/>
    <col min="3593" max="3593" width="10.109375" style="5" customWidth="1"/>
    <col min="3594" max="3594" width="16.6640625" style="5" customWidth="1"/>
    <col min="3595" max="3595" width="13.88671875" style="5" customWidth="1"/>
    <col min="3596" max="3597" width="7.77734375" style="5"/>
    <col min="3598" max="3598" width="9.33203125" style="5" customWidth="1"/>
    <col min="3599" max="3837" width="7.77734375" style="5"/>
    <col min="3838" max="3839" width="5.109375" style="5" customWidth="1"/>
    <col min="3840" max="3840" width="18.109375" style="5" customWidth="1"/>
    <col min="3841" max="3841" width="18.33203125" style="5" customWidth="1"/>
    <col min="3842" max="3842" width="33.44140625" style="5" customWidth="1"/>
    <col min="3843" max="3843" width="12.109375" style="5" customWidth="1"/>
    <col min="3844" max="3847" width="13" style="5" hidden="1" customWidth="1"/>
    <col min="3848" max="3848" width="17.44140625" style="5" customWidth="1"/>
    <col min="3849" max="3849" width="10.109375" style="5" customWidth="1"/>
    <col min="3850" max="3850" width="16.6640625" style="5" customWidth="1"/>
    <col min="3851" max="3851" width="13.88671875" style="5" customWidth="1"/>
    <col min="3852" max="3853" width="7.77734375" style="5"/>
    <col min="3854" max="3854" width="9.33203125" style="5" customWidth="1"/>
    <col min="3855" max="4093" width="7.77734375" style="5"/>
    <col min="4094" max="4095" width="5.109375" style="5" customWidth="1"/>
    <col min="4096" max="4096" width="18.109375" style="5" customWidth="1"/>
    <col min="4097" max="4097" width="18.33203125" style="5" customWidth="1"/>
    <col min="4098" max="4098" width="33.44140625" style="5" customWidth="1"/>
    <col min="4099" max="4099" width="12.109375" style="5" customWidth="1"/>
    <col min="4100" max="4103" width="13" style="5" hidden="1" customWidth="1"/>
    <col min="4104" max="4104" width="17.44140625" style="5" customWidth="1"/>
    <col min="4105" max="4105" width="10.109375" style="5" customWidth="1"/>
    <col min="4106" max="4106" width="16.6640625" style="5" customWidth="1"/>
    <col min="4107" max="4107" width="13.88671875" style="5" customWidth="1"/>
    <col min="4108" max="4109" width="7.77734375" style="5"/>
    <col min="4110" max="4110" width="9.33203125" style="5" customWidth="1"/>
    <col min="4111" max="4349" width="7.77734375" style="5"/>
    <col min="4350" max="4351" width="5.109375" style="5" customWidth="1"/>
    <col min="4352" max="4352" width="18.109375" style="5" customWidth="1"/>
    <col min="4353" max="4353" width="18.33203125" style="5" customWidth="1"/>
    <col min="4354" max="4354" width="33.44140625" style="5" customWidth="1"/>
    <col min="4355" max="4355" width="12.109375" style="5" customWidth="1"/>
    <col min="4356" max="4359" width="13" style="5" hidden="1" customWidth="1"/>
    <col min="4360" max="4360" width="17.44140625" style="5" customWidth="1"/>
    <col min="4361" max="4361" width="10.109375" style="5" customWidth="1"/>
    <col min="4362" max="4362" width="16.6640625" style="5" customWidth="1"/>
    <col min="4363" max="4363" width="13.88671875" style="5" customWidth="1"/>
    <col min="4364" max="4365" width="7.77734375" style="5"/>
    <col min="4366" max="4366" width="9.33203125" style="5" customWidth="1"/>
    <col min="4367" max="4605" width="7.77734375" style="5"/>
    <col min="4606" max="4607" width="5.109375" style="5" customWidth="1"/>
    <col min="4608" max="4608" width="18.109375" style="5" customWidth="1"/>
    <col min="4609" max="4609" width="18.33203125" style="5" customWidth="1"/>
    <col min="4610" max="4610" width="33.44140625" style="5" customWidth="1"/>
    <col min="4611" max="4611" width="12.109375" style="5" customWidth="1"/>
    <col min="4612" max="4615" width="13" style="5" hidden="1" customWidth="1"/>
    <col min="4616" max="4616" width="17.44140625" style="5" customWidth="1"/>
    <col min="4617" max="4617" width="10.109375" style="5" customWidth="1"/>
    <col min="4618" max="4618" width="16.6640625" style="5" customWidth="1"/>
    <col min="4619" max="4619" width="13.88671875" style="5" customWidth="1"/>
    <col min="4620" max="4621" width="7.77734375" style="5"/>
    <col min="4622" max="4622" width="9.33203125" style="5" customWidth="1"/>
    <col min="4623" max="4861" width="7.77734375" style="5"/>
    <col min="4862" max="4863" width="5.109375" style="5" customWidth="1"/>
    <col min="4864" max="4864" width="18.109375" style="5" customWidth="1"/>
    <col min="4865" max="4865" width="18.33203125" style="5" customWidth="1"/>
    <col min="4866" max="4866" width="33.44140625" style="5" customWidth="1"/>
    <col min="4867" max="4867" width="12.109375" style="5" customWidth="1"/>
    <col min="4868" max="4871" width="13" style="5" hidden="1" customWidth="1"/>
    <col min="4872" max="4872" width="17.44140625" style="5" customWidth="1"/>
    <col min="4873" max="4873" width="10.109375" style="5" customWidth="1"/>
    <col min="4874" max="4874" width="16.6640625" style="5" customWidth="1"/>
    <col min="4875" max="4875" width="13.88671875" style="5" customWidth="1"/>
    <col min="4876" max="4877" width="7.77734375" style="5"/>
    <col min="4878" max="4878" width="9.33203125" style="5" customWidth="1"/>
    <col min="4879" max="5117" width="7.77734375" style="5"/>
    <col min="5118" max="5119" width="5.109375" style="5" customWidth="1"/>
    <col min="5120" max="5120" width="18.109375" style="5" customWidth="1"/>
    <col min="5121" max="5121" width="18.33203125" style="5" customWidth="1"/>
    <col min="5122" max="5122" width="33.44140625" style="5" customWidth="1"/>
    <col min="5123" max="5123" width="12.109375" style="5" customWidth="1"/>
    <col min="5124" max="5127" width="13" style="5" hidden="1" customWidth="1"/>
    <col min="5128" max="5128" width="17.44140625" style="5" customWidth="1"/>
    <col min="5129" max="5129" width="10.109375" style="5" customWidth="1"/>
    <col min="5130" max="5130" width="16.6640625" style="5" customWidth="1"/>
    <col min="5131" max="5131" width="13.88671875" style="5" customWidth="1"/>
    <col min="5132" max="5133" width="7.77734375" style="5"/>
    <col min="5134" max="5134" width="9.33203125" style="5" customWidth="1"/>
    <col min="5135" max="5373" width="7.77734375" style="5"/>
    <col min="5374" max="5375" width="5.109375" style="5" customWidth="1"/>
    <col min="5376" max="5376" width="18.109375" style="5" customWidth="1"/>
    <col min="5377" max="5377" width="18.33203125" style="5" customWidth="1"/>
    <col min="5378" max="5378" width="33.44140625" style="5" customWidth="1"/>
    <col min="5379" max="5379" width="12.109375" style="5" customWidth="1"/>
    <col min="5380" max="5383" width="13" style="5" hidden="1" customWidth="1"/>
    <col min="5384" max="5384" width="17.44140625" style="5" customWidth="1"/>
    <col min="5385" max="5385" width="10.109375" style="5" customWidth="1"/>
    <col min="5386" max="5386" width="16.6640625" style="5" customWidth="1"/>
    <col min="5387" max="5387" width="13.88671875" style="5" customWidth="1"/>
    <col min="5388" max="5389" width="7.77734375" style="5"/>
    <col min="5390" max="5390" width="9.33203125" style="5" customWidth="1"/>
    <col min="5391" max="5629" width="7.77734375" style="5"/>
    <col min="5630" max="5631" width="5.109375" style="5" customWidth="1"/>
    <col min="5632" max="5632" width="18.109375" style="5" customWidth="1"/>
    <col min="5633" max="5633" width="18.33203125" style="5" customWidth="1"/>
    <col min="5634" max="5634" width="33.44140625" style="5" customWidth="1"/>
    <col min="5635" max="5635" width="12.109375" style="5" customWidth="1"/>
    <col min="5636" max="5639" width="13" style="5" hidden="1" customWidth="1"/>
    <col min="5640" max="5640" width="17.44140625" style="5" customWidth="1"/>
    <col min="5641" max="5641" width="10.109375" style="5" customWidth="1"/>
    <col min="5642" max="5642" width="16.6640625" style="5" customWidth="1"/>
    <col min="5643" max="5643" width="13.88671875" style="5" customWidth="1"/>
    <col min="5644" max="5645" width="7.77734375" style="5"/>
    <col min="5646" max="5646" width="9.33203125" style="5" customWidth="1"/>
    <col min="5647" max="5885" width="7.77734375" style="5"/>
    <col min="5886" max="5887" width="5.109375" style="5" customWidth="1"/>
    <col min="5888" max="5888" width="18.109375" style="5" customWidth="1"/>
    <col min="5889" max="5889" width="18.33203125" style="5" customWidth="1"/>
    <col min="5890" max="5890" width="33.44140625" style="5" customWidth="1"/>
    <col min="5891" max="5891" width="12.109375" style="5" customWidth="1"/>
    <col min="5892" max="5895" width="13" style="5" hidden="1" customWidth="1"/>
    <col min="5896" max="5896" width="17.44140625" style="5" customWidth="1"/>
    <col min="5897" max="5897" width="10.109375" style="5" customWidth="1"/>
    <col min="5898" max="5898" width="16.6640625" style="5" customWidth="1"/>
    <col min="5899" max="5899" width="13.88671875" style="5" customWidth="1"/>
    <col min="5900" max="5901" width="7.77734375" style="5"/>
    <col min="5902" max="5902" width="9.33203125" style="5" customWidth="1"/>
    <col min="5903" max="6141" width="7.77734375" style="5"/>
    <col min="6142" max="6143" width="5.109375" style="5" customWidth="1"/>
    <col min="6144" max="6144" width="18.109375" style="5" customWidth="1"/>
    <col min="6145" max="6145" width="18.33203125" style="5" customWidth="1"/>
    <col min="6146" max="6146" width="33.44140625" style="5" customWidth="1"/>
    <col min="6147" max="6147" width="12.109375" style="5" customWidth="1"/>
    <col min="6148" max="6151" width="13" style="5" hidden="1" customWidth="1"/>
    <col min="6152" max="6152" width="17.44140625" style="5" customWidth="1"/>
    <col min="6153" max="6153" width="10.109375" style="5" customWidth="1"/>
    <col min="6154" max="6154" width="16.6640625" style="5" customWidth="1"/>
    <col min="6155" max="6155" width="13.88671875" style="5" customWidth="1"/>
    <col min="6156" max="6157" width="7.77734375" style="5"/>
    <col min="6158" max="6158" width="9.33203125" style="5" customWidth="1"/>
    <col min="6159" max="6397" width="7.77734375" style="5"/>
    <col min="6398" max="6399" width="5.109375" style="5" customWidth="1"/>
    <col min="6400" max="6400" width="18.109375" style="5" customWidth="1"/>
    <col min="6401" max="6401" width="18.33203125" style="5" customWidth="1"/>
    <col min="6402" max="6402" width="33.44140625" style="5" customWidth="1"/>
    <col min="6403" max="6403" width="12.109375" style="5" customWidth="1"/>
    <col min="6404" max="6407" width="13" style="5" hidden="1" customWidth="1"/>
    <col min="6408" max="6408" width="17.44140625" style="5" customWidth="1"/>
    <col min="6409" max="6409" width="10.109375" style="5" customWidth="1"/>
    <col min="6410" max="6410" width="16.6640625" style="5" customWidth="1"/>
    <col min="6411" max="6411" width="13.88671875" style="5" customWidth="1"/>
    <col min="6412" max="6413" width="7.77734375" style="5"/>
    <col min="6414" max="6414" width="9.33203125" style="5" customWidth="1"/>
    <col min="6415" max="6653" width="7.77734375" style="5"/>
    <col min="6654" max="6655" width="5.109375" style="5" customWidth="1"/>
    <col min="6656" max="6656" width="18.109375" style="5" customWidth="1"/>
    <col min="6657" max="6657" width="18.33203125" style="5" customWidth="1"/>
    <col min="6658" max="6658" width="33.44140625" style="5" customWidth="1"/>
    <col min="6659" max="6659" width="12.109375" style="5" customWidth="1"/>
    <col min="6660" max="6663" width="13" style="5" hidden="1" customWidth="1"/>
    <col min="6664" max="6664" width="17.44140625" style="5" customWidth="1"/>
    <col min="6665" max="6665" width="10.109375" style="5" customWidth="1"/>
    <col min="6666" max="6666" width="16.6640625" style="5" customWidth="1"/>
    <col min="6667" max="6667" width="13.88671875" style="5" customWidth="1"/>
    <col min="6668" max="6669" width="7.77734375" style="5"/>
    <col min="6670" max="6670" width="9.33203125" style="5" customWidth="1"/>
    <col min="6671" max="6909" width="7.77734375" style="5"/>
    <col min="6910" max="6911" width="5.109375" style="5" customWidth="1"/>
    <col min="6912" max="6912" width="18.109375" style="5" customWidth="1"/>
    <col min="6913" max="6913" width="18.33203125" style="5" customWidth="1"/>
    <col min="6914" max="6914" width="33.44140625" style="5" customWidth="1"/>
    <col min="6915" max="6915" width="12.109375" style="5" customWidth="1"/>
    <col min="6916" max="6919" width="13" style="5" hidden="1" customWidth="1"/>
    <col min="6920" max="6920" width="17.44140625" style="5" customWidth="1"/>
    <col min="6921" max="6921" width="10.109375" style="5" customWidth="1"/>
    <col min="6922" max="6922" width="16.6640625" style="5" customWidth="1"/>
    <col min="6923" max="6923" width="13.88671875" style="5" customWidth="1"/>
    <col min="6924" max="6925" width="7.77734375" style="5"/>
    <col min="6926" max="6926" width="9.33203125" style="5" customWidth="1"/>
    <col min="6927" max="7165" width="7.77734375" style="5"/>
    <col min="7166" max="7167" width="5.109375" style="5" customWidth="1"/>
    <col min="7168" max="7168" width="18.109375" style="5" customWidth="1"/>
    <col min="7169" max="7169" width="18.33203125" style="5" customWidth="1"/>
    <col min="7170" max="7170" width="33.44140625" style="5" customWidth="1"/>
    <col min="7171" max="7171" width="12.109375" style="5" customWidth="1"/>
    <col min="7172" max="7175" width="13" style="5" hidden="1" customWidth="1"/>
    <col min="7176" max="7176" width="17.44140625" style="5" customWidth="1"/>
    <col min="7177" max="7177" width="10.109375" style="5" customWidth="1"/>
    <col min="7178" max="7178" width="16.6640625" style="5" customWidth="1"/>
    <col min="7179" max="7179" width="13.88671875" style="5" customWidth="1"/>
    <col min="7180" max="7181" width="7.77734375" style="5"/>
    <col min="7182" max="7182" width="9.33203125" style="5" customWidth="1"/>
    <col min="7183" max="7421" width="7.77734375" style="5"/>
    <col min="7422" max="7423" width="5.109375" style="5" customWidth="1"/>
    <col min="7424" max="7424" width="18.109375" style="5" customWidth="1"/>
    <col min="7425" max="7425" width="18.33203125" style="5" customWidth="1"/>
    <col min="7426" max="7426" width="33.44140625" style="5" customWidth="1"/>
    <col min="7427" max="7427" width="12.109375" style="5" customWidth="1"/>
    <col min="7428" max="7431" width="13" style="5" hidden="1" customWidth="1"/>
    <col min="7432" max="7432" width="17.44140625" style="5" customWidth="1"/>
    <col min="7433" max="7433" width="10.109375" style="5" customWidth="1"/>
    <col min="7434" max="7434" width="16.6640625" style="5" customWidth="1"/>
    <col min="7435" max="7435" width="13.88671875" style="5" customWidth="1"/>
    <col min="7436" max="7437" width="7.77734375" style="5"/>
    <col min="7438" max="7438" width="9.33203125" style="5" customWidth="1"/>
    <col min="7439" max="7677" width="7.77734375" style="5"/>
    <col min="7678" max="7679" width="5.109375" style="5" customWidth="1"/>
    <col min="7680" max="7680" width="18.109375" style="5" customWidth="1"/>
    <col min="7681" max="7681" width="18.33203125" style="5" customWidth="1"/>
    <col min="7682" max="7682" width="33.44140625" style="5" customWidth="1"/>
    <col min="7683" max="7683" width="12.109375" style="5" customWidth="1"/>
    <col min="7684" max="7687" width="13" style="5" hidden="1" customWidth="1"/>
    <col min="7688" max="7688" width="17.44140625" style="5" customWidth="1"/>
    <col min="7689" max="7689" width="10.109375" style="5" customWidth="1"/>
    <col min="7690" max="7690" width="16.6640625" style="5" customWidth="1"/>
    <col min="7691" max="7691" width="13.88671875" style="5" customWidth="1"/>
    <col min="7692" max="7693" width="7.77734375" style="5"/>
    <col min="7694" max="7694" width="9.33203125" style="5" customWidth="1"/>
    <col min="7695" max="7933" width="7.77734375" style="5"/>
    <col min="7934" max="7935" width="5.109375" style="5" customWidth="1"/>
    <col min="7936" max="7936" width="18.109375" style="5" customWidth="1"/>
    <col min="7937" max="7937" width="18.33203125" style="5" customWidth="1"/>
    <col min="7938" max="7938" width="33.44140625" style="5" customWidth="1"/>
    <col min="7939" max="7939" width="12.109375" style="5" customWidth="1"/>
    <col min="7940" max="7943" width="13" style="5" hidden="1" customWidth="1"/>
    <col min="7944" max="7944" width="17.44140625" style="5" customWidth="1"/>
    <col min="7945" max="7945" width="10.109375" style="5" customWidth="1"/>
    <col min="7946" max="7946" width="16.6640625" style="5" customWidth="1"/>
    <col min="7947" max="7947" width="13.88671875" style="5" customWidth="1"/>
    <col min="7948" max="7949" width="7.77734375" style="5"/>
    <col min="7950" max="7950" width="9.33203125" style="5" customWidth="1"/>
    <col min="7951" max="8189" width="7.77734375" style="5"/>
    <col min="8190" max="8191" width="5.109375" style="5" customWidth="1"/>
    <col min="8192" max="8192" width="18.109375" style="5" customWidth="1"/>
    <col min="8193" max="8193" width="18.33203125" style="5" customWidth="1"/>
    <col min="8194" max="8194" width="33.44140625" style="5" customWidth="1"/>
    <col min="8195" max="8195" width="12.109375" style="5" customWidth="1"/>
    <col min="8196" max="8199" width="13" style="5" hidden="1" customWidth="1"/>
    <col min="8200" max="8200" width="17.44140625" style="5" customWidth="1"/>
    <col min="8201" max="8201" width="10.109375" style="5" customWidth="1"/>
    <col min="8202" max="8202" width="16.6640625" style="5" customWidth="1"/>
    <col min="8203" max="8203" width="13.88671875" style="5" customWidth="1"/>
    <col min="8204" max="8205" width="7.77734375" style="5"/>
    <col min="8206" max="8206" width="9.33203125" style="5" customWidth="1"/>
    <col min="8207" max="8445" width="7.77734375" style="5"/>
    <col min="8446" max="8447" width="5.109375" style="5" customWidth="1"/>
    <col min="8448" max="8448" width="18.109375" style="5" customWidth="1"/>
    <col min="8449" max="8449" width="18.33203125" style="5" customWidth="1"/>
    <col min="8450" max="8450" width="33.44140625" style="5" customWidth="1"/>
    <col min="8451" max="8451" width="12.109375" style="5" customWidth="1"/>
    <col min="8452" max="8455" width="13" style="5" hidden="1" customWidth="1"/>
    <col min="8456" max="8456" width="17.44140625" style="5" customWidth="1"/>
    <col min="8457" max="8457" width="10.109375" style="5" customWidth="1"/>
    <col min="8458" max="8458" width="16.6640625" style="5" customWidth="1"/>
    <col min="8459" max="8459" width="13.88671875" style="5" customWidth="1"/>
    <col min="8460" max="8461" width="7.77734375" style="5"/>
    <col min="8462" max="8462" width="9.33203125" style="5" customWidth="1"/>
    <col min="8463" max="8701" width="7.77734375" style="5"/>
    <col min="8702" max="8703" width="5.109375" style="5" customWidth="1"/>
    <col min="8704" max="8704" width="18.109375" style="5" customWidth="1"/>
    <col min="8705" max="8705" width="18.33203125" style="5" customWidth="1"/>
    <col min="8706" max="8706" width="33.44140625" style="5" customWidth="1"/>
    <col min="8707" max="8707" width="12.109375" style="5" customWidth="1"/>
    <col min="8708" max="8711" width="13" style="5" hidden="1" customWidth="1"/>
    <col min="8712" max="8712" width="17.44140625" style="5" customWidth="1"/>
    <col min="8713" max="8713" width="10.109375" style="5" customWidth="1"/>
    <col min="8714" max="8714" width="16.6640625" style="5" customWidth="1"/>
    <col min="8715" max="8715" width="13.88671875" style="5" customWidth="1"/>
    <col min="8716" max="8717" width="7.77734375" style="5"/>
    <col min="8718" max="8718" width="9.33203125" style="5" customWidth="1"/>
    <col min="8719" max="8957" width="7.77734375" style="5"/>
    <col min="8958" max="8959" width="5.109375" style="5" customWidth="1"/>
    <col min="8960" max="8960" width="18.109375" style="5" customWidth="1"/>
    <col min="8961" max="8961" width="18.33203125" style="5" customWidth="1"/>
    <col min="8962" max="8962" width="33.44140625" style="5" customWidth="1"/>
    <col min="8963" max="8963" width="12.109375" style="5" customWidth="1"/>
    <col min="8964" max="8967" width="13" style="5" hidden="1" customWidth="1"/>
    <col min="8968" max="8968" width="17.44140625" style="5" customWidth="1"/>
    <col min="8969" max="8969" width="10.109375" style="5" customWidth="1"/>
    <col min="8970" max="8970" width="16.6640625" style="5" customWidth="1"/>
    <col min="8971" max="8971" width="13.88671875" style="5" customWidth="1"/>
    <col min="8972" max="8973" width="7.77734375" style="5"/>
    <col min="8974" max="8974" width="9.33203125" style="5" customWidth="1"/>
    <col min="8975" max="9213" width="7.77734375" style="5"/>
    <col min="9214" max="9215" width="5.109375" style="5" customWidth="1"/>
    <col min="9216" max="9216" width="18.109375" style="5" customWidth="1"/>
    <col min="9217" max="9217" width="18.33203125" style="5" customWidth="1"/>
    <col min="9218" max="9218" width="33.44140625" style="5" customWidth="1"/>
    <col min="9219" max="9219" width="12.109375" style="5" customWidth="1"/>
    <col min="9220" max="9223" width="13" style="5" hidden="1" customWidth="1"/>
    <col min="9224" max="9224" width="17.44140625" style="5" customWidth="1"/>
    <col min="9225" max="9225" width="10.109375" style="5" customWidth="1"/>
    <col min="9226" max="9226" width="16.6640625" style="5" customWidth="1"/>
    <col min="9227" max="9227" width="13.88671875" style="5" customWidth="1"/>
    <col min="9228" max="9229" width="7.77734375" style="5"/>
    <col min="9230" max="9230" width="9.33203125" style="5" customWidth="1"/>
    <col min="9231" max="9469" width="7.77734375" style="5"/>
    <col min="9470" max="9471" width="5.109375" style="5" customWidth="1"/>
    <col min="9472" max="9472" width="18.109375" style="5" customWidth="1"/>
    <col min="9473" max="9473" width="18.33203125" style="5" customWidth="1"/>
    <col min="9474" max="9474" width="33.44140625" style="5" customWidth="1"/>
    <col min="9475" max="9475" width="12.109375" style="5" customWidth="1"/>
    <col min="9476" max="9479" width="13" style="5" hidden="1" customWidth="1"/>
    <col min="9480" max="9480" width="17.44140625" style="5" customWidth="1"/>
    <col min="9481" max="9481" width="10.109375" style="5" customWidth="1"/>
    <col min="9482" max="9482" width="16.6640625" style="5" customWidth="1"/>
    <col min="9483" max="9483" width="13.88671875" style="5" customWidth="1"/>
    <col min="9484" max="9485" width="7.77734375" style="5"/>
    <col min="9486" max="9486" width="9.33203125" style="5" customWidth="1"/>
    <col min="9487" max="9725" width="7.77734375" style="5"/>
    <col min="9726" max="9727" width="5.109375" style="5" customWidth="1"/>
    <col min="9728" max="9728" width="18.109375" style="5" customWidth="1"/>
    <col min="9729" max="9729" width="18.33203125" style="5" customWidth="1"/>
    <col min="9730" max="9730" width="33.44140625" style="5" customWidth="1"/>
    <col min="9731" max="9731" width="12.109375" style="5" customWidth="1"/>
    <col min="9732" max="9735" width="13" style="5" hidden="1" customWidth="1"/>
    <col min="9736" max="9736" width="17.44140625" style="5" customWidth="1"/>
    <col min="9737" max="9737" width="10.109375" style="5" customWidth="1"/>
    <col min="9738" max="9738" width="16.6640625" style="5" customWidth="1"/>
    <col min="9739" max="9739" width="13.88671875" style="5" customWidth="1"/>
    <col min="9740" max="9741" width="7.77734375" style="5"/>
    <col min="9742" max="9742" width="9.33203125" style="5" customWidth="1"/>
    <col min="9743" max="9981" width="7.77734375" style="5"/>
    <col min="9982" max="9983" width="5.109375" style="5" customWidth="1"/>
    <col min="9984" max="9984" width="18.109375" style="5" customWidth="1"/>
    <col min="9985" max="9985" width="18.33203125" style="5" customWidth="1"/>
    <col min="9986" max="9986" width="33.44140625" style="5" customWidth="1"/>
    <col min="9987" max="9987" width="12.109375" style="5" customWidth="1"/>
    <col min="9988" max="9991" width="13" style="5" hidden="1" customWidth="1"/>
    <col min="9992" max="9992" width="17.44140625" style="5" customWidth="1"/>
    <col min="9993" max="9993" width="10.109375" style="5" customWidth="1"/>
    <col min="9994" max="9994" width="16.6640625" style="5" customWidth="1"/>
    <col min="9995" max="9995" width="13.88671875" style="5" customWidth="1"/>
    <col min="9996" max="9997" width="7.77734375" style="5"/>
    <col min="9998" max="9998" width="9.33203125" style="5" customWidth="1"/>
    <col min="9999" max="10237" width="7.77734375" style="5"/>
    <col min="10238" max="10239" width="5.109375" style="5" customWidth="1"/>
    <col min="10240" max="10240" width="18.109375" style="5" customWidth="1"/>
    <col min="10241" max="10241" width="18.33203125" style="5" customWidth="1"/>
    <col min="10242" max="10242" width="33.44140625" style="5" customWidth="1"/>
    <col min="10243" max="10243" width="12.109375" style="5" customWidth="1"/>
    <col min="10244" max="10247" width="13" style="5" hidden="1" customWidth="1"/>
    <col min="10248" max="10248" width="17.44140625" style="5" customWidth="1"/>
    <col min="10249" max="10249" width="10.109375" style="5" customWidth="1"/>
    <col min="10250" max="10250" width="16.6640625" style="5" customWidth="1"/>
    <col min="10251" max="10251" width="13.88671875" style="5" customWidth="1"/>
    <col min="10252" max="10253" width="7.77734375" style="5"/>
    <col min="10254" max="10254" width="9.33203125" style="5" customWidth="1"/>
    <col min="10255" max="10493" width="7.77734375" style="5"/>
    <col min="10494" max="10495" width="5.109375" style="5" customWidth="1"/>
    <col min="10496" max="10496" width="18.109375" style="5" customWidth="1"/>
    <col min="10497" max="10497" width="18.33203125" style="5" customWidth="1"/>
    <col min="10498" max="10498" width="33.44140625" style="5" customWidth="1"/>
    <col min="10499" max="10499" width="12.109375" style="5" customWidth="1"/>
    <col min="10500" max="10503" width="13" style="5" hidden="1" customWidth="1"/>
    <col min="10504" max="10504" width="17.44140625" style="5" customWidth="1"/>
    <col min="10505" max="10505" width="10.109375" style="5" customWidth="1"/>
    <col min="10506" max="10506" width="16.6640625" style="5" customWidth="1"/>
    <col min="10507" max="10507" width="13.88671875" style="5" customWidth="1"/>
    <col min="10508" max="10509" width="7.77734375" style="5"/>
    <col min="10510" max="10510" width="9.33203125" style="5" customWidth="1"/>
    <col min="10511" max="10749" width="7.77734375" style="5"/>
    <col min="10750" max="10751" width="5.109375" style="5" customWidth="1"/>
    <col min="10752" max="10752" width="18.109375" style="5" customWidth="1"/>
    <col min="10753" max="10753" width="18.33203125" style="5" customWidth="1"/>
    <col min="10754" max="10754" width="33.44140625" style="5" customWidth="1"/>
    <col min="10755" max="10755" width="12.109375" style="5" customWidth="1"/>
    <col min="10756" max="10759" width="13" style="5" hidden="1" customWidth="1"/>
    <col min="10760" max="10760" width="17.44140625" style="5" customWidth="1"/>
    <col min="10761" max="10761" width="10.109375" style="5" customWidth="1"/>
    <col min="10762" max="10762" width="16.6640625" style="5" customWidth="1"/>
    <col min="10763" max="10763" width="13.88671875" style="5" customWidth="1"/>
    <col min="10764" max="10765" width="7.77734375" style="5"/>
    <col min="10766" max="10766" width="9.33203125" style="5" customWidth="1"/>
    <col min="10767" max="11005" width="7.77734375" style="5"/>
    <col min="11006" max="11007" width="5.109375" style="5" customWidth="1"/>
    <col min="11008" max="11008" width="18.109375" style="5" customWidth="1"/>
    <col min="11009" max="11009" width="18.33203125" style="5" customWidth="1"/>
    <col min="11010" max="11010" width="33.44140625" style="5" customWidth="1"/>
    <col min="11011" max="11011" width="12.109375" style="5" customWidth="1"/>
    <col min="11012" max="11015" width="13" style="5" hidden="1" customWidth="1"/>
    <col min="11016" max="11016" width="17.44140625" style="5" customWidth="1"/>
    <col min="11017" max="11017" width="10.109375" style="5" customWidth="1"/>
    <col min="11018" max="11018" width="16.6640625" style="5" customWidth="1"/>
    <col min="11019" max="11019" width="13.88671875" style="5" customWidth="1"/>
    <col min="11020" max="11021" width="7.77734375" style="5"/>
    <col min="11022" max="11022" width="9.33203125" style="5" customWidth="1"/>
    <col min="11023" max="11261" width="7.77734375" style="5"/>
    <col min="11262" max="11263" width="5.109375" style="5" customWidth="1"/>
    <col min="11264" max="11264" width="18.109375" style="5" customWidth="1"/>
    <col min="11265" max="11265" width="18.33203125" style="5" customWidth="1"/>
    <col min="11266" max="11266" width="33.44140625" style="5" customWidth="1"/>
    <col min="11267" max="11267" width="12.109375" style="5" customWidth="1"/>
    <col min="11268" max="11271" width="13" style="5" hidden="1" customWidth="1"/>
    <col min="11272" max="11272" width="17.44140625" style="5" customWidth="1"/>
    <col min="11273" max="11273" width="10.109375" style="5" customWidth="1"/>
    <col min="11274" max="11274" width="16.6640625" style="5" customWidth="1"/>
    <col min="11275" max="11275" width="13.88671875" style="5" customWidth="1"/>
    <col min="11276" max="11277" width="7.77734375" style="5"/>
    <col min="11278" max="11278" width="9.33203125" style="5" customWidth="1"/>
    <col min="11279" max="11517" width="7.77734375" style="5"/>
    <col min="11518" max="11519" width="5.109375" style="5" customWidth="1"/>
    <col min="11520" max="11520" width="18.109375" style="5" customWidth="1"/>
    <col min="11521" max="11521" width="18.33203125" style="5" customWidth="1"/>
    <col min="11522" max="11522" width="33.44140625" style="5" customWidth="1"/>
    <col min="11523" max="11523" width="12.109375" style="5" customWidth="1"/>
    <col min="11524" max="11527" width="13" style="5" hidden="1" customWidth="1"/>
    <col min="11528" max="11528" width="17.44140625" style="5" customWidth="1"/>
    <col min="11529" max="11529" width="10.109375" style="5" customWidth="1"/>
    <col min="11530" max="11530" width="16.6640625" style="5" customWidth="1"/>
    <col min="11531" max="11531" width="13.88671875" style="5" customWidth="1"/>
    <col min="11532" max="11533" width="7.77734375" style="5"/>
    <col min="11534" max="11534" width="9.33203125" style="5" customWidth="1"/>
    <col min="11535" max="11773" width="7.77734375" style="5"/>
    <col min="11774" max="11775" width="5.109375" style="5" customWidth="1"/>
    <col min="11776" max="11776" width="18.109375" style="5" customWidth="1"/>
    <col min="11777" max="11777" width="18.33203125" style="5" customWidth="1"/>
    <col min="11778" max="11778" width="33.44140625" style="5" customWidth="1"/>
    <col min="11779" max="11779" width="12.109375" style="5" customWidth="1"/>
    <col min="11780" max="11783" width="13" style="5" hidden="1" customWidth="1"/>
    <col min="11784" max="11784" width="17.44140625" style="5" customWidth="1"/>
    <col min="11785" max="11785" width="10.109375" style="5" customWidth="1"/>
    <col min="11786" max="11786" width="16.6640625" style="5" customWidth="1"/>
    <col min="11787" max="11787" width="13.88671875" style="5" customWidth="1"/>
    <col min="11788" max="11789" width="7.77734375" style="5"/>
    <col min="11790" max="11790" width="9.33203125" style="5" customWidth="1"/>
    <col min="11791" max="12029" width="7.77734375" style="5"/>
    <col min="12030" max="12031" width="5.109375" style="5" customWidth="1"/>
    <col min="12032" max="12032" width="18.109375" style="5" customWidth="1"/>
    <col min="12033" max="12033" width="18.33203125" style="5" customWidth="1"/>
    <col min="12034" max="12034" width="33.44140625" style="5" customWidth="1"/>
    <col min="12035" max="12035" width="12.109375" style="5" customWidth="1"/>
    <col min="12036" max="12039" width="13" style="5" hidden="1" customWidth="1"/>
    <col min="12040" max="12040" width="17.44140625" style="5" customWidth="1"/>
    <col min="12041" max="12041" width="10.109375" style="5" customWidth="1"/>
    <col min="12042" max="12042" width="16.6640625" style="5" customWidth="1"/>
    <col min="12043" max="12043" width="13.88671875" style="5" customWidth="1"/>
    <col min="12044" max="12045" width="7.77734375" style="5"/>
    <col min="12046" max="12046" width="9.33203125" style="5" customWidth="1"/>
    <col min="12047" max="12285" width="7.77734375" style="5"/>
    <col min="12286" max="12287" width="5.109375" style="5" customWidth="1"/>
    <col min="12288" max="12288" width="18.109375" style="5" customWidth="1"/>
    <col min="12289" max="12289" width="18.33203125" style="5" customWidth="1"/>
    <col min="12290" max="12290" width="33.44140625" style="5" customWidth="1"/>
    <col min="12291" max="12291" width="12.109375" style="5" customWidth="1"/>
    <col min="12292" max="12295" width="13" style="5" hidden="1" customWidth="1"/>
    <col min="12296" max="12296" width="17.44140625" style="5" customWidth="1"/>
    <col min="12297" max="12297" width="10.109375" style="5" customWidth="1"/>
    <col min="12298" max="12298" width="16.6640625" style="5" customWidth="1"/>
    <col min="12299" max="12299" width="13.88671875" style="5" customWidth="1"/>
    <col min="12300" max="12301" width="7.77734375" style="5"/>
    <col min="12302" max="12302" width="9.33203125" style="5" customWidth="1"/>
    <col min="12303" max="12541" width="7.77734375" style="5"/>
    <col min="12542" max="12543" width="5.109375" style="5" customWidth="1"/>
    <col min="12544" max="12544" width="18.109375" style="5" customWidth="1"/>
    <col min="12545" max="12545" width="18.33203125" style="5" customWidth="1"/>
    <col min="12546" max="12546" width="33.44140625" style="5" customWidth="1"/>
    <col min="12547" max="12547" width="12.109375" style="5" customWidth="1"/>
    <col min="12548" max="12551" width="13" style="5" hidden="1" customWidth="1"/>
    <col min="12552" max="12552" width="17.44140625" style="5" customWidth="1"/>
    <col min="12553" max="12553" width="10.109375" style="5" customWidth="1"/>
    <col min="12554" max="12554" width="16.6640625" style="5" customWidth="1"/>
    <col min="12555" max="12555" width="13.88671875" style="5" customWidth="1"/>
    <col min="12556" max="12557" width="7.77734375" style="5"/>
    <col min="12558" max="12558" width="9.33203125" style="5" customWidth="1"/>
    <col min="12559" max="12797" width="7.77734375" style="5"/>
    <col min="12798" max="12799" width="5.109375" style="5" customWidth="1"/>
    <col min="12800" max="12800" width="18.109375" style="5" customWidth="1"/>
    <col min="12801" max="12801" width="18.33203125" style="5" customWidth="1"/>
    <col min="12802" max="12802" width="33.44140625" style="5" customWidth="1"/>
    <col min="12803" max="12803" width="12.109375" style="5" customWidth="1"/>
    <col min="12804" max="12807" width="13" style="5" hidden="1" customWidth="1"/>
    <col min="12808" max="12808" width="17.44140625" style="5" customWidth="1"/>
    <col min="12809" max="12809" width="10.109375" style="5" customWidth="1"/>
    <col min="12810" max="12810" width="16.6640625" style="5" customWidth="1"/>
    <col min="12811" max="12811" width="13.88671875" style="5" customWidth="1"/>
    <col min="12812" max="12813" width="7.77734375" style="5"/>
    <col min="12814" max="12814" width="9.33203125" style="5" customWidth="1"/>
    <col min="12815" max="13053" width="7.77734375" style="5"/>
    <col min="13054" max="13055" width="5.109375" style="5" customWidth="1"/>
    <col min="13056" max="13056" width="18.109375" style="5" customWidth="1"/>
    <col min="13057" max="13057" width="18.33203125" style="5" customWidth="1"/>
    <col min="13058" max="13058" width="33.44140625" style="5" customWidth="1"/>
    <col min="13059" max="13059" width="12.109375" style="5" customWidth="1"/>
    <col min="13060" max="13063" width="13" style="5" hidden="1" customWidth="1"/>
    <col min="13064" max="13064" width="17.44140625" style="5" customWidth="1"/>
    <col min="13065" max="13065" width="10.109375" style="5" customWidth="1"/>
    <col min="13066" max="13066" width="16.6640625" style="5" customWidth="1"/>
    <col min="13067" max="13067" width="13.88671875" style="5" customWidth="1"/>
    <col min="13068" max="13069" width="7.77734375" style="5"/>
    <col min="13070" max="13070" width="9.33203125" style="5" customWidth="1"/>
    <col min="13071" max="13309" width="7.77734375" style="5"/>
    <col min="13310" max="13311" width="5.109375" style="5" customWidth="1"/>
    <col min="13312" max="13312" width="18.109375" style="5" customWidth="1"/>
    <col min="13313" max="13313" width="18.33203125" style="5" customWidth="1"/>
    <col min="13314" max="13314" width="33.44140625" style="5" customWidth="1"/>
    <col min="13315" max="13315" width="12.109375" style="5" customWidth="1"/>
    <col min="13316" max="13319" width="13" style="5" hidden="1" customWidth="1"/>
    <col min="13320" max="13320" width="17.44140625" style="5" customWidth="1"/>
    <col min="13321" max="13321" width="10.109375" style="5" customWidth="1"/>
    <col min="13322" max="13322" width="16.6640625" style="5" customWidth="1"/>
    <col min="13323" max="13323" width="13.88671875" style="5" customWidth="1"/>
    <col min="13324" max="13325" width="7.77734375" style="5"/>
    <col min="13326" max="13326" width="9.33203125" style="5" customWidth="1"/>
    <col min="13327" max="13565" width="7.77734375" style="5"/>
    <col min="13566" max="13567" width="5.109375" style="5" customWidth="1"/>
    <col min="13568" max="13568" width="18.109375" style="5" customWidth="1"/>
    <col min="13569" max="13569" width="18.33203125" style="5" customWidth="1"/>
    <col min="13570" max="13570" width="33.44140625" style="5" customWidth="1"/>
    <col min="13571" max="13571" width="12.109375" style="5" customWidth="1"/>
    <col min="13572" max="13575" width="13" style="5" hidden="1" customWidth="1"/>
    <col min="13576" max="13576" width="17.44140625" style="5" customWidth="1"/>
    <col min="13577" max="13577" width="10.109375" style="5" customWidth="1"/>
    <col min="13578" max="13578" width="16.6640625" style="5" customWidth="1"/>
    <col min="13579" max="13579" width="13.88671875" style="5" customWidth="1"/>
    <col min="13580" max="13581" width="7.77734375" style="5"/>
    <col min="13582" max="13582" width="9.33203125" style="5" customWidth="1"/>
    <col min="13583" max="13821" width="7.77734375" style="5"/>
    <col min="13822" max="13823" width="5.109375" style="5" customWidth="1"/>
    <col min="13824" max="13824" width="18.109375" style="5" customWidth="1"/>
    <col min="13825" max="13825" width="18.33203125" style="5" customWidth="1"/>
    <col min="13826" max="13826" width="33.44140625" style="5" customWidth="1"/>
    <col min="13827" max="13827" width="12.109375" style="5" customWidth="1"/>
    <col min="13828" max="13831" width="13" style="5" hidden="1" customWidth="1"/>
    <col min="13832" max="13832" width="17.44140625" style="5" customWidth="1"/>
    <col min="13833" max="13833" width="10.109375" style="5" customWidth="1"/>
    <col min="13834" max="13834" width="16.6640625" style="5" customWidth="1"/>
    <col min="13835" max="13835" width="13.88671875" style="5" customWidth="1"/>
    <col min="13836" max="13837" width="7.77734375" style="5"/>
    <col min="13838" max="13838" width="9.33203125" style="5" customWidth="1"/>
    <col min="13839" max="14077" width="7.77734375" style="5"/>
    <col min="14078" max="14079" width="5.109375" style="5" customWidth="1"/>
    <col min="14080" max="14080" width="18.109375" style="5" customWidth="1"/>
    <col min="14081" max="14081" width="18.33203125" style="5" customWidth="1"/>
    <col min="14082" max="14082" width="33.44140625" style="5" customWidth="1"/>
    <col min="14083" max="14083" width="12.109375" style="5" customWidth="1"/>
    <col min="14084" max="14087" width="13" style="5" hidden="1" customWidth="1"/>
    <col min="14088" max="14088" width="17.44140625" style="5" customWidth="1"/>
    <col min="14089" max="14089" width="10.109375" style="5" customWidth="1"/>
    <col min="14090" max="14090" width="16.6640625" style="5" customWidth="1"/>
    <col min="14091" max="14091" width="13.88671875" style="5" customWidth="1"/>
    <col min="14092" max="14093" width="7.77734375" style="5"/>
    <col min="14094" max="14094" width="9.33203125" style="5" customWidth="1"/>
    <col min="14095" max="14333" width="7.77734375" style="5"/>
    <col min="14334" max="14335" width="5.109375" style="5" customWidth="1"/>
    <col min="14336" max="14336" width="18.109375" style="5" customWidth="1"/>
    <col min="14337" max="14337" width="18.33203125" style="5" customWidth="1"/>
    <col min="14338" max="14338" width="33.44140625" style="5" customWidth="1"/>
    <col min="14339" max="14339" width="12.109375" style="5" customWidth="1"/>
    <col min="14340" max="14343" width="13" style="5" hidden="1" customWidth="1"/>
    <col min="14344" max="14344" width="17.44140625" style="5" customWidth="1"/>
    <col min="14345" max="14345" width="10.109375" style="5" customWidth="1"/>
    <col min="14346" max="14346" width="16.6640625" style="5" customWidth="1"/>
    <col min="14347" max="14347" width="13.88671875" style="5" customWidth="1"/>
    <col min="14348" max="14349" width="7.77734375" style="5"/>
    <col min="14350" max="14350" width="9.33203125" style="5" customWidth="1"/>
    <col min="14351" max="14589" width="7.77734375" style="5"/>
    <col min="14590" max="14591" width="5.109375" style="5" customWidth="1"/>
    <col min="14592" max="14592" width="18.109375" style="5" customWidth="1"/>
    <col min="14593" max="14593" width="18.33203125" style="5" customWidth="1"/>
    <col min="14594" max="14594" width="33.44140625" style="5" customWidth="1"/>
    <col min="14595" max="14595" width="12.109375" style="5" customWidth="1"/>
    <col min="14596" max="14599" width="13" style="5" hidden="1" customWidth="1"/>
    <col min="14600" max="14600" width="17.44140625" style="5" customWidth="1"/>
    <col min="14601" max="14601" width="10.109375" style="5" customWidth="1"/>
    <col min="14602" max="14602" width="16.6640625" style="5" customWidth="1"/>
    <col min="14603" max="14603" width="13.88671875" style="5" customWidth="1"/>
    <col min="14604" max="14605" width="7.77734375" style="5"/>
    <col min="14606" max="14606" width="9.33203125" style="5" customWidth="1"/>
    <col min="14607" max="14845" width="7.77734375" style="5"/>
    <col min="14846" max="14847" width="5.109375" style="5" customWidth="1"/>
    <col min="14848" max="14848" width="18.109375" style="5" customWidth="1"/>
    <col min="14849" max="14849" width="18.33203125" style="5" customWidth="1"/>
    <col min="14850" max="14850" width="33.44140625" style="5" customWidth="1"/>
    <col min="14851" max="14851" width="12.109375" style="5" customWidth="1"/>
    <col min="14852" max="14855" width="13" style="5" hidden="1" customWidth="1"/>
    <col min="14856" max="14856" width="17.44140625" style="5" customWidth="1"/>
    <col min="14857" max="14857" width="10.109375" style="5" customWidth="1"/>
    <col min="14858" max="14858" width="16.6640625" style="5" customWidth="1"/>
    <col min="14859" max="14859" width="13.88671875" style="5" customWidth="1"/>
    <col min="14860" max="14861" width="7.77734375" style="5"/>
    <col min="14862" max="14862" width="9.33203125" style="5" customWidth="1"/>
    <col min="14863" max="15101" width="7.77734375" style="5"/>
    <col min="15102" max="15103" width="5.109375" style="5" customWidth="1"/>
    <col min="15104" max="15104" width="18.109375" style="5" customWidth="1"/>
    <col min="15105" max="15105" width="18.33203125" style="5" customWidth="1"/>
    <col min="15106" max="15106" width="33.44140625" style="5" customWidth="1"/>
    <col min="15107" max="15107" width="12.109375" style="5" customWidth="1"/>
    <col min="15108" max="15111" width="13" style="5" hidden="1" customWidth="1"/>
    <col min="15112" max="15112" width="17.44140625" style="5" customWidth="1"/>
    <col min="15113" max="15113" width="10.109375" style="5" customWidth="1"/>
    <col min="15114" max="15114" width="16.6640625" style="5" customWidth="1"/>
    <col min="15115" max="15115" width="13.88671875" style="5" customWidth="1"/>
    <col min="15116" max="15117" width="7.77734375" style="5"/>
    <col min="15118" max="15118" width="9.33203125" style="5" customWidth="1"/>
    <col min="15119" max="15357" width="7.77734375" style="5"/>
    <col min="15358" max="15359" width="5.109375" style="5" customWidth="1"/>
    <col min="15360" max="15360" width="18.109375" style="5" customWidth="1"/>
    <col min="15361" max="15361" width="18.33203125" style="5" customWidth="1"/>
    <col min="15362" max="15362" width="33.44140625" style="5" customWidth="1"/>
    <col min="15363" max="15363" width="12.109375" style="5" customWidth="1"/>
    <col min="15364" max="15367" width="13" style="5" hidden="1" customWidth="1"/>
    <col min="15368" max="15368" width="17.44140625" style="5" customWidth="1"/>
    <col min="15369" max="15369" width="10.109375" style="5" customWidth="1"/>
    <col min="15370" max="15370" width="16.6640625" style="5" customWidth="1"/>
    <col min="15371" max="15371" width="13.88671875" style="5" customWidth="1"/>
    <col min="15372" max="15373" width="7.77734375" style="5"/>
    <col min="15374" max="15374" width="9.33203125" style="5" customWidth="1"/>
    <col min="15375" max="15613" width="7.77734375" style="5"/>
    <col min="15614" max="15615" width="5.109375" style="5" customWidth="1"/>
    <col min="15616" max="15616" width="18.109375" style="5" customWidth="1"/>
    <col min="15617" max="15617" width="18.33203125" style="5" customWidth="1"/>
    <col min="15618" max="15618" width="33.44140625" style="5" customWidth="1"/>
    <col min="15619" max="15619" width="12.109375" style="5" customWidth="1"/>
    <col min="15620" max="15623" width="13" style="5" hidden="1" customWidth="1"/>
    <col min="15624" max="15624" width="17.44140625" style="5" customWidth="1"/>
    <col min="15625" max="15625" width="10.109375" style="5" customWidth="1"/>
    <col min="15626" max="15626" width="16.6640625" style="5" customWidth="1"/>
    <col min="15627" max="15627" width="13.88671875" style="5" customWidth="1"/>
    <col min="15628" max="15629" width="7.77734375" style="5"/>
    <col min="15630" max="15630" width="9.33203125" style="5" customWidth="1"/>
    <col min="15631" max="15869" width="7.77734375" style="5"/>
    <col min="15870" max="15871" width="5.109375" style="5" customWidth="1"/>
    <col min="15872" max="15872" width="18.109375" style="5" customWidth="1"/>
    <col min="15873" max="15873" width="18.33203125" style="5" customWidth="1"/>
    <col min="15874" max="15874" width="33.44140625" style="5" customWidth="1"/>
    <col min="15875" max="15875" width="12.109375" style="5" customWidth="1"/>
    <col min="15876" max="15879" width="13" style="5" hidden="1" customWidth="1"/>
    <col min="15880" max="15880" width="17.44140625" style="5" customWidth="1"/>
    <col min="15881" max="15881" width="10.109375" style="5" customWidth="1"/>
    <col min="15882" max="15882" width="16.6640625" style="5" customWidth="1"/>
    <col min="15883" max="15883" width="13.88671875" style="5" customWidth="1"/>
    <col min="15884" max="15885" width="7.77734375" style="5"/>
    <col min="15886" max="15886" width="9.33203125" style="5" customWidth="1"/>
    <col min="15887" max="16125" width="7.77734375" style="5"/>
    <col min="16126" max="16127" width="5.109375" style="5" customWidth="1"/>
    <col min="16128" max="16128" width="18.109375" style="5" customWidth="1"/>
    <col min="16129" max="16129" width="18.33203125" style="5" customWidth="1"/>
    <col min="16130" max="16130" width="33.44140625" style="5" customWidth="1"/>
    <col min="16131" max="16131" width="12.109375" style="5" customWidth="1"/>
    <col min="16132" max="16135" width="13" style="5" hidden="1" customWidth="1"/>
    <col min="16136" max="16136" width="17.44140625" style="5" customWidth="1"/>
    <col min="16137" max="16137" width="10.109375" style="5" customWidth="1"/>
    <col min="16138" max="16138" width="16.6640625" style="5" customWidth="1"/>
    <col min="16139" max="16139" width="13.88671875" style="5" customWidth="1"/>
    <col min="16140" max="16141" width="7.77734375" style="5"/>
    <col min="16142" max="16142" width="9.33203125" style="5" customWidth="1"/>
    <col min="16143" max="16384" width="7.77734375" style="5"/>
  </cols>
  <sheetData>
    <row r="1" spans="1:14" ht="24" customHeight="1">
      <c r="A1" s="7" t="s">
        <v>0</v>
      </c>
    </row>
    <row r="2" spans="1:14" s="9" customFormat="1" ht="19.5" customHeight="1">
      <c r="A2" s="296" t="s">
        <v>1</v>
      </c>
      <c r="B2" s="296"/>
      <c r="C2" s="296"/>
      <c r="D2" s="4" t="s">
        <v>2</v>
      </c>
      <c r="E2" s="4" t="s">
        <v>3</v>
      </c>
      <c r="F2" s="4" t="s">
        <v>4</v>
      </c>
      <c r="G2" s="4" t="s">
        <v>5</v>
      </c>
      <c r="H2" s="4" t="s">
        <v>6</v>
      </c>
      <c r="I2" s="4" t="s">
        <v>7</v>
      </c>
      <c r="J2" s="4" t="s">
        <v>8</v>
      </c>
      <c r="K2" s="4" t="s">
        <v>9</v>
      </c>
      <c r="L2" s="8" t="s">
        <v>10</v>
      </c>
      <c r="M2" s="8"/>
    </row>
    <row r="3" spans="1:14" ht="19.5" customHeight="1">
      <c r="A3" s="297" t="s">
        <v>11</v>
      </c>
      <c r="B3" s="298" t="s">
        <v>12</v>
      </c>
      <c r="C3" s="3" t="s">
        <v>13</v>
      </c>
      <c r="D3" s="10">
        <f>+전체집계!F18</f>
        <v>544839159.1628298</v>
      </c>
      <c r="E3" s="11"/>
      <c r="F3" s="12"/>
      <c r="G3" s="13"/>
      <c r="H3" s="13"/>
      <c r="I3" s="13"/>
      <c r="J3" s="13"/>
      <c r="K3" s="13"/>
    </row>
    <row r="4" spans="1:14" ht="19.5" customHeight="1">
      <c r="A4" s="297"/>
      <c r="B4" s="297"/>
      <c r="C4" s="3" t="s">
        <v>14</v>
      </c>
      <c r="D4" s="14"/>
      <c r="E4" s="11"/>
      <c r="F4" s="12"/>
      <c r="G4" s="13"/>
      <c r="H4" s="13"/>
      <c r="I4" s="13"/>
      <c r="J4" s="13"/>
      <c r="K4" s="13"/>
    </row>
    <row r="5" spans="1:14" ht="19.5" customHeight="1">
      <c r="A5" s="297"/>
      <c r="B5" s="298"/>
      <c r="C5" s="3" t="s">
        <v>15</v>
      </c>
      <c r="D5" s="10">
        <f>SUM(D3:D4)</f>
        <v>544839159.1628298</v>
      </c>
      <c r="E5" s="11"/>
      <c r="F5" s="12">
        <f>IF(D5&gt;0,D5/D23,)</f>
        <v>0.4656744950109656</v>
      </c>
      <c r="G5" s="13"/>
      <c r="H5" s="13"/>
      <c r="I5" s="13"/>
      <c r="J5" s="13"/>
      <c r="K5" s="13"/>
    </row>
    <row r="6" spans="1:14" ht="19.5" customHeight="1">
      <c r="A6" s="297"/>
      <c r="B6" s="298" t="s">
        <v>16</v>
      </c>
      <c r="C6" s="3" t="s">
        <v>17</v>
      </c>
      <c r="D6" s="10">
        <f>+전체집계!H18</f>
        <v>400080589.77289706</v>
      </c>
      <c r="E6" s="11"/>
      <c r="F6" s="12"/>
      <c r="G6" s="13"/>
      <c r="H6" s="13"/>
      <c r="I6" s="13"/>
      <c r="J6" s="13"/>
      <c r="K6" s="13"/>
    </row>
    <row r="7" spans="1:14" ht="19.5" customHeight="1">
      <c r="A7" s="297"/>
      <c r="B7" s="297"/>
      <c r="C7" s="3" t="s">
        <v>18</v>
      </c>
      <c r="D7" s="10">
        <f>D6*L7</f>
        <v>20004029.488644853</v>
      </c>
      <c r="E7" s="11" t="str">
        <f>"직접노무비의 "&amp;TEXT(L7,"#0.00%")</f>
        <v>직접노무비의 5.00%</v>
      </c>
      <c r="F7" s="12"/>
      <c r="G7" s="13"/>
      <c r="H7" s="13"/>
      <c r="I7" s="13"/>
      <c r="J7" s="13"/>
      <c r="K7" s="13"/>
      <c r="L7" s="6">
        <v>0.05</v>
      </c>
    </row>
    <row r="8" spans="1:14" ht="19.5" customHeight="1">
      <c r="A8" s="297"/>
      <c r="B8" s="298"/>
      <c r="C8" s="3" t="s">
        <v>19</v>
      </c>
      <c r="D8" s="10">
        <f>SUM(D6:D7)</f>
        <v>420084619.2615419</v>
      </c>
      <c r="E8" s="11"/>
      <c r="F8" s="12">
        <f>IF(D8&gt;0,D8/D23,)</f>
        <v>0.359046683129523</v>
      </c>
      <c r="G8" s="13"/>
      <c r="H8" s="13"/>
      <c r="I8" s="13"/>
      <c r="J8" s="13"/>
      <c r="K8" s="13"/>
    </row>
    <row r="9" spans="1:14" ht="19.5" customHeight="1">
      <c r="A9" s="297"/>
      <c r="B9" s="298" t="s">
        <v>20</v>
      </c>
      <c r="C9" s="3" t="s">
        <v>21</v>
      </c>
      <c r="D9" s="10">
        <f>TRUNC(D5*L9)</f>
        <v>0</v>
      </c>
      <c r="E9" s="11" t="str">
        <f>"자재비의 "&amp;TEXT(L9,"#0.00%")</f>
        <v>자재비의 0.00%</v>
      </c>
      <c r="F9" s="12"/>
      <c r="G9" s="13"/>
      <c r="H9" s="13"/>
      <c r="I9" s="13"/>
      <c r="J9" s="13"/>
      <c r="K9" s="13"/>
    </row>
    <row r="10" spans="1:14" ht="19.5" customHeight="1">
      <c r="A10" s="297"/>
      <c r="B10" s="297"/>
      <c r="C10" s="3" t="s">
        <v>22</v>
      </c>
      <c r="D10" s="10">
        <f>+전체집계!J18</f>
        <v>85645002.93647501</v>
      </c>
      <c r="E10" s="11"/>
      <c r="F10" s="12"/>
      <c r="G10" s="13"/>
      <c r="H10" s="13"/>
      <c r="I10" s="13"/>
      <c r="J10" s="13"/>
      <c r="K10" s="13"/>
    </row>
    <row r="11" spans="1:14" ht="19.5" customHeight="1">
      <c r="A11" s="297"/>
      <c r="B11" s="297"/>
      <c r="C11" s="3" t="s">
        <v>23</v>
      </c>
      <c r="D11" s="10">
        <f>TRUNC(D8*L11)</f>
        <v>15963215</v>
      </c>
      <c r="E11" s="11" t="str">
        <f>"노무비의 "&amp;TEXT(L11,"#0.00%")</f>
        <v>노무비의 3.80%</v>
      </c>
      <c r="F11" s="12"/>
      <c r="G11" s="13"/>
      <c r="H11" s="13"/>
      <c r="I11" s="13"/>
      <c r="J11" s="13"/>
      <c r="K11" s="13"/>
      <c r="L11" s="6">
        <v>3.7999999999999999E-2</v>
      </c>
    </row>
    <row r="12" spans="1:14" ht="19.5" customHeight="1">
      <c r="A12" s="297"/>
      <c r="B12" s="297"/>
      <c r="C12" s="3" t="s">
        <v>24</v>
      </c>
      <c r="D12" s="10">
        <f>TRUNC(D8*L12)</f>
        <v>3654736</v>
      </c>
      <c r="E12" s="11" t="str">
        <f>"노무비의 "&amp;TEXT(L12,"#0.00%")</f>
        <v>노무비의 0.87%</v>
      </c>
      <c r="F12" s="12"/>
      <c r="G12" s="13"/>
      <c r="H12" s="13"/>
      <c r="I12" s="13"/>
      <c r="J12" s="13"/>
      <c r="K12" s="13"/>
      <c r="L12" s="6">
        <v>8.6999999999999994E-3</v>
      </c>
    </row>
    <row r="13" spans="1:14" ht="19.5" customHeight="1">
      <c r="A13" s="297"/>
      <c r="B13" s="297"/>
      <c r="C13" s="3" t="s">
        <v>25</v>
      </c>
      <c r="D13" s="10">
        <f>TRUNC(D6*L13)</f>
        <v>12922603</v>
      </c>
      <c r="E13" s="11" t="str">
        <f>"직접노무비의 "&amp;TEXT(L13,"#0.00%")</f>
        <v>직접노무비의 3.23%</v>
      </c>
      <c r="F13" s="12"/>
      <c r="G13" s="13"/>
      <c r="H13" s="13"/>
      <c r="I13" s="13"/>
      <c r="J13" s="13"/>
      <c r="K13" s="13"/>
      <c r="L13" s="6">
        <v>3.2300000000000002E-2</v>
      </c>
    </row>
    <row r="14" spans="1:14" ht="19.5" customHeight="1">
      <c r="A14" s="297"/>
      <c r="B14" s="297"/>
      <c r="C14" s="3" t="s">
        <v>26</v>
      </c>
      <c r="D14" s="10">
        <f>TRUNC(D6*L14)</f>
        <v>18003626</v>
      </c>
      <c r="E14" s="11" t="str">
        <f>"직접노무비의 "&amp;TEXT(L14,"#0.00%")</f>
        <v>직접노무비의 4.50%</v>
      </c>
      <c r="F14" s="12"/>
      <c r="G14" s="13"/>
      <c r="H14" s="13"/>
      <c r="I14" s="13"/>
      <c r="J14" s="13"/>
      <c r="K14" s="13"/>
      <c r="L14" s="6">
        <v>4.4999999999999998E-2</v>
      </c>
    </row>
    <row r="15" spans="1:14" ht="19.5" customHeight="1">
      <c r="A15" s="297"/>
      <c r="B15" s="297"/>
      <c r="C15" s="3" t="s">
        <v>27</v>
      </c>
      <c r="D15" s="10"/>
      <c r="E15" s="11" t="str">
        <f>"직접노무비의 "&amp;TEXT(L15,"#0.00%")</f>
        <v>직접노무비의 2.30%</v>
      </c>
      <c r="F15" s="12"/>
      <c r="G15" s="13"/>
      <c r="H15" s="13"/>
      <c r="I15" s="13"/>
      <c r="J15" s="13"/>
      <c r="K15" s="15" t="s">
        <v>28</v>
      </c>
      <c r="L15" s="6">
        <v>2.3E-2</v>
      </c>
      <c r="N15" s="16" t="s">
        <v>29</v>
      </c>
    </row>
    <row r="16" spans="1:14" ht="19.5" customHeight="1">
      <c r="A16" s="297"/>
      <c r="B16" s="297"/>
      <c r="C16" s="3" t="s">
        <v>30</v>
      </c>
      <c r="D16" s="10">
        <f>(TRUNC((D5+D6)*L16))</f>
        <v>18614919</v>
      </c>
      <c r="E16" s="11"/>
      <c r="F16" s="12"/>
      <c r="G16" s="13"/>
      <c r="H16" s="13"/>
      <c r="I16" s="13"/>
      <c r="J16" s="13"/>
      <c r="K16" s="13"/>
      <c r="L16" s="6">
        <v>1.9699999999999999E-2</v>
      </c>
      <c r="M16" s="17"/>
    </row>
    <row r="17" spans="1:16" ht="19.5" customHeight="1">
      <c r="A17" s="297"/>
      <c r="B17" s="297"/>
      <c r="C17" s="3" t="s">
        <v>31</v>
      </c>
      <c r="D17" s="10">
        <f>(D5+D8)*L17</f>
        <v>4824618.892121859</v>
      </c>
      <c r="E17" s="11" t="str">
        <f>"자재비+노무비의 "&amp;TEXT(L17,"#0.00%")&amp;""</f>
        <v>자재비+노무비의 0.50%</v>
      </c>
      <c r="F17" s="12"/>
      <c r="G17" s="13"/>
      <c r="H17" s="13"/>
      <c r="I17" s="13"/>
      <c r="J17" s="13"/>
      <c r="K17" s="13"/>
      <c r="L17" s="6">
        <v>5.0000000000000001E-3</v>
      </c>
    </row>
    <row r="18" spans="1:16" ht="19.5" customHeight="1">
      <c r="A18" s="297"/>
      <c r="B18" s="298"/>
      <c r="C18" s="3" t="s">
        <v>19</v>
      </c>
      <c r="D18" s="10">
        <f>SUM(D9:D17)</f>
        <v>159628720.82859686</v>
      </c>
      <c r="E18" s="11"/>
      <c r="F18" s="12">
        <f>IF(D18&gt;0,D18/D23,)</f>
        <v>0.13643480412700587</v>
      </c>
      <c r="G18" s="13"/>
      <c r="H18" s="13"/>
      <c r="I18" s="13"/>
      <c r="J18" s="13"/>
      <c r="K18" s="13"/>
    </row>
    <row r="19" spans="1:16" ht="19.5" customHeight="1">
      <c r="A19" s="297"/>
      <c r="B19" s="299" t="s">
        <v>32</v>
      </c>
      <c r="C19" s="299"/>
      <c r="D19" s="10">
        <f>D5+D8+D18</f>
        <v>1124552499.2529685</v>
      </c>
      <c r="E19" s="11"/>
      <c r="F19" s="12">
        <f>F5+F8+F18</f>
        <v>0.9611559822674944</v>
      </c>
      <c r="G19" s="13"/>
      <c r="H19" s="13"/>
      <c r="I19" s="13"/>
      <c r="J19" s="13"/>
      <c r="K19" s="13"/>
    </row>
    <row r="20" spans="1:16" ht="19.5" customHeight="1">
      <c r="A20" s="302" t="s">
        <v>33</v>
      </c>
      <c r="B20" s="299" t="s">
        <v>34</v>
      </c>
      <c r="C20" s="299"/>
      <c r="D20" s="18">
        <f>TRUNC(D19*L20)</f>
        <v>33736574</v>
      </c>
      <c r="E20" s="19" t="str">
        <f>"순공사비의 "&amp;TEXT(L20,"#0.00%")</f>
        <v>순공사비의 3.00%</v>
      </c>
      <c r="F20" s="20">
        <f>IF(D20&gt;0,D20/D23,)</f>
        <v>0.02883467863247863</v>
      </c>
      <c r="G20" s="21"/>
      <c r="H20" s="21"/>
      <c r="I20" s="21"/>
      <c r="J20" s="21"/>
      <c r="K20" s="22" t="s">
        <v>35</v>
      </c>
      <c r="L20" s="6">
        <v>0.03</v>
      </c>
      <c r="O20" s="23"/>
      <c r="P20" s="24"/>
    </row>
    <row r="21" spans="1:16" ht="19.5" customHeight="1">
      <c r="A21" s="302"/>
      <c r="B21" s="299" t="s">
        <v>36</v>
      </c>
      <c r="C21" s="299"/>
      <c r="D21" s="18">
        <f>TRUNC((D8+D18+D20)*L21)-558071</f>
        <v>11710927</v>
      </c>
      <c r="E21" s="19" t="str">
        <f>"노무비+경비+일반관리비의 "&amp;TEXT(L21,"#0.00%")</f>
        <v>노무비+경비+일반관리비의 2.00%</v>
      </c>
      <c r="F21" s="20">
        <f>IF(D21&gt;0,D21/D23,)</f>
        <v>0.010009339316239317</v>
      </c>
      <c r="G21" s="21"/>
      <c r="H21" s="21"/>
      <c r="I21" s="21"/>
      <c r="J21" s="21"/>
      <c r="K21" s="22" t="s">
        <v>35</v>
      </c>
      <c r="L21" s="6">
        <v>0.02</v>
      </c>
      <c r="N21" s="23"/>
      <c r="O21" s="23"/>
    </row>
    <row r="22" spans="1:16" ht="19.5" customHeight="1">
      <c r="A22" s="302"/>
      <c r="B22" s="299" t="s">
        <v>19</v>
      </c>
      <c r="C22" s="299"/>
      <c r="D22" s="10">
        <f>SUM(D20:D21)</f>
        <v>45447501</v>
      </c>
      <c r="E22" s="11"/>
      <c r="F22" s="12">
        <f>SUM(F20:F21)</f>
        <v>0.038844017948717946</v>
      </c>
      <c r="G22" s="13"/>
      <c r="H22" s="13"/>
      <c r="I22" s="13"/>
      <c r="J22" s="13"/>
      <c r="K22" s="15"/>
    </row>
    <row r="23" spans="1:16" s="29" customFormat="1" ht="19.5" customHeight="1">
      <c r="A23" s="300" t="s">
        <v>37</v>
      </c>
      <c r="B23" s="300"/>
      <c r="C23" s="300"/>
      <c r="D23" s="25">
        <f>TRUNC(D22+D19)+E22</f>
        <v>1170000000</v>
      </c>
      <c r="E23" s="26"/>
      <c r="F23" s="27">
        <f>(F5+F8+F18+F22)</f>
        <v>1.0000000002162124</v>
      </c>
      <c r="G23" s="28"/>
      <c r="H23" s="28"/>
      <c r="I23" s="28"/>
      <c r="J23" s="28"/>
      <c r="K23" s="35" t="s">
        <v>41</v>
      </c>
      <c r="L23" s="6"/>
      <c r="M23" s="6"/>
    </row>
    <row r="24" spans="1:16" s="29" customFormat="1" ht="19.5" customHeight="1">
      <c r="A24" s="300" t="s">
        <v>38</v>
      </c>
      <c r="B24" s="300"/>
      <c r="C24" s="300"/>
      <c r="D24" s="25">
        <f>+D23*0.1</f>
        <v>117000000</v>
      </c>
      <c r="E24" s="30"/>
      <c r="F24" s="27"/>
      <c r="G24" s="28"/>
      <c r="H24" s="28"/>
      <c r="I24" s="28"/>
      <c r="J24" s="28"/>
      <c r="K24" s="31"/>
      <c r="L24" s="6">
        <v>0.1</v>
      </c>
      <c r="M24" s="6"/>
    </row>
    <row r="25" spans="1:16" s="37" customFormat="1" ht="19.5" customHeight="1">
      <c r="A25" s="301" t="s">
        <v>39</v>
      </c>
      <c r="B25" s="301"/>
      <c r="C25" s="301"/>
      <c r="D25" s="25">
        <f>+D24+D23</f>
        <v>1287000000</v>
      </c>
      <c r="E25" s="32" t="s">
        <v>40</v>
      </c>
      <c r="F25" s="33"/>
      <c r="G25" s="34"/>
      <c r="H25" s="34"/>
      <c r="I25" s="34"/>
      <c r="J25" s="34"/>
      <c r="K25" s="35"/>
      <c r="L25" s="36"/>
      <c r="M25" s="36"/>
    </row>
    <row r="26" spans="1:16" ht="19.5" customHeight="1">
      <c r="E26" s="24"/>
    </row>
    <row r="27" spans="1:16" ht="19.5" customHeight="1">
      <c r="D27" s="38"/>
      <c r="E27" s="23"/>
    </row>
    <row r="28" spans="1:16" ht="19.5" customHeight="1">
      <c r="D28" s="38"/>
    </row>
    <row r="29" spans="1:16" ht="19.5" customHeight="1">
      <c r="D29" s="25">
        <v>610.41</v>
      </c>
    </row>
    <row r="30" spans="1:16" ht="19.5" customHeight="1">
      <c r="D30" s="25">
        <f>+D29*0.3025</f>
        <v>184.649025</v>
      </c>
    </row>
    <row r="31" spans="1:16" ht="19.5" customHeight="1">
      <c r="D31" s="25">
        <f>+D23/D30</f>
        <v>6336345.399061815</v>
      </c>
    </row>
    <row r="32" spans="1:16" ht="19.5" customHeight="1">
      <c r="D32" s="23">
        <f>+D25/D30</f>
        <v>6969979.938967996</v>
      </c>
    </row>
    <row r="33" spans="4:4" ht="19.5" customHeight="1">
      <c r="D33" s="23"/>
    </row>
  </sheetData>
  <mergeCells count="13">
    <mergeCell ref="A24:C24"/>
    <mergeCell ref="A25:C25"/>
    <mergeCell ref="A20:A22"/>
    <mergeCell ref="B20:C20"/>
    <mergeCell ref="B21:C21"/>
    <mergeCell ref="B22:C22"/>
    <mergeCell ref="A23:C23"/>
    <mergeCell ref="A2:C2"/>
    <mergeCell ref="A3:A19"/>
    <mergeCell ref="B3:B5"/>
    <mergeCell ref="B6:B8"/>
    <mergeCell ref="B9:B18"/>
    <mergeCell ref="B19:C19"/>
  </mergeCells>
  <phoneticPr fontId="14" type="noConversion"/>
  <hyperlinks>
    <hyperlink ref="N15" r:id="rId1"/>
  </hyperlinks>
  <printOptions horizontalCentered="1" verticalCentered="1"/>
  <pageMargins left="0.15763888888888899" right="0.15763888888888899" top="0.94444444444444398" bottom="0.39374999999999999" header="0.59027777777777801" footer="0.511811023622047"/>
  <pageSetup paperSize="9" orientation="landscape" horizontalDpi="300" verticalDpi="300" r:id="rId2"/>
  <headerFooter>
    <oddHeader>&amp;C&amp;"양재튼튼체B,Regular"&amp;20 공 사 원 가 계 산 서</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N1020"/>
  <sheetViews>
    <sheetView view="pageBreakPreview" zoomScale="55" zoomScaleNormal="90" zoomScalePageLayoutView="55" workbookViewId="0">
      <selection activeCell="I20" sqref="I20"/>
    </sheetView>
  </sheetViews>
  <sheetFormatPr defaultColWidth="8.88671875" defaultRowHeight="13.5"/>
  <cols>
    <col min="1" max="1" width="28.44140625" style="39" customWidth="1"/>
    <col min="2" max="2" width="23.109375" style="39" customWidth="1"/>
    <col min="3" max="3" width="7.77734375" style="40" customWidth="1"/>
    <col min="4" max="4" width="9.88671875" style="40" customWidth="1"/>
    <col min="5" max="5" width="13" style="39" customWidth="1"/>
    <col min="6" max="6" width="19.109375" style="39" customWidth="1"/>
    <col min="7" max="7" width="13" style="39" customWidth="1"/>
    <col min="8" max="8" width="19.109375" style="39" customWidth="1"/>
    <col min="9" max="9" width="13" style="39" customWidth="1"/>
    <col min="10" max="10" width="19.109375" style="39" customWidth="1"/>
    <col min="11" max="11" width="13" style="39" customWidth="1"/>
    <col min="12" max="12" width="19.109375" style="39" customWidth="1"/>
    <col min="13" max="13" width="10.44140625" style="39" customWidth="1"/>
    <col min="14" max="14" width="19.5546875" style="39" customWidth="1"/>
    <col min="15" max="254" width="8.88671875" style="39"/>
    <col min="255" max="255" width="30.109375" style="39" customWidth="1"/>
    <col min="256" max="256" width="10.5546875" style="39" customWidth="1"/>
    <col min="257" max="257" width="4.109375" style="39" customWidth="1"/>
    <col min="258" max="258" width="6.6640625" style="39" customWidth="1"/>
    <col min="259" max="259" width="13" style="39" customWidth="1"/>
    <col min="260" max="260" width="19.5546875" style="39" customWidth="1"/>
    <col min="261" max="261" width="13" style="39" customWidth="1"/>
    <col min="262" max="262" width="19.5546875" style="39" customWidth="1"/>
    <col min="263" max="263" width="13" style="39" customWidth="1"/>
    <col min="264" max="264" width="19.5546875" style="39" customWidth="1"/>
    <col min="265" max="265" width="13" style="39" customWidth="1"/>
    <col min="266" max="266" width="18.6640625" style="39" customWidth="1"/>
    <col min="267" max="267" width="10.44140625" style="39" customWidth="1"/>
    <col min="268" max="268" width="8.88671875" style="39"/>
    <col min="269" max="269" width="23.33203125" style="39" customWidth="1"/>
    <col min="270" max="270" width="14.77734375" style="39" customWidth="1"/>
    <col min="271" max="510" width="8.88671875" style="39"/>
    <col min="511" max="511" width="30.109375" style="39" customWidth="1"/>
    <col min="512" max="512" width="10.5546875" style="39" customWidth="1"/>
    <col min="513" max="513" width="4.109375" style="39" customWidth="1"/>
    <col min="514" max="514" width="6.6640625" style="39" customWidth="1"/>
    <col min="515" max="515" width="13" style="39" customWidth="1"/>
    <col min="516" max="516" width="19.5546875" style="39" customWidth="1"/>
    <col min="517" max="517" width="13" style="39" customWidth="1"/>
    <col min="518" max="518" width="19.5546875" style="39" customWidth="1"/>
    <col min="519" max="519" width="13" style="39" customWidth="1"/>
    <col min="520" max="520" width="19.5546875" style="39" customWidth="1"/>
    <col min="521" max="521" width="13" style="39" customWidth="1"/>
    <col min="522" max="522" width="18.6640625" style="39" customWidth="1"/>
    <col min="523" max="523" width="10.44140625" style="39" customWidth="1"/>
    <col min="524" max="524" width="8.88671875" style="39"/>
    <col min="525" max="525" width="23.33203125" style="39" customWidth="1"/>
    <col min="526" max="526" width="14.77734375" style="39" customWidth="1"/>
    <col min="527" max="766" width="8.88671875" style="39"/>
    <col min="767" max="767" width="30.109375" style="39" customWidth="1"/>
    <col min="768" max="768" width="10.5546875" style="39" customWidth="1"/>
    <col min="769" max="769" width="4.109375" style="39" customWidth="1"/>
    <col min="770" max="770" width="6.6640625" style="39" customWidth="1"/>
    <col min="771" max="771" width="13" style="39" customWidth="1"/>
    <col min="772" max="772" width="19.5546875" style="39" customWidth="1"/>
    <col min="773" max="773" width="13" style="39" customWidth="1"/>
    <col min="774" max="774" width="19.5546875" style="39" customWidth="1"/>
    <col min="775" max="775" width="13" style="39" customWidth="1"/>
    <col min="776" max="776" width="19.5546875" style="39" customWidth="1"/>
    <col min="777" max="777" width="13" style="39" customWidth="1"/>
    <col min="778" max="778" width="18.6640625" style="39" customWidth="1"/>
    <col min="779" max="779" width="10.44140625" style="39" customWidth="1"/>
    <col min="780" max="780" width="8.88671875" style="39"/>
    <col min="781" max="781" width="23.33203125" style="39" customWidth="1"/>
    <col min="782" max="782" width="14.77734375" style="39" customWidth="1"/>
    <col min="783" max="1022" width="8.88671875" style="39"/>
    <col min="1023" max="1023" width="30.109375" style="39" customWidth="1"/>
    <col min="1024" max="1024" width="10.5546875" style="39" customWidth="1"/>
    <col min="1025" max="1025" width="4.109375" style="39" customWidth="1"/>
    <col min="1026" max="1026" width="6.6640625" style="39" customWidth="1"/>
    <col min="1027" max="1027" width="13" style="39" customWidth="1"/>
    <col min="1028" max="1028" width="19.5546875" style="39" customWidth="1"/>
    <col min="1029" max="1029" width="13" style="39" customWidth="1"/>
    <col min="1030" max="1030" width="19.5546875" style="39" customWidth="1"/>
    <col min="1031" max="1031" width="13" style="39" customWidth="1"/>
    <col min="1032" max="1032" width="19.5546875" style="39" customWidth="1"/>
    <col min="1033" max="1033" width="13" style="39" customWidth="1"/>
    <col min="1034" max="1034" width="18.6640625" style="39" customWidth="1"/>
    <col min="1035" max="1035" width="10.44140625" style="39" customWidth="1"/>
    <col min="1036" max="1036" width="8.88671875" style="39"/>
    <col min="1037" max="1037" width="23.33203125" style="39" customWidth="1"/>
    <col min="1038" max="1038" width="14.77734375" style="39" customWidth="1"/>
    <col min="1039" max="1278" width="8.88671875" style="39"/>
    <col min="1279" max="1279" width="30.109375" style="39" customWidth="1"/>
    <col min="1280" max="1280" width="10.5546875" style="39" customWidth="1"/>
    <col min="1281" max="1281" width="4.109375" style="39" customWidth="1"/>
    <col min="1282" max="1282" width="6.6640625" style="39" customWidth="1"/>
    <col min="1283" max="1283" width="13" style="39" customWidth="1"/>
    <col min="1284" max="1284" width="19.5546875" style="39" customWidth="1"/>
    <col min="1285" max="1285" width="13" style="39" customWidth="1"/>
    <col min="1286" max="1286" width="19.5546875" style="39" customWidth="1"/>
    <col min="1287" max="1287" width="13" style="39" customWidth="1"/>
    <col min="1288" max="1288" width="19.5546875" style="39" customWidth="1"/>
    <col min="1289" max="1289" width="13" style="39" customWidth="1"/>
    <col min="1290" max="1290" width="18.6640625" style="39" customWidth="1"/>
    <col min="1291" max="1291" width="10.44140625" style="39" customWidth="1"/>
    <col min="1292" max="1292" width="8.88671875" style="39"/>
    <col min="1293" max="1293" width="23.33203125" style="39" customWidth="1"/>
    <col min="1294" max="1294" width="14.77734375" style="39" customWidth="1"/>
    <col min="1295" max="1534" width="8.88671875" style="39"/>
    <col min="1535" max="1535" width="30.109375" style="39" customWidth="1"/>
    <col min="1536" max="1536" width="10.5546875" style="39" customWidth="1"/>
    <col min="1537" max="1537" width="4.109375" style="39" customWidth="1"/>
    <col min="1538" max="1538" width="6.6640625" style="39" customWidth="1"/>
    <col min="1539" max="1539" width="13" style="39" customWidth="1"/>
    <col min="1540" max="1540" width="19.5546875" style="39" customWidth="1"/>
    <col min="1541" max="1541" width="13" style="39" customWidth="1"/>
    <col min="1542" max="1542" width="19.5546875" style="39" customWidth="1"/>
    <col min="1543" max="1543" width="13" style="39" customWidth="1"/>
    <col min="1544" max="1544" width="19.5546875" style="39" customWidth="1"/>
    <col min="1545" max="1545" width="13" style="39" customWidth="1"/>
    <col min="1546" max="1546" width="18.6640625" style="39" customWidth="1"/>
    <col min="1547" max="1547" width="10.44140625" style="39" customWidth="1"/>
    <col min="1548" max="1548" width="8.88671875" style="39"/>
    <col min="1549" max="1549" width="23.33203125" style="39" customWidth="1"/>
    <col min="1550" max="1550" width="14.77734375" style="39" customWidth="1"/>
    <col min="1551" max="1790" width="8.88671875" style="39"/>
    <col min="1791" max="1791" width="30.109375" style="39" customWidth="1"/>
    <col min="1792" max="1792" width="10.5546875" style="39" customWidth="1"/>
    <col min="1793" max="1793" width="4.109375" style="39" customWidth="1"/>
    <col min="1794" max="1794" width="6.6640625" style="39" customWidth="1"/>
    <col min="1795" max="1795" width="13" style="39" customWidth="1"/>
    <col min="1796" max="1796" width="19.5546875" style="39" customWidth="1"/>
    <col min="1797" max="1797" width="13" style="39" customWidth="1"/>
    <col min="1798" max="1798" width="19.5546875" style="39" customWidth="1"/>
    <col min="1799" max="1799" width="13" style="39" customWidth="1"/>
    <col min="1800" max="1800" width="19.5546875" style="39" customWidth="1"/>
    <col min="1801" max="1801" width="13" style="39" customWidth="1"/>
    <col min="1802" max="1802" width="18.6640625" style="39" customWidth="1"/>
    <col min="1803" max="1803" width="10.44140625" style="39" customWidth="1"/>
    <col min="1804" max="1804" width="8.88671875" style="39"/>
    <col min="1805" max="1805" width="23.33203125" style="39" customWidth="1"/>
    <col min="1806" max="1806" width="14.77734375" style="39" customWidth="1"/>
    <col min="1807" max="2046" width="8.88671875" style="39"/>
    <col min="2047" max="2047" width="30.109375" style="39" customWidth="1"/>
    <col min="2048" max="2048" width="10.5546875" style="39" customWidth="1"/>
    <col min="2049" max="2049" width="4.109375" style="39" customWidth="1"/>
    <col min="2050" max="2050" width="6.6640625" style="39" customWidth="1"/>
    <col min="2051" max="2051" width="13" style="39" customWidth="1"/>
    <col min="2052" max="2052" width="19.5546875" style="39" customWidth="1"/>
    <col min="2053" max="2053" width="13" style="39" customWidth="1"/>
    <col min="2054" max="2054" width="19.5546875" style="39" customWidth="1"/>
    <col min="2055" max="2055" width="13" style="39" customWidth="1"/>
    <col min="2056" max="2056" width="19.5546875" style="39" customWidth="1"/>
    <col min="2057" max="2057" width="13" style="39" customWidth="1"/>
    <col min="2058" max="2058" width="18.6640625" style="39" customWidth="1"/>
    <col min="2059" max="2059" width="10.44140625" style="39" customWidth="1"/>
    <col min="2060" max="2060" width="8.88671875" style="39"/>
    <col min="2061" max="2061" width="23.33203125" style="39" customWidth="1"/>
    <col min="2062" max="2062" width="14.77734375" style="39" customWidth="1"/>
    <col min="2063" max="2302" width="8.88671875" style="39"/>
    <col min="2303" max="2303" width="30.109375" style="39" customWidth="1"/>
    <col min="2304" max="2304" width="10.5546875" style="39" customWidth="1"/>
    <col min="2305" max="2305" width="4.109375" style="39" customWidth="1"/>
    <col min="2306" max="2306" width="6.6640625" style="39" customWidth="1"/>
    <col min="2307" max="2307" width="13" style="39" customWidth="1"/>
    <col min="2308" max="2308" width="19.5546875" style="39" customWidth="1"/>
    <col min="2309" max="2309" width="13" style="39" customWidth="1"/>
    <col min="2310" max="2310" width="19.5546875" style="39" customWidth="1"/>
    <col min="2311" max="2311" width="13" style="39" customWidth="1"/>
    <col min="2312" max="2312" width="19.5546875" style="39" customWidth="1"/>
    <col min="2313" max="2313" width="13" style="39" customWidth="1"/>
    <col min="2314" max="2314" width="18.6640625" style="39" customWidth="1"/>
    <col min="2315" max="2315" width="10.44140625" style="39" customWidth="1"/>
    <col min="2316" max="2316" width="8.88671875" style="39"/>
    <col min="2317" max="2317" width="23.33203125" style="39" customWidth="1"/>
    <col min="2318" max="2318" width="14.77734375" style="39" customWidth="1"/>
    <col min="2319" max="2558" width="8.88671875" style="39"/>
    <col min="2559" max="2559" width="30.109375" style="39" customWidth="1"/>
    <col min="2560" max="2560" width="10.5546875" style="39" customWidth="1"/>
    <col min="2561" max="2561" width="4.109375" style="39" customWidth="1"/>
    <col min="2562" max="2562" width="6.6640625" style="39" customWidth="1"/>
    <col min="2563" max="2563" width="13" style="39" customWidth="1"/>
    <col min="2564" max="2564" width="19.5546875" style="39" customWidth="1"/>
    <col min="2565" max="2565" width="13" style="39" customWidth="1"/>
    <col min="2566" max="2566" width="19.5546875" style="39" customWidth="1"/>
    <col min="2567" max="2567" width="13" style="39" customWidth="1"/>
    <col min="2568" max="2568" width="19.5546875" style="39" customWidth="1"/>
    <col min="2569" max="2569" width="13" style="39" customWidth="1"/>
    <col min="2570" max="2570" width="18.6640625" style="39" customWidth="1"/>
    <col min="2571" max="2571" width="10.44140625" style="39" customWidth="1"/>
    <col min="2572" max="2572" width="8.88671875" style="39"/>
    <col min="2573" max="2573" width="23.33203125" style="39" customWidth="1"/>
    <col min="2574" max="2574" width="14.77734375" style="39" customWidth="1"/>
    <col min="2575" max="2814" width="8.88671875" style="39"/>
    <col min="2815" max="2815" width="30.109375" style="39" customWidth="1"/>
    <col min="2816" max="2816" width="10.5546875" style="39" customWidth="1"/>
    <col min="2817" max="2817" width="4.109375" style="39" customWidth="1"/>
    <col min="2818" max="2818" width="6.6640625" style="39" customWidth="1"/>
    <col min="2819" max="2819" width="13" style="39" customWidth="1"/>
    <col min="2820" max="2820" width="19.5546875" style="39" customWidth="1"/>
    <col min="2821" max="2821" width="13" style="39" customWidth="1"/>
    <col min="2822" max="2822" width="19.5546875" style="39" customWidth="1"/>
    <col min="2823" max="2823" width="13" style="39" customWidth="1"/>
    <col min="2824" max="2824" width="19.5546875" style="39" customWidth="1"/>
    <col min="2825" max="2825" width="13" style="39" customWidth="1"/>
    <col min="2826" max="2826" width="18.6640625" style="39" customWidth="1"/>
    <col min="2827" max="2827" width="10.44140625" style="39" customWidth="1"/>
    <col min="2828" max="2828" width="8.88671875" style="39"/>
    <col min="2829" max="2829" width="23.33203125" style="39" customWidth="1"/>
    <col min="2830" max="2830" width="14.77734375" style="39" customWidth="1"/>
    <col min="2831" max="3070" width="8.88671875" style="39"/>
    <col min="3071" max="3071" width="30.109375" style="39" customWidth="1"/>
    <col min="3072" max="3072" width="10.5546875" style="39" customWidth="1"/>
    <col min="3073" max="3073" width="4.109375" style="39" customWidth="1"/>
    <col min="3074" max="3074" width="6.6640625" style="39" customWidth="1"/>
    <col min="3075" max="3075" width="13" style="39" customWidth="1"/>
    <col min="3076" max="3076" width="19.5546875" style="39" customWidth="1"/>
    <col min="3077" max="3077" width="13" style="39" customWidth="1"/>
    <col min="3078" max="3078" width="19.5546875" style="39" customWidth="1"/>
    <col min="3079" max="3079" width="13" style="39" customWidth="1"/>
    <col min="3080" max="3080" width="19.5546875" style="39" customWidth="1"/>
    <col min="3081" max="3081" width="13" style="39" customWidth="1"/>
    <col min="3082" max="3082" width="18.6640625" style="39" customWidth="1"/>
    <col min="3083" max="3083" width="10.44140625" style="39" customWidth="1"/>
    <col min="3084" max="3084" width="8.88671875" style="39"/>
    <col min="3085" max="3085" width="23.33203125" style="39" customWidth="1"/>
    <col min="3086" max="3086" width="14.77734375" style="39" customWidth="1"/>
    <col min="3087" max="3326" width="8.88671875" style="39"/>
    <col min="3327" max="3327" width="30.109375" style="39" customWidth="1"/>
    <col min="3328" max="3328" width="10.5546875" style="39" customWidth="1"/>
    <col min="3329" max="3329" width="4.109375" style="39" customWidth="1"/>
    <col min="3330" max="3330" width="6.6640625" style="39" customWidth="1"/>
    <col min="3331" max="3331" width="13" style="39" customWidth="1"/>
    <col min="3332" max="3332" width="19.5546875" style="39" customWidth="1"/>
    <col min="3333" max="3333" width="13" style="39" customWidth="1"/>
    <col min="3334" max="3334" width="19.5546875" style="39" customWidth="1"/>
    <col min="3335" max="3335" width="13" style="39" customWidth="1"/>
    <col min="3336" max="3336" width="19.5546875" style="39" customWidth="1"/>
    <col min="3337" max="3337" width="13" style="39" customWidth="1"/>
    <col min="3338" max="3338" width="18.6640625" style="39" customWidth="1"/>
    <col min="3339" max="3339" width="10.44140625" style="39" customWidth="1"/>
    <col min="3340" max="3340" width="8.88671875" style="39"/>
    <col min="3341" max="3341" width="23.33203125" style="39" customWidth="1"/>
    <col min="3342" max="3342" width="14.77734375" style="39" customWidth="1"/>
    <col min="3343" max="3582" width="8.88671875" style="39"/>
    <col min="3583" max="3583" width="30.109375" style="39" customWidth="1"/>
    <col min="3584" max="3584" width="10.5546875" style="39" customWidth="1"/>
    <col min="3585" max="3585" width="4.109375" style="39" customWidth="1"/>
    <col min="3586" max="3586" width="6.6640625" style="39" customWidth="1"/>
    <col min="3587" max="3587" width="13" style="39" customWidth="1"/>
    <col min="3588" max="3588" width="19.5546875" style="39" customWidth="1"/>
    <col min="3589" max="3589" width="13" style="39" customWidth="1"/>
    <col min="3590" max="3590" width="19.5546875" style="39" customWidth="1"/>
    <col min="3591" max="3591" width="13" style="39" customWidth="1"/>
    <col min="3592" max="3592" width="19.5546875" style="39" customWidth="1"/>
    <col min="3593" max="3593" width="13" style="39" customWidth="1"/>
    <col min="3594" max="3594" width="18.6640625" style="39" customWidth="1"/>
    <col min="3595" max="3595" width="10.44140625" style="39" customWidth="1"/>
    <col min="3596" max="3596" width="8.88671875" style="39"/>
    <col min="3597" max="3597" width="23.33203125" style="39" customWidth="1"/>
    <col min="3598" max="3598" width="14.77734375" style="39" customWidth="1"/>
    <col min="3599" max="3838" width="8.88671875" style="39"/>
    <col min="3839" max="3839" width="30.109375" style="39" customWidth="1"/>
    <col min="3840" max="3840" width="10.5546875" style="39" customWidth="1"/>
    <col min="3841" max="3841" width="4.109375" style="39" customWidth="1"/>
    <col min="3842" max="3842" width="6.6640625" style="39" customWidth="1"/>
    <col min="3843" max="3843" width="13" style="39" customWidth="1"/>
    <col min="3844" max="3844" width="19.5546875" style="39" customWidth="1"/>
    <col min="3845" max="3845" width="13" style="39" customWidth="1"/>
    <col min="3846" max="3846" width="19.5546875" style="39" customWidth="1"/>
    <col min="3847" max="3847" width="13" style="39" customWidth="1"/>
    <col min="3848" max="3848" width="19.5546875" style="39" customWidth="1"/>
    <col min="3849" max="3849" width="13" style="39" customWidth="1"/>
    <col min="3850" max="3850" width="18.6640625" style="39" customWidth="1"/>
    <col min="3851" max="3851" width="10.44140625" style="39" customWidth="1"/>
    <col min="3852" max="3852" width="8.88671875" style="39"/>
    <col min="3853" max="3853" width="23.33203125" style="39" customWidth="1"/>
    <col min="3854" max="3854" width="14.77734375" style="39" customWidth="1"/>
    <col min="3855" max="4094" width="8.88671875" style="39"/>
    <col min="4095" max="4095" width="30.109375" style="39" customWidth="1"/>
    <col min="4096" max="4096" width="10.5546875" style="39" customWidth="1"/>
    <col min="4097" max="4097" width="4.109375" style="39" customWidth="1"/>
    <col min="4098" max="4098" width="6.6640625" style="39" customWidth="1"/>
    <col min="4099" max="4099" width="13" style="39" customWidth="1"/>
    <col min="4100" max="4100" width="19.5546875" style="39" customWidth="1"/>
    <col min="4101" max="4101" width="13" style="39" customWidth="1"/>
    <col min="4102" max="4102" width="19.5546875" style="39" customWidth="1"/>
    <col min="4103" max="4103" width="13" style="39" customWidth="1"/>
    <col min="4104" max="4104" width="19.5546875" style="39" customWidth="1"/>
    <col min="4105" max="4105" width="13" style="39" customWidth="1"/>
    <col min="4106" max="4106" width="18.6640625" style="39" customWidth="1"/>
    <col min="4107" max="4107" width="10.44140625" style="39" customWidth="1"/>
    <col min="4108" max="4108" width="8.88671875" style="39"/>
    <col min="4109" max="4109" width="23.33203125" style="39" customWidth="1"/>
    <col min="4110" max="4110" width="14.77734375" style="39" customWidth="1"/>
    <col min="4111" max="4350" width="8.88671875" style="39"/>
    <col min="4351" max="4351" width="30.109375" style="39" customWidth="1"/>
    <col min="4352" max="4352" width="10.5546875" style="39" customWidth="1"/>
    <col min="4353" max="4353" width="4.109375" style="39" customWidth="1"/>
    <col min="4354" max="4354" width="6.6640625" style="39" customWidth="1"/>
    <col min="4355" max="4355" width="13" style="39" customWidth="1"/>
    <col min="4356" max="4356" width="19.5546875" style="39" customWidth="1"/>
    <col min="4357" max="4357" width="13" style="39" customWidth="1"/>
    <col min="4358" max="4358" width="19.5546875" style="39" customWidth="1"/>
    <col min="4359" max="4359" width="13" style="39" customWidth="1"/>
    <col min="4360" max="4360" width="19.5546875" style="39" customWidth="1"/>
    <col min="4361" max="4361" width="13" style="39" customWidth="1"/>
    <col min="4362" max="4362" width="18.6640625" style="39" customWidth="1"/>
    <col min="4363" max="4363" width="10.44140625" style="39" customWidth="1"/>
    <col min="4364" max="4364" width="8.88671875" style="39"/>
    <col min="4365" max="4365" width="23.33203125" style="39" customWidth="1"/>
    <col min="4366" max="4366" width="14.77734375" style="39" customWidth="1"/>
    <col min="4367" max="4606" width="8.88671875" style="39"/>
    <col min="4607" max="4607" width="30.109375" style="39" customWidth="1"/>
    <col min="4608" max="4608" width="10.5546875" style="39" customWidth="1"/>
    <col min="4609" max="4609" width="4.109375" style="39" customWidth="1"/>
    <col min="4610" max="4610" width="6.6640625" style="39" customWidth="1"/>
    <col min="4611" max="4611" width="13" style="39" customWidth="1"/>
    <col min="4612" max="4612" width="19.5546875" style="39" customWidth="1"/>
    <col min="4613" max="4613" width="13" style="39" customWidth="1"/>
    <col min="4614" max="4614" width="19.5546875" style="39" customWidth="1"/>
    <col min="4615" max="4615" width="13" style="39" customWidth="1"/>
    <col min="4616" max="4616" width="19.5546875" style="39" customWidth="1"/>
    <col min="4617" max="4617" width="13" style="39" customWidth="1"/>
    <col min="4618" max="4618" width="18.6640625" style="39" customWidth="1"/>
    <col min="4619" max="4619" width="10.44140625" style="39" customWidth="1"/>
    <col min="4620" max="4620" width="8.88671875" style="39"/>
    <col min="4621" max="4621" width="23.33203125" style="39" customWidth="1"/>
    <col min="4622" max="4622" width="14.77734375" style="39" customWidth="1"/>
    <col min="4623" max="4862" width="8.88671875" style="39"/>
    <col min="4863" max="4863" width="30.109375" style="39" customWidth="1"/>
    <col min="4864" max="4864" width="10.5546875" style="39" customWidth="1"/>
    <col min="4865" max="4865" width="4.109375" style="39" customWidth="1"/>
    <col min="4866" max="4866" width="6.6640625" style="39" customWidth="1"/>
    <col min="4867" max="4867" width="13" style="39" customWidth="1"/>
    <col min="4868" max="4868" width="19.5546875" style="39" customWidth="1"/>
    <col min="4869" max="4869" width="13" style="39" customWidth="1"/>
    <col min="4870" max="4870" width="19.5546875" style="39" customWidth="1"/>
    <col min="4871" max="4871" width="13" style="39" customWidth="1"/>
    <col min="4872" max="4872" width="19.5546875" style="39" customWidth="1"/>
    <col min="4873" max="4873" width="13" style="39" customWidth="1"/>
    <col min="4874" max="4874" width="18.6640625" style="39" customWidth="1"/>
    <col min="4875" max="4875" width="10.44140625" style="39" customWidth="1"/>
    <col min="4876" max="4876" width="8.88671875" style="39"/>
    <col min="4877" max="4877" width="23.33203125" style="39" customWidth="1"/>
    <col min="4878" max="4878" width="14.77734375" style="39" customWidth="1"/>
    <col min="4879" max="5118" width="8.88671875" style="39"/>
    <col min="5119" max="5119" width="30.109375" style="39" customWidth="1"/>
    <col min="5120" max="5120" width="10.5546875" style="39" customWidth="1"/>
    <col min="5121" max="5121" width="4.109375" style="39" customWidth="1"/>
    <col min="5122" max="5122" width="6.6640625" style="39" customWidth="1"/>
    <col min="5123" max="5123" width="13" style="39" customWidth="1"/>
    <col min="5124" max="5124" width="19.5546875" style="39" customWidth="1"/>
    <col min="5125" max="5125" width="13" style="39" customWidth="1"/>
    <col min="5126" max="5126" width="19.5546875" style="39" customWidth="1"/>
    <col min="5127" max="5127" width="13" style="39" customWidth="1"/>
    <col min="5128" max="5128" width="19.5546875" style="39" customWidth="1"/>
    <col min="5129" max="5129" width="13" style="39" customWidth="1"/>
    <col min="5130" max="5130" width="18.6640625" style="39" customWidth="1"/>
    <col min="5131" max="5131" width="10.44140625" style="39" customWidth="1"/>
    <col min="5132" max="5132" width="8.88671875" style="39"/>
    <col min="5133" max="5133" width="23.33203125" style="39" customWidth="1"/>
    <col min="5134" max="5134" width="14.77734375" style="39" customWidth="1"/>
    <col min="5135" max="5374" width="8.88671875" style="39"/>
    <col min="5375" max="5375" width="30.109375" style="39" customWidth="1"/>
    <col min="5376" max="5376" width="10.5546875" style="39" customWidth="1"/>
    <col min="5377" max="5377" width="4.109375" style="39" customWidth="1"/>
    <col min="5378" max="5378" width="6.6640625" style="39" customWidth="1"/>
    <col min="5379" max="5379" width="13" style="39" customWidth="1"/>
    <col min="5380" max="5380" width="19.5546875" style="39" customWidth="1"/>
    <col min="5381" max="5381" width="13" style="39" customWidth="1"/>
    <col min="5382" max="5382" width="19.5546875" style="39" customWidth="1"/>
    <col min="5383" max="5383" width="13" style="39" customWidth="1"/>
    <col min="5384" max="5384" width="19.5546875" style="39" customWidth="1"/>
    <col min="5385" max="5385" width="13" style="39" customWidth="1"/>
    <col min="5386" max="5386" width="18.6640625" style="39" customWidth="1"/>
    <col min="5387" max="5387" width="10.44140625" style="39" customWidth="1"/>
    <col min="5388" max="5388" width="8.88671875" style="39"/>
    <col min="5389" max="5389" width="23.33203125" style="39" customWidth="1"/>
    <col min="5390" max="5390" width="14.77734375" style="39" customWidth="1"/>
    <col min="5391" max="5630" width="8.88671875" style="39"/>
    <col min="5631" max="5631" width="30.109375" style="39" customWidth="1"/>
    <col min="5632" max="5632" width="10.5546875" style="39" customWidth="1"/>
    <col min="5633" max="5633" width="4.109375" style="39" customWidth="1"/>
    <col min="5634" max="5634" width="6.6640625" style="39" customWidth="1"/>
    <col min="5635" max="5635" width="13" style="39" customWidth="1"/>
    <col min="5636" max="5636" width="19.5546875" style="39" customWidth="1"/>
    <col min="5637" max="5637" width="13" style="39" customWidth="1"/>
    <col min="5638" max="5638" width="19.5546875" style="39" customWidth="1"/>
    <col min="5639" max="5639" width="13" style="39" customWidth="1"/>
    <col min="5640" max="5640" width="19.5546875" style="39" customWidth="1"/>
    <col min="5641" max="5641" width="13" style="39" customWidth="1"/>
    <col min="5642" max="5642" width="18.6640625" style="39" customWidth="1"/>
    <col min="5643" max="5643" width="10.44140625" style="39" customWidth="1"/>
    <col min="5644" max="5644" width="8.88671875" style="39"/>
    <col min="5645" max="5645" width="23.33203125" style="39" customWidth="1"/>
    <col min="5646" max="5646" width="14.77734375" style="39" customWidth="1"/>
    <col min="5647" max="5886" width="8.88671875" style="39"/>
    <col min="5887" max="5887" width="30.109375" style="39" customWidth="1"/>
    <col min="5888" max="5888" width="10.5546875" style="39" customWidth="1"/>
    <col min="5889" max="5889" width="4.109375" style="39" customWidth="1"/>
    <col min="5890" max="5890" width="6.6640625" style="39" customWidth="1"/>
    <col min="5891" max="5891" width="13" style="39" customWidth="1"/>
    <col min="5892" max="5892" width="19.5546875" style="39" customWidth="1"/>
    <col min="5893" max="5893" width="13" style="39" customWidth="1"/>
    <col min="5894" max="5894" width="19.5546875" style="39" customWidth="1"/>
    <col min="5895" max="5895" width="13" style="39" customWidth="1"/>
    <col min="5896" max="5896" width="19.5546875" style="39" customWidth="1"/>
    <col min="5897" max="5897" width="13" style="39" customWidth="1"/>
    <col min="5898" max="5898" width="18.6640625" style="39" customWidth="1"/>
    <col min="5899" max="5899" width="10.44140625" style="39" customWidth="1"/>
    <col min="5900" max="5900" width="8.88671875" style="39"/>
    <col min="5901" max="5901" width="23.33203125" style="39" customWidth="1"/>
    <col min="5902" max="5902" width="14.77734375" style="39" customWidth="1"/>
    <col min="5903" max="6142" width="8.88671875" style="39"/>
    <col min="6143" max="6143" width="30.109375" style="39" customWidth="1"/>
    <col min="6144" max="6144" width="10.5546875" style="39" customWidth="1"/>
    <col min="6145" max="6145" width="4.109375" style="39" customWidth="1"/>
    <col min="6146" max="6146" width="6.6640625" style="39" customWidth="1"/>
    <col min="6147" max="6147" width="13" style="39" customWidth="1"/>
    <col min="6148" max="6148" width="19.5546875" style="39" customWidth="1"/>
    <col min="6149" max="6149" width="13" style="39" customWidth="1"/>
    <col min="6150" max="6150" width="19.5546875" style="39" customWidth="1"/>
    <col min="6151" max="6151" width="13" style="39" customWidth="1"/>
    <col min="6152" max="6152" width="19.5546875" style="39" customWidth="1"/>
    <col min="6153" max="6153" width="13" style="39" customWidth="1"/>
    <col min="6154" max="6154" width="18.6640625" style="39" customWidth="1"/>
    <col min="6155" max="6155" width="10.44140625" style="39" customWidth="1"/>
    <col min="6156" max="6156" width="8.88671875" style="39"/>
    <col min="6157" max="6157" width="23.33203125" style="39" customWidth="1"/>
    <col min="6158" max="6158" width="14.77734375" style="39" customWidth="1"/>
    <col min="6159" max="6398" width="8.88671875" style="39"/>
    <col min="6399" max="6399" width="30.109375" style="39" customWidth="1"/>
    <col min="6400" max="6400" width="10.5546875" style="39" customWidth="1"/>
    <col min="6401" max="6401" width="4.109375" style="39" customWidth="1"/>
    <col min="6402" max="6402" width="6.6640625" style="39" customWidth="1"/>
    <col min="6403" max="6403" width="13" style="39" customWidth="1"/>
    <col min="6404" max="6404" width="19.5546875" style="39" customWidth="1"/>
    <col min="6405" max="6405" width="13" style="39" customWidth="1"/>
    <col min="6406" max="6406" width="19.5546875" style="39" customWidth="1"/>
    <col min="6407" max="6407" width="13" style="39" customWidth="1"/>
    <col min="6408" max="6408" width="19.5546875" style="39" customWidth="1"/>
    <col min="6409" max="6409" width="13" style="39" customWidth="1"/>
    <col min="6410" max="6410" width="18.6640625" style="39" customWidth="1"/>
    <col min="6411" max="6411" width="10.44140625" style="39" customWidth="1"/>
    <col min="6412" max="6412" width="8.88671875" style="39"/>
    <col min="6413" max="6413" width="23.33203125" style="39" customWidth="1"/>
    <col min="6414" max="6414" width="14.77734375" style="39" customWidth="1"/>
    <col min="6415" max="6654" width="8.88671875" style="39"/>
    <col min="6655" max="6655" width="30.109375" style="39" customWidth="1"/>
    <col min="6656" max="6656" width="10.5546875" style="39" customWidth="1"/>
    <col min="6657" max="6657" width="4.109375" style="39" customWidth="1"/>
    <col min="6658" max="6658" width="6.6640625" style="39" customWidth="1"/>
    <col min="6659" max="6659" width="13" style="39" customWidth="1"/>
    <col min="6660" max="6660" width="19.5546875" style="39" customWidth="1"/>
    <col min="6661" max="6661" width="13" style="39" customWidth="1"/>
    <col min="6662" max="6662" width="19.5546875" style="39" customWidth="1"/>
    <col min="6663" max="6663" width="13" style="39" customWidth="1"/>
    <col min="6664" max="6664" width="19.5546875" style="39" customWidth="1"/>
    <col min="6665" max="6665" width="13" style="39" customWidth="1"/>
    <col min="6666" max="6666" width="18.6640625" style="39" customWidth="1"/>
    <col min="6667" max="6667" width="10.44140625" style="39" customWidth="1"/>
    <col min="6668" max="6668" width="8.88671875" style="39"/>
    <col min="6669" max="6669" width="23.33203125" style="39" customWidth="1"/>
    <col min="6670" max="6670" width="14.77734375" style="39" customWidth="1"/>
    <col min="6671" max="6910" width="8.88671875" style="39"/>
    <col min="6911" max="6911" width="30.109375" style="39" customWidth="1"/>
    <col min="6912" max="6912" width="10.5546875" style="39" customWidth="1"/>
    <col min="6913" max="6913" width="4.109375" style="39" customWidth="1"/>
    <col min="6914" max="6914" width="6.6640625" style="39" customWidth="1"/>
    <col min="6915" max="6915" width="13" style="39" customWidth="1"/>
    <col min="6916" max="6916" width="19.5546875" style="39" customWidth="1"/>
    <col min="6917" max="6917" width="13" style="39" customWidth="1"/>
    <col min="6918" max="6918" width="19.5546875" style="39" customWidth="1"/>
    <col min="6919" max="6919" width="13" style="39" customWidth="1"/>
    <col min="6920" max="6920" width="19.5546875" style="39" customWidth="1"/>
    <col min="6921" max="6921" width="13" style="39" customWidth="1"/>
    <col min="6922" max="6922" width="18.6640625" style="39" customWidth="1"/>
    <col min="6923" max="6923" width="10.44140625" style="39" customWidth="1"/>
    <col min="6924" max="6924" width="8.88671875" style="39"/>
    <col min="6925" max="6925" width="23.33203125" style="39" customWidth="1"/>
    <col min="6926" max="6926" width="14.77734375" style="39" customWidth="1"/>
    <col min="6927" max="7166" width="8.88671875" style="39"/>
    <col min="7167" max="7167" width="30.109375" style="39" customWidth="1"/>
    <col min="7168" max="7168" width="10.5546875" style="39" customWidth="1"/>
    <col min="7169" max="7169" width="4.109375" style="39" customWidth="1"/>
    <col min="7170" max="7170" width="6.6640625" style="39" customWidth="1"/>
    <col min="7171" max="7171" width="13" style="39" customWidth="1"/>
    <col min="7172" max="7172" width="19.5546875" style="39" customWidth="1"/>
    <col min="7173" max="7173" width="13" style="39" customWidth="1"/>
    <col min="7174" max="7174" width="19.5546875" style="39" customWidth="1"/>
    <col min="7175" max="7175" width="13" style="39" customWidth="1"/>
    <col min="7176" max="7176" width="19.5546875" style="39" customWidth="1"/>
    <col min="7177" max="7177" width="13" style="39" customWidth="1"/>
    <col min="7178" max="7178" width="18.6640625" style="39" customWidth="1"/>
    <col min="7179" max="7179" width="10.44140625" style="39" customWidth="1"/>
    <col min="7180" max="7180" width="8.88671875" style="39"/>
    <col min="7181" max="7181" width="23.33203125" style="39" customWidth="1"/>
    <col min="7182" max="7182" width="14.77734375" style="39" customWidth="1"/>
    <col min="7183" max="7422" width="8.88671875" style="39"/>
    <col min="7423" max="7423" width="30.109375" style="39" customWidth="1"/>
    <col min="7424" max="7424" width="10.5546875" style="39" customWidth="1"/>
    <col min="7425" max="7425" width="4.109375" style="39" customWidth="1"/>
    <col min="7426" max="7426" width="6.6640625" style="39" customWidth="1"/>
    <col min="7427" max="7427" width="13" style="39" customWidth="1"/>
    <col min="7428" max="7428" width="19.5546875" style="39" customWidth="1"/>
    <col min="7429" max="7429" width="13" style="39" customWidth="1"/>
    <col min="7430" max="7430" width="19.5546875" style="39" customWidth="1"/>
    <col min="7431" max="7431" width="13" style="39" customWidth="1"/>
    <col min="7432" max="7432" width="19.5546875" style="39" customWidth="1"/>
    <col min="7433" max="7433" width="13" style="39" customWidth="1"/>
    <col min="7434" max="7434" width="18.6640625" style="39" customWidth="1"/>
    <col min="7435" max="7435" width="10.44140625" style="39" customWidth="1"/>
    <col min="7436" max="7436" width="8.88671875" style="39"/>
    <col min="7437" max="7437" width="23.33203125" style="39" customWidth="1"/>
    <col min="7438" max="7438" width="14.77734375" style="39" customWidth="1"/>
    <col min="7439" max="7678" width="8.88671875" style="39"/>
    <col min="7679" max="7679" width="30.109375" style="39" customWidth="1"/>
    <col min="7680" max="7680" width="10.5546875" style="39" customWidth="1"/>
    <col min="7681" max="7681" width="4.109375" style="39" customWidth="1"/>
    <col min="7682" max="7682" width="6.6640625" style="39" customWidth="1"/>
    <col min="7683" max="7683" width="13" style="39" customWidth="1"/>
    <col min="7684" max="7684" width="19.5546875" style="39" customWidth="1"/>
    <col min="7685" max="7685" width="13" style="39" customWidth="1"/>
    <col min="7686" max="7686" width="19.5546875" style="39" customWidth="1"/>
    <col min="7687" max="7687" width="13" style="39" customWidth="1"/>
    <col min="7688" max="7688" width="19.5546875" style="39" customWidth="1"/>
    <col min="7689" max="7689" width="13" style="39" customWidth="1"/>
    <col min="7690" max="7690" width="18.6640625" style="39" customWidth="1"/>
    <col min="7691" max="7691" width="10.44140625" style="39" customWidth="1"/>
    <col min="7692" max="7692" width="8.88671875" style="39"/>
    <col min="7693" max="7693" width="23.33203125" style="39" customWidth="1"/>
    <col min="7694" max="7694" width="14.77734375" style="39" customWidth="1"/>
    <col min="7695" max="7934" width="8.88671875" style="39"/>
    <col min="7935" max="7935" width="30.109375" style="39" customWidth="1"/>
    <col min="7936" max="7936" width="10.5546875" style="39" customWidth="1"/>
    <col min="7937" max="7937" width="4.109375" style="39" customWidth="1"/>
    <col min="7938" max="7938" width="6.6640625" style="39" customWidth="1"/>
    <col min="7939" max="7939" width="13" style="39" customWidth="1"/>
    <col min="7940" max="7940" width="19.5546875" style="39" customWidth="1"/>
    <col min="7941" max="7941" width="13" style="39" customWidth="1"/>
    <col min="7942" max="7942" width="19.5546875" style="39" customWidth="1"/>
    <col min="7943" max="7943" width="13" style="39" customWidth="1"/>
    <col min="7944" max="7944" width="19.5546875" style="39" customWidth="1"/>
    <col min="7945" max="7945" width="13" style="39" customWidth="1"/>
    <col min="7946" max="7946" width="18.6640625" style="39" customWidth="1"/>
    <col min="7947" max="7947" width="10.44140625" style="39" customWidth="1"/>
    <col min="7948" max="7948" width="8.88671875" style="39"/>
    <col min="7949" max="7949" width="23.33203125" style="39" customWidth="1"/>
    <col min="7950" max="7950" width="14.77734375" style="39" customWidth="1"/>
    <col min="7951" max="8190" width="8.88671875" style="39"/>
    <col min="8191" max="8191" width="30.109375" style="39" customWidth="1"/>
    <col min="8192" max="8192" width="10.5546875" style="39" customWidth="1"/>
    <col min="8193" max="8193" width="4.109375" style="39" customWidth="1"/>
    <col min="8194" max="8194" width="6.6640625" style="39" customWidth="1"/>
    <col min="8195" max="8195" width="13" style="39" customWidth="1"/>
    <col min="8196" max="8196" width="19.5546875" style="39" customWidth="1"/>
    <col min="8197" max="8197" width="13" style="39" customWidth="1"/>
    <col min="8198" max="8198" width="19.5546875" style="39" customWidth="1"/>
    <col min="8199" max="8199" width="13" style="39" customWidth="1"/>
    <col min="8200" max="8200" width="19.5546875" style="39" customWidth="1"/>
    <col min="8201" max="8201" width="13" style="39" customWidth="1"/>
    <col min="8202" max="8202" width="18.6640625" style="39" customWidth="1"/>
    <col min="8203" max="8203" width="10.44140625" style="39" customWidth="1"/>
    <col min="8204" max="8204" width="8.88671875" style="39"/>
    <col min="8205" max="8205" width="23.33203125" style="39" customWidth="1"/>
    <col min="8206" max="8206" width="14.77734375" style="39" customWidth="1"/>
    <col min="8207" max="8446" width="8.88671875" style="39"/>
    <col min="8447" max="8447" width="30.109375" style="39" customWidth="1"/>
    <col min="8448" max="8448" width="10.5546875" style="39" customWidth="1"/>
    <col min="8449" max="8449" width="4.109375" style="39" customWidth="1"/>
    <col min="8450" max="8450" width="6.6640625" style="39" customWidth="1"/>
    <col min="8451" max="8451" width="13" style="39" customWidth="1"/>
    <col min="8452" max="8452" width="19.5546875" style="39" customWidth="1"/>
    <col min="8453" max="8453" width="13" style="39" customWidth="1"/>
    <col min="8454" max="8454" width="19.5546875" style="39" customWidth="1"/>
    <col min="8455" max="8455" width="13" style="39" customWidth="1"/>
    <col min="8456" max="8456" width="19.5546875" style="39" customWidth="1"/>
    <col min="8457" max="8457" width="13" style="39" customWidth="1"/>
    <col min="8458" max="8458" width="18.6640625" style="39" customWidth="1"/>
    <col min="8459" max="8459" width="10.44140625" style="39" customWidth="1"/>
    <col min="8460" max="8460" width="8.88671875" style="39"/>
    <col min="8461" max="8461" width="23.33203125" style="39" customWidth="1"/>
    <col min="8462" max="8462" width="14.77734375" style="39" customWidth="1"/>
    <col min="8463" max="8702" width="8.88671875" style="39"/>
    <col min="8703" max="8703" width="30.109375" style="39" customWidth="1"/>
    <col min="8704" max="8704" width="10.5546875" style="39" customWidth="1"/>
    <col min="8705" max="8705" width="4.109375" style="39" customWidth="1"/>
    <col min="8706" max="8706" width="6.6640625" style="39" customWidth="1"/>
    <col min="8707" max="8707" width="13" style="39" customWidth="1"/>
    <col min="8708" max="8708" width="19.5546875" style="39" customWidth="1"/>
    <col min="8709" max="8709" width="13" style="39" customWidth="1"/>
    <col min="8710" max="8710" width="19.5546875" style="39" customWidth="1"/>
    <col min="8711" max="8711" width="13" style="39" customWidth="1"/>
    <col min="8712" max="8712" width="19.5546875" style="39" customWidth="1"/>
    <col min="8713" max="8713" width="13" style="39" customWidth="1"/>
    <col min="8714" max="8714" width="18.6640625" style="39" customWidth="1"/>
    <col min="8715" max="8715" width="10.44140625" style="39" customWidth="1"/>
    <col min="8716" max="8716" width="8.88671875" style="39"/>
    <col min="8717" max="8717" width="23.33203125" style="39" customWidth="1"/>
    <col min="8718" max="8718" width="14.77734375" style="39" customWidth="1"/>
    <col min="8719" max="8958" width="8.88671875" style="39"/>
    <col min="8959" max="8959" width="30.109375" style="39" customWidth="1"/>
    <col min="8960" max="8960" width="10.5546875" style="39" customWidth="1"/>
    <col min="8961" max="8961" width="4.109375" style="39" customWidth="1"/>
    <col min="8962" max="8962" width="6.6640625" style="39" customWidth="1"/>
    <col min="8963" max="8963" width="13" style="39" customWidth="1"/>
    <col min="8964" max="8964" width="19.5546875" style="39" customWidth="1"/>
    <col min="8965" max="8965" width="13" style="39" customWidth="1"/>
    <col min="8966" max="8966" width="19.5546875" style="39" customWidth="1"/>
    <col min="8967" max="8967" width="13" style="39" customWidth="1"/>
    <col min="8968" max="8968" width="19.5546875" style="39" customWidth="1"/>
    <col min="8969" max="8969" width="13" style="39" customWidth="1"/>
    <col min="8970" max="8970" width="18.6640625" style="39" customWidth="1"/>
    <col min="8971" max="8971" width="10.44140625" style="39" customWidth="1"/>
    <col min="8972" max="8972" width="8.88671875" style="39"/>
    <col min="8973" max="8973" width="23.33203125" style="39" customWidth="1"/>
    <col min="8974" max="8974" width="14.77734375" style="39" customWidth="1"/>
    <col min="8975" max="9214" width="8.88671875" style="39"/>
    <col min="9215" max="9215" width="30.109375" style="39" customWidth="1"/>
    <col min="9216" max="9216" width="10.5546875" style="39" customWidth="1"/>
    <col min="9217" max="9217" width="4.109375" style="39" customWidth="1"/>
    <col min="9218" max="9218" width="6.6640625" style="39" customWidth="1"/>
    <col min="9219" max="9219" width="13" style="39" customWidth="1"/>
    <col min="9220" max="9220" width="19.5546875" style="39" customWidth="1"/>
    <col min="9221" max="9221" width="13" style="39" customWidth="1"/>
    <col min="9222" max="9222" width="19.5546875" style="39" customWidth="1"/>
    <col min="9223" max="9223" width="13" style="39" customWidth="1"/>
    <col min="9224" max="9224" width="19.5546875" style="39" customWidth="1"/>
    <col min="9225" max="9225" width="13" style="39" customWidth="1"/>
    <col min="9226" max="9226" width="18.6640625" style="39" customWidth="1"/>
    <col min="9227" max="9227" width="10.44140625" style="39" customWidth="1"/>
    <col min="9228" max="9228" width="8.88671875" style="39"/>
    <col min="9229" max="9229" width="23.33203125" style="39" customWidth="1"/>
    <col min="9230" max="9230" width="14.77734375" style="39" customWidth="1"/>
    <col min="9231" max="9470" width="8.88671875" style="39"/>
    <col min="9471" max="9471" width="30.109375" style="39" customWidth="1"/>
    <col min="9472" max="9472" width="10.5546875" style="39" customWidth="1"/>
    <col min="9473" max="9473" width="4.109375" style="39" customWidth="1"/>
    <col min="9474" max="9474" width="6.6640625" style="39" customWidth="1"/>
    <col min="9475" max="9475" width="13" style="39" customWidth="1"/>
    <col min="9476" max="9476" width="19.5546875" style="39" customWidth="1"/>
    <col min="9477" max="9477" width="13" style="39" customWidth="1"/>
    <col min="9478" max="9478" width="19.5546875" style="39" customWidth="1"/>
    <col min="9479" max="9479" width="13" style="39" customWidth="1"/>
    <col min="9480" max="9480" width="19.5546875" style="39" customWidth="1"/>
    <col min="9481" max="9481" width="13" style="39" customWidth="1"/>
    <col min="9482" max="9482" width="18.6640625" style="39" customWidth="1"/>
    <col min="9483" max="9483" width="10.44140625" style="39" customWidth="1"/>
    <col min="9484" max="9484" width="8.88671875" style="39"/>
    <col min="9485" max="9485" width="23.33203125" style="39" customWidth="1"/>
    <col min="9486" max="9486" width="14.77734375" style="39" customWidth="1"/>
    <col min="9487" max="9726" width="8.88671875" style="39"/>
    <col min="9727" max="9727" width="30.109375" style="39" customWidth="1"/>
    <col min="9728" max="9728" width="10.5546875" style="39" customWidth="1"/>
    <col min="9729" max="9729" width="4.109375" style="39" customWidth="1"/>
    <col min="9730" max="9730" width="6.6640625" style="39" customWidth="1"/>
    <col min="9731" max="9731" width="13" style="39" customWidth="1"/>
    <col min="9732" max="9732" width="19.5546875" style="39" customWidth="1"/>
    <col min="9733" max="9733" width="13" style="39" customWidth="1"/>
    <col min="9734" max="9734" width="19.5546875" style="39" customWidth="1"/>
    <col min="9735" max="9735" width="13" style="39" customWidth="1"/>
    <col min="9736" max="9736" width="19.5546875" style="39" customWidth="1"/>
    <col min="9737" max="9737" width="13" style="39" customWidth="1"/>
    <col min="9738" max="9738" width="18.6640625" style="39" customWidth="1"/>
    <col min="9739" max="9739" width="10.44140625" style="39" customWidth="1"/>
    <col min="9740" max="9740" width="8.88671875" style="39"/>
    <col min="9741" max="9741" width="23.33203125" style="39" customWidth="1"/>
    <col min="9742" max="9742" width="14.77734375" style="39" customWidth="1"/>
    <col min="9743" max="9982" width="8.88671875" style="39"/>
    <col min="9983" max="9983" width="30.109375" style="39" customWidth="1"/>
    <col min="9984" max="9984" width="10.5546875" style="39" customWidth="1"/>
    <col min="9985" max="9985" width="4.109375" style="39" customWidth="1"/>
    <col min="9986" max="9986" width="6.6640625" style="39" customWidth="1"/>
    <col min="9987" max="9987" width="13" style="39" customWidth="1"/>
    <col min="9988" max="9988" width="19.5546875" style="39" customWidth="1"/>
    <col min="9989" max="9989" width="13" style="39" customWidth="1"/>
    <col min="9990" max="9990" width="19.5546875" style="39" customWidth="1"/>
    <col min="9991" max="9991" width="13" style="39" customWidth="1"/>
    <col min="9992" max="9992" width="19.5546875" style="39" customWidth="1"/>
    <col min="9993" max="9993" width="13" style="39" customWidth="1"/>
    <col min="9994" max="9994" width="18.6640625" style="39" customWidth="1"/>
    <col min="9995" max="9995" width="10.44140625" style="39" customWidth="1"/>
    <col min="9996" max="9996" width="8.88671875" style="39"/>
    <col min="9997" max="9997" width="23.33203125" style="39" customWidth="1"/>
    <col min="9998" max="9998" width="14.77734375" style="39" customWidth="1"/>
    <col min="9999" max="10238" width="8.88671875" style="39"/>
    <col min="10239" max="10239" width="30.109375" style="39" customWidth="1"/>
    <col min="10240" max="10240" width="10.5546875" style="39" customWidth="1"/>
    <col min="10241" max="10241" width="4.109375" style="39" customWidth="1"/>
    <col min="10242" max="10242" width="6.6640625" style="39" customWidth="1"/>
    <col min="10243" max="10243" width="13" style="39" customWidth="1"/>
    <col min="10244" max="10244" width="19.5546875" style="39" customWidth="1"/>
    <col min="10245" max="10245" width="13" style="39" customWidth="1"/>
    <col min="10246" max="10246" width="19.5546875" style="39" customWidth="1"/>
    <col min="10247" max="10247" width="13" style="39" customWidth="1"/>
    <col min="10248" max="10248" width="19.5546875" style="39" customWidth="1"/>
    <col min="10249" max="10249" width="13" style="39" customWidth="1"/>
    <col min="10250" max="10250" width="18.6640625" style="39" customWidth="1"/>
    <col min="10251" max="10251" width="10.44140625" style="39" customWidth="1"/>
    <col min="10252" max="10252" width="8.88671875" style="39"/>
    <col min="10253" max="10253" width="23.33203125" style="39" customWidth="1"/>
    <col min="10254" max="10254" width="14.77734375" style="39" customWidth="1"/>
    <col min="10255" max="10494" width="8.88671875" style="39"/>
    <col min="10495" max="10495" width="30.109375" style="39" customWidth="1"/>
    <col min="10496" max="10496" width="10.5546875" style="39" customWidth="1"/>
    <col min="10497" max="10497" width="4.109375" style="39" customWidth="1"/>
    <col min="10498" max="10498" width="6.6640625" style="39" customWidth="1"/>
    <col min="10499" max="10499" width="13" style="39" customWidth="1"/>
    <col min="10500" max="10500" width="19.5546875" style="39" customWidth="1"/>
    <col min="10501" max="10501" width="13" style="39" customWidth="1"/>
    <col min="10502" max="10502" width="19.5546875" style="39" customWidth="1"/>
    <col min="10503" max="10503" width="13" style="39" customWidth="1"/>
    <col min="10504" max="10504" width="19.5546875" style="39" customWidth="1"/>
    <col min="10505" max="10505" width="13" style="39" customWidth="1"/>
    <col min="10506" max="10506" width="18.6640625" style="39" customWidth="1"/>
    <col min="10507" max="10507" width="10.44140625" style="39" customWidth="1"/>
    <col min="10508" max="10508" width="8.88671875" style="39"/>
    <col min="10509" max="10509" width="23.33203125" style="39" customWidth="1"/>
    <col min="10510" max="10510" width="14.77734375" style="39" customWidth="1"/>
    <col min="10511" max="10750" width="8.88671875" style="39"/>
    <col min="10751" max="10751" width="30.109375" style="39" customWidth="1"/>
    <col min="10752" max="10752" width="10.5546875" style="39" customWidth="1"/>
    <col min="10753" max="10753" width="4.109375" style="39" customWidth="1"/>
    <col min="10754" max="10754" width="6.6640625" style="39" customWidth="1"/>
    <col min="10755" max="10755" width="13" style="39" customWidth="1"/>
    <col min="10756" max="10756" width="19.5546875" style="39" customWidth="1"/>
    <col min="10757" max="10757" width="13" style="39" customWidth="1"/>
    <col min="10758" max="10758" width="19.5546875" style="39" customWidth="1"/>
    <col min="10759" max="10759" width="13" style="39" customWidth="1"/>
    <col min="10760" max="10760" width="19.5546875" style="39" customWidth="1"/>
    <col min="10761" max="10761" width="13" style="39" customWidth="1"/>
    <col min="10762" max="10762" width="18.6640625" style="39" customWidth="1"/>
    <col min="10763" max="10763" width="10.44140625" style="39" customWidth="1"/>
    <col min="10764" max="10764" width="8.88671875" style="39"/>
    <col min="10765" max="10765" width="23.33203125" style="39" customWidth="1"/>
    <col min="10766" max="10766" width="14.77734375" style="39" customWidth="1"/>
    <col min="10767" max="11006" width="8.88671875" style="39"/>
    <col min="11007" max="11007" width="30.109375" style="39" customWidth="1"/>
    <col min="11008" max="11008" width="10.5546875" style="39" customWidth="1"/>
    <col min="11009" max="11009" width="4.109375" style="39" customWidth="1"/>
    <col min="11010" max="11010" width="6.6640625" style="39" customWidth="1"/>
    <col min="11011" max="11011" width="13" style="39" customWidth="1"/>
    <col min="11012" max="11012" width="19.5546875" style="39" customWidth="1"/>
    <col min="11013" max="11013" width="13" style="39" customWidth="1"/>
    <col min="11014" max="11014" width="19.5546875" style="39" customWidth="1"/>
    <col min="11015" max="11015" width="13" style="39" customWidth="1"/>
    <col min="11016" max="11016" width="19.5546875" style="39" customWidth="1"/>
    <col min="11017" max="11017" width="13" style="39" customWidth="1"/>
    <col min="11018" max="11018" width="18.6640625" style="39" customWidth="1"/>
    <col min="11019" max="11019" width="10.44140625" style="39" customWidth="1"/>
    <col min="11020" max="11020" width="8.88671875" style="39"/>
    <col min="11021" max="11021" width="23.33203125" style="39" customWidth="1"/>
    <col min="11022" max="11022" width="14.77734375" style="39" customWidth="1"/>
    <col min="11023" max="11262" width="8.88671875" style="39"/>
    <col min="11263" max="11263" width="30.109375" style="39" customWidth="1"/>
    <col min="11264" max="11264" width="10.5546875" style="39" customWidth="1"/>
    <col min="11265" max="11265" width="4.109375" style="39" customWidth="1"/>
    <col min="11266" max="11266" width="6.6640625" style="39" customWidth="1"/>
    <col min="11267" max="11267" width="13" style="39" customWidth="1"/>
    <col min="11268" max="11268" width="19.5546875" style="39" customWidth="1"/>
    <col min="11269" max="11269" width="13" style="39" customWidth="1"/>
    <col min="11270" max="11270" width="19.5546875" style="39" customWidth="1"/>
    <col min="11271" max="11271" width="13" style="39" customWidth="1"/>
    <col min="11272" max="11272" width="19.5546875" style="39" customWidth="1"/>
    <col min="11273" max="11273" width="13" style="39" customWidth="1"/>
    <col min="11274" max="11274" width="18.6640625" style="39" customWidth="1"/>
    <col min="11275" max="11275" width="10.44140625" style="39" customWidth="1"/>
    <col min="11276" max="11276" width="8.88671875" style="39"/>
    <col min="11277" max="11277" width="23.33203125" style="39" customWidth="1"/>
    <col min="11278" max="11278" width="14.77734375" style="39" customWidth="1"/>
    <col min="11279" max="11518" width="8.88671875" style="39"/>
    <col min="11519" max="11519" width="30.109375" style="39" customWidth="1"/>
    <col min="11520" max="11520" width="10.5546875" style="39" customWidth="1"/>
    <col min="11521" max="11521" width="4.109375" style="39" customWidth="1"/>
    <col min="11522" max="11522" width="6.6640625" style="39" customWidth="1"/>
    <col min="11523" max="11523" width="13" style="39" customWidth="1"/>
    <col min="11524" max="11524" width="19.5546875" style="39" customWidth="1"/>
    <col min="11525" max="11525" width="13" style="39" customWidth="1"/>
    <col min="11526" max="11526" width="19.5546875" style="39" customWidth="1"/>
    <col min="11527" max="11527" width="13" style="39" customWidth="1"/>
    <col min="11528" max="11528" width="19.5546875" style="39" customWidth="1"/>
    <col min="11529" max="11529" width="13" style="39" customWidth="1"/>
    <col min="11530" max="11530" width="18.6640625" style="39" customWidth="1"/>
    <col min="11531" max="11531" width="10.44140625" style="39" customWidth="1"/>
    <col min="11532" max="11532" width="8.88671875" style="39"/>
    <col min="11533" max="11533" width="23.33203125" style="39" customWidth="1"/>
    <col min="11534" max="11534" width="14.77734375" style="39" customWidth="1"/>
    <col min="11535" max="11774" width="8.88671875" style="39"/>
    <col min="11775" max="11775" width="30.109375" style="39" customWidth="1"/>
    <col min="11776" max="11776" width="10.5546875" style="39" customWidth="1"/>
    <col min="11777" max="11777" width="4.109375" style="39" customWidth="1"/>
    <col min="11778" max="11778" width="6.6640625" style="39" customWidth="1"/>
    <col min="11779" max="11779" width="13" style="39" customWidth="1"/>
    <col min="11780" max="11780" width="19.5546875" style="39" customWidth="1"/>
    <col min="11781" max="11781" width="13" style="39" customWidth="1"/>
    <col min="11782" max="11782" width="19.5546875" style="39" customWidth="1"/>
    <col min="11783" max="11783" width="13" style="39" customWidth="1"/>
    <col min="11784" max="11784" width="19.5546875" style="39" customWidth="1"/>
    <col min="11785" max="11785" width="13" style="39" customWidth="1"/>
    <col min="11786" max="11786" width="18.6640625" style="39" customWidth="1"/>
    <col min="11787" max="11787" width="10.44140625" style="39" customWidth="1"/>
    <col min="11788" max="11788" width="8.88671875" style="39"/>
    <col min="11789" max="11789" width="23.33203125" style="39" customWidth="1"/>
    <col min="11790" max="11790" width="14.77734375" style="39" customWidth="1"/>
    <col min="11791" max="12030" width="8.88671875" style="39"/>
    <col min="12031" max="12031" width="30.109375" style="39" customWidth="1"/>
    <col min="12032" max="12032" width="10.5546875" style="39" customWidth="1"/>
    <col min="12033" max="12033" width="4.109375" style="39" customWidth="1"/>
    <col min="12034" max="12034" width="6.6640625" style="39" customWidth="1"/>
    <col min="12035" max="12035" width="13" style="39" customWidth="1"/>
    <col min="12036" max="12036" width="19.5546875" style="39" customWidth="1"/>
    <col min="12037" max="12037" width="13" style="39" customWidth="1"/>
    <col min="12038" max="12038" width="19.5546875" style="39" customWidth="1"/>
    <col min="12039" max="12039" width="13" style="39" customWidth="1"/>
    <col min="12040" max="12040" width="19.5546875" style="39" customWidth="1"/>
    <col min="12041" max="12041" width="13" style="39" customWidth="1"/>
    <col min="12042" max="12042" width="18.6640625" style="39" customWidth="1"/>
    <col min="12043" max="12043" width="10.44140625" style="39" customWidth="1"/>
    <col min="12044" max="12044" width="8.88671875" style="39"/>
    <col min="12045" max="12045" width="23.33203125" style="39" customWidth="1"/>
    <col min="12046" max="12046" width="14.77734375" style="39" customWidth="1"/>
    <col min="12047" max="12286" width="8.88671875" style="39"/>
    <col min="12287" max="12287" width="30.109375" style="39" customWidth="1"/>
    <col min="12288" max="12288" width="10.5546875" style="39" customWidth="1"/>
    <col min="12289" max="12289" width="4.109375" style="39" customWidth="1"/>
    <col min="12290" max="12290" width="6.6640625" style="39" customWidth="1"/>
    <col min="12291" max="12291" width="13" style="39" customWidth="1"/>
    <col min="12292" max="12292" width="19.5546875" style="39" customWidth="1"/>
    <col min="12293" max="12293" width="13" style="39" customWidth="1"/>
    <col min="12294" max="12294" width="19.5546875" style="39" customWidth="1"/>
    <col min="12295" max="12295" width="13" style="39" customWidth="1"/>
    <col min="12296" max="12296" width="19.5546875" style="39" customWidth="1"/>
    <col min="12297" max="12297" width="13" style="39" customWidth="1"/>
    <col min="12298" max="12298" width="18.6640625" style="39" customWidth="1"/>
    <col min="12299" max="12299" width="10.44140625" style="39" customWidth="1"/>
    <col min="12300" max="12300" width="8.88671875" style="39"/>
    <col min="12301" max="12301" width="23.33203125" style="39" customWidth="1"/>
    <col min="12302" max="12302" width="14.77734375" style="39" customWidth="1"/>
    <col min="12303" max="12542" width="8.88671875" style="39"/>
    <col min="12543" max="12543" width="30.109375" style="39" customWidth="1"/>
    <col min="12544" max="12544" width="10.5546875" style="39" customWidth="1"/>
    <col min="12545" max="12545" width="4.109375" style="39" customWidth="1"/>
    <col min="12546" max="12546" width="6.6640625" style="39" customWidth="1"/>
    <col min="12547" max="12547" width="13" style="39" customWidth="1"/>
    <col min="12548" max="12548" width="19.5546875" style="39" customWidth="1"/>
    <col min="12549" max="12549" width="13" style="39" customWidth="1"/>
    <col min="12550" max="12550" width="19.5546875" style="39" customWidth="1"/>
    <col min="12551" max="12551" width="13" style="39" customWidth="1"/>
    <col min="12552" max="12552" width="19.5546875" style="39" customWidth="1"/>
    <col min="12553" max="12553" width="13" style="39" customWidth="1"/>
    <col min="12554" max="12554" width="18.6640625" style="39" customWidth="1"/>
    <col min="12555" max="12555" width="10.44140625" style="39" customWidth="1"/>
    <col min="12556" max="12556" width="8.88671875" style="39"/>
    <col min="12557" max="12557" width="23.33203125" style="39" customWidth="1"/>
    <col min="12558" max="12558" width="14.77734375" style="39" customWidth="1"/>
    <col min="12559" max="12798" width="8.88671875" style="39"/>
    <col min="12799" max="12799" width="30.109375" style="39" customWidth="1"/>
    <col min="12800" max="12800" width="10.5546875" style="39" customWidth="1"/>
    <col min="12801" max="12801" width="4.109375" style="39" customWidth="1"/>
    <col min="12802" max="12802" width="6.6640625" style="39" customWidth="1"/>
    <col min="12803" max="12803" width="13" style="39" customWidth="1"/>
    <col min="12804" max="12804" width="19.5546875" style="39" customWidth="1"/>
    <col min="12805" max="12805" width="13" style="39" customWidth="1"/>
    <col min="12806" max="12806" width="19.5546875" style="39" customWidth="1"/>
    <col min="12807" max="12807" width="13" style="39" customWidth="1"/>
    <col min="12808" max="12808" width="19.5546875" style="39" customWidth="1"/>
    <col min="12809" max="12809" width="13" style="39" customWidth="1"/>
    <col min="12810" max="12810" width="18.6640625" style="39" customWidth="1"/>
    <col min="12811" max="12811" width="10.44140625" style="39" customWidth="1"/>
    <col min="12812" max="12812" width="8.88671875" style="39"/>
    <col min="12813" max="12813" width="23.33203125" style="39" customWidth="1"/>
    <col min="12814" max="12814" width="14.77734375" style="39" customWidth="1"/>
    <col min="12815" max="13054" width="8.88671875" style="39"/>
    <col min="13055" max="13055" width="30.109375" style="39" customWidth="1"/>
    <col min="13056" max="13056" width="10.5546875" style="39" customWidth="1"/>
    <col min="13057" max="13057" width="4.109375" style="39" customWidth="1"/>
    <col min="13058" max="13058" width="6.6640625" style="39" customWidth="1"/>
    <col min="13059" max="13059" width="13" style="39" customWidth="1"/>
    <col min="13060" max="13060" width="19.5546875" style="39" customWidth="1"/>
    <col min="13061" max="13061" width="13" style="39" customWidth="1"/>
    <col min="13062" max="13062" width="19.5546875" style="39" customWidth="1"/>
    <col min="13063" max="13063" width="13" style="39" customWidth="1"/>
    <col min="13064" max="13064" width="19.5546875" style="39" customWidth="1"/>
    <col min="13065" max="13065" width="13" style="39" customWidth="1"/>
    <col min="13066" max="13066" width="18.6640625" style="39" customWidth="1"/>
    <col min="13067" max="13067" width="10.44140625" style="39" customWidth="1"/>
    <col min="13068" max="13068" width="8.88671875" style="39"/>
    <col min="13069" max="13069" width="23.33203125" style="39" customWidth="1"/>
    <col min="13070" max="13070" width="14.77734375" style="39" customWidth="1"/>
    <col min="13071" max="13310" width="8.88671875" style="39"/>
    <col min="13311" max="13311" width="30.109375" style="39" customWidth="1"/>
    <col min="13312" max="13312" width="10.5546875" style="39" customWidth="1"/>
    <col min="13313" max="13313" width="4.109375" style="39" customWidth="1"/>
    <col min="13314" max="13314" width="6.6640625" style="39" customWidth="1"/>
    <col min="13315" max="13315" width="13" style="39" customWidth="1"/>
    <col min="13316" max="13316" width="19.5546875" style="39" customWidth="1"/>
    <col min="13317" max="13317" width="13" style="39" customWidth="1"/>
    <col min="13318" max="13318" width="19.5546875" style="39" customWidth="1"/>
    <col min="13319" max="13319" width="13" style="39" customWidth="1"/>
    <col min="13320" max="13320" width="19.5546875" style="39" customWidth="1"/>
    <col min="13321" max="13321" width="13" style="39" customWidth="1"/>
    <col min="13322" max="13322" width="18.6640625" style="39" customWidth="1"/>
    <col min="13323" max="13323" width="10.44140625" style="39" customWidth="1"/>
    <col min="13324" max="13324" width="8.88671875" style="39"/>
    <col min="13325" max="13325" width="23.33203125" style="39" customWidth="1"/>
    <col min="13326" max="13326" width="14.77734375" style="39" customWidth="1"/>
    <col min="13327" max="13566" width="8.88671875" style="39"/>
    <col min="13567" max="13567" width="30.109375" style="39" customWidth="1"/>
    <col min="13568" max="13568" width="10.5546875" style="39" customWidth="1"/>
    <col min="13569" max="13569" width="4.109375" style="39" customWidth="1"/>
    <col min="13570" max="13570" width="6.6640625" style="39" customWidth="1"/>
    <col min="13571" max="13571" width="13" style="39" customWidth="1"/>
    <col min="13572" max="13572" width="19.5546875" style="39" customWidth="1"/>
    <col min="13573" max="13573" width="13" style="39" customWidth="1"/>
    <col min="13574" max="13574" width="19.5546875" style="39" customWidth="1"/>
    <col min="13575" max="13575" width="13" style="39" customWidth="1"/>
    <col min="13576" max="13576" width="19.5546875" style="39" customWidth="1"/>
    <col min="13577" max="13577" width="13" style="39" customWidth="1"/>
    <col min="13578" max="13578" width="18.6640625" style="39" customWidth="1"/>
    <col min="13579" max="13579" width="10.44140625" style="39" customWidth="1"/>
    <col min="13580" max="13580" width="8.88671875" style="39"/>
    <col min="13581" max="13581" width="23.33203125" style="39" customWidth="1"/>
    <col min="13582" max="13582" width="14.77734375" style="39" customWidth="1"/>
    <col min="13583" max="13822" width="8.88671875" style="39"/>
    <col min="13823" max="13823" width="30.109375" style="39" customWidth="1"/>
    <col min="13824" max="13824" width="10.5546875" style="39" customWidth="1"/>
    <col min="13825" max="13825" width="4.109375" style="39" customWidth="1"/>
    <col min="13826" max="13826" width="6.6640625" style="39" customWidth="1"/>
    <col min="13827" max="13827" width="13" style="39" customWidth="1"/>
    <col min="13828" max="13828" width="19.5546875" style="39" customWidth="1"/>
    <col min="13829" max="13829" width="13" style="39" customWidth="1"/>
    <col min="13830" max="13830" width="19.5546875" style="39" customWidth="1"/>
    <col min="13831" max="13831" width="13" style="39" customWidth="1"/>
    <col min="13832" max="13832" width="19.5546875" style="39" customWidth="1"/>
    <col min="13833" max="13833" width="13" style="39" customWidth="1"/>
    <col min="13834" max="13834" width="18.6640625" style="39" customWidth="1"/>
    <col min="13835" max="13835" width="10.44140625" style="39" customWidth="1"/>
    <col min="13836" max="13836" width="8.88671875" style="39"/>
    <col min="13837" max="13837" width="23.33203125" style="39" customWidth="1"/>
    <col min="13838" max="13838" width="14.77734375" style="39" customWidth="1"/>
    <col min="13839" max="14078" width="8.88671875" style="39"/>
    <col min="14079" max="14079" width="30.109375" style="39" customWidth="1"/>
    <col min="14080" max="14080" width="10.5546875" style="39" customWidth="1"/>
    <col min="14081" max="14081" width="4.109375" style="39" customWidth="1"/>
    <col min="14082" max="14082" width="6.6640625" style="39" customWidth="1"/>
    <col min="14083" max="14083" width="13" style="39" customWidth="1"/>
    <col min="14084" max="14084" width="19.5546875" style="39" customWidth="1"/>
    <col min="14085" max="14085" width="13" style="39" customWidth="1"/>
    <col min="14086" max="14086" width="19.5546875" style="39" customWidth="1"/>
    <col min="14087" max="14087" width="13" style="39" customWidth="1"/>
    <col min="14088" max="14088" width="19.5546875" style="39" customWidth="1"/>
    <col min="14089" max="14089" width="13" style="39" customWidth="1"/>
    <col min="14090" max="14090" width="18.6640625" style="39" customWidth="1"/>
    <col min="14091" max="14091" width="10.44140625" style="39" customWidth="1"/>
    <col min="14092" max="14092" width="8.88671875" style="39"/>
    <col min="14093" max="14093" width="23.33203125" style="39" customWidth="1"/>
    <col min="14094" max="14094" width="14.77734375" style="39" customWidth="1"/>
    <col min="14095" max="14334" width="8.88671875" style="39"/>
    <col min="14335" max="14335" width="30.109375" style="39" customWidth="1"/>
    <col min="14336" max="14336" width="10.5546875" style="39" customWidth="1"/>
    <col min="14337" max="14337" width="4.109375" style="39" customWidth="1"/>
    <col min="14338" max="14338" width="6.6640625" style="39" customWidth="1"/>
    <col min="14339" max="14339" width="13" style="39" customWidth="1"/>
    <col min="14340" max="14340" width="19.5546875" style="39" customWidth="1"/>
    <col min="14341" max="14341" width="13" style="39" customWidth="1"/>
    <col min="14342" max="14342" width="19.5546875" style="39" customWidth="1"/>
    <col min="14343" max="14343" width="13" style="39" customWidth="1"/>
    <col min="14344" max="14344" width="19.5546875" style="39" customWidth="1"/>
    <col min="14345" max="14345" width="13" style="39" customWidth="1"/>
    <col min="14346" max="14346" width="18.6640625" style="39" customWidth="1"/>
    <col min="14347" max="14347" width="10.44140625" style="39" customWidth="1"/>
    <col min="14348" max="14348" width="8.88671875" style="39"/>
    <col min="14349" max="14349" width="23.33203125" style="39" customWidth="1"/>
    <col min="14350" max="14350" width="14.77734375" style="39" customWidth="1"/>
    <col min="14351" max="14590" width="8.88671875" style="39"/>
    <col min="14591" max="14591" width="30.109375" style="39" customWidth="1"/>
    <col min="14592" max="14592" width="10.5546875" style="39" customWidth="1"/>
    <col min="14593" max="14593" width="4.109375" style="39" customWidth="1"/>
    <col min="14594" max="14594" width="6.6640625" style="39" customWidth="1"/>
    <col min="14595" max="14595" width="13" style="39" customWidth="1"/>
    <col min="14596" max="14596" width="19.5546875" style="39" customWidth="1"/>
    <col min="14597" max="14597" width="13" style="39" customWidth="1"/>
    <col min="14598" max="14598" width="19.5546875" style="39" customWidth="1"/>
    <col min="14599" max="14599" width="13" style="39" customWidth="1"/>
    <col min="14600" max="14600" width="19.5546875" style="39" customWidth="1"/>
    <col min="14601" max="14601" width="13" style="39" customWidth="1"/>
    <col min="14602" max="14602" width="18.6640625" style="39" customWidth="1"/>
    <col min="14603" max="14603" width="10.44140625" style="39" customWidth="1"/>
    <col min="14604" max="14604" width="8.88671875" style="39"/>
    <col min="14605" max="14605" width="23.33203125" style="39" customWidth="1"/>
    <col min="14606" max="14606" width="14.77734375" style="39" customWidth="1"/>
    <col min="14607" max="14846" width="8.88671875" style="39"/>
    <col min="14847" max="14847" width="30.109375" style="39" customWidth="1"/>
    <col min="14848" max="14848" width="10.5546875" style="39" customWidth="1"/>
    <col min="14849" max="14849" width="4.109375" style="39" customWidth="1"/>
    <col min="14850" max="14850" width="6.6640625" style="39" customWidth="1"/>
    <col min="14851" max="14851" width="13" style="39" customWidth="1"/>
    <col min="14852" max="14852" width="19.5546875" style="39" customWidth="1"/>
    <col min="14853" max="14853" width="13" style="39" customWidth="1"/>
    <col min="14854" max="14854" width="19.5546875" style="39" customWidth="1"/>
    <col min="14855" max="14855" width="13" style="39" customWidth="1"/>
    <col min="14856" max="14856" width="19.5546875" style="39" customWidth="1"/>
    <col min="14857" max="14857" width="13" style="39" customWidth="1"/>
    <col min="14858" max="14858" width="18.6640625" style="39" customWidth="1"/>
    <col min="14859" max="14859" width="10.44140625" style="39" customWidth="1"/>
    <col min="14860" max="14860" width="8.88671875" style="39"/>
    <col min="14861" max="14861" width="23.33203125" style="39" customWidth="1"/>
    <col min="14862" max="14862" width="14.77734375" style="39" customWidth="1"/>
    <col min="14863" max="15102" width="8.88671875" style="39"/>
    <col min="15103" max="15103" width="30.109375" style="39" customWidth="1"/>
    <col min="15104" max="15104" width="10.5546875" style="39" customWidth="1"/>
    <col min="15105" max="15105" width="4.109375" style="39" customWidth="1"/>
    <col min="15106" max="15106" width="6.6640625" style="39" customWidth="1"/>
    <col min="15107" max="15107" width="13" style="39" customWidth="1"/>
    <col min="15108" max="15108" width="19.5546875" style="39" customWidth="1"/>
    <col min="15109" max="15109" width="13" style="39" customWidth="1"/>
    <col min="15110" max="15110" width="19.5546875" style="39" customWidth="1"/>
    <col min="15111" max="15111" width="13" style="39" customWidth="1"/>
    <col min="15112" max="15112" width="19.5546875" style="39" customWidth="1"/>
    <col min="15113" max="15113" width="13" style="39" customWidth="1"/>
    <col min="15114" max="15114" width="18.6640625" style="39" customWidth="1"/>
    <col min="15115" max="15115" width="10.44140625" style="39" customWidth="1"/>
    <col min="15116" max="15116" width="8.88671875" style="39"/>
    <col min="15117" max="15117" width="23.33203125" style="39" customWidth="1"/>
    <col min="15118" max="15118" width="14.77734375" style="39" customWidth="1"/>
    <col min="15119" max="15358" width="8.88671875" style="39"/>
    <col min="15359" max="15359" width="30.109375" style="39" customWidth="1"/>
    <col min="15360" max="15360" width="10.5546875" style="39" customWidth="1"/>
    <col min="15361" max="15361" width="4.109375" style="39" customWidth="1"/>
    <col min="15362" max="15362" width="6.6640625" style="39" customWidth="1"/>
    <col min="15363" max="15363" width="13" style="39" customWidth="1"/>
    <col min="15364" max="15364" width="19.5546875" style="39" customWidth="1"/>
    <col min="15365" max="15365" width="13" style="39" customWidth="1"/>
    <col min="15366" max="15366" width="19.5546875" style="39" customWidth="1"/>
    <col min="15367" max="15367" width="13" style="39" customWidth="1"/>
    <col min="15368" max="15368" width="19.5546875" style="39" customWidth="1"/>
    <col min="15369" max="15369" width="13" style="39" customWidth="1"/>
    <col min="15370" max="15370" width="18.6640625" style="39" customWidth="1"/>
    <col min="15371" max="15371" width="10.44140625" style="39" customWidth="1"/>
    <col min="15372" max="15372" width="8.88671875" style="39"/>
    <col min="15373" max="15373" width="23.33203125" style="39" customWidth="1"/>
    <col min="15374" max="15374" width="14.77734375" style="39" customWidth="1"/>
    <col min="15375" max="15614" width="8.88671875" style="39"/>
    <col min="15615" max="15615" width="30.109375" style="39" customWidth="1"/>
    <col min="15616" max="15616" width="10.5546875" style="39" customWidth="1"/>
    <col min="15617" max="15617" width="4.109375" style="39" customWidth="1"/>
    <col min="15618" max="15618" width="6.6640625" style="39" customWidth="1"/>
    <col min="15619" max="15619" width="13" style="39" customWidth="1"/>
    <col min="15620" max="15620" width="19.5546875" style="39" customWidth="1"/>
    <col min="15621" max="15621" width="13" style="39" customWidth="1"/>
    <col min="15622" max="15622" width="19.5546875" style="39" customWidth="1"/>
    <col min="15623" max="15623" width="13" style="39" customWidth="1"/>
    <col min="15624" max="15624" width="19.5546875" style="39" customWidth="1"/>
    <col min="15625" max="15625" width="13" style="39" customWidth="1"/>
    <col min="15626" max="15626" width="18.6640625" style="39" customWidth="1"/>
    <col min="15627" max="15627" width="10.44140625" style="39" customWidth="1"/>
    <col min="15628" max="15628" width="8.88671875" style="39"/>
    <col min="15629" max="15629" width="23.33203125" style="39" customWidth="1"/>
    <col min="15630" max="15630" width="14.77734375" style="39" customWidth="1"/>
    <col min="15631" max="15870" width="8.88671875" style="39"/>
    <col min="15871" max="15871" width="30.109375" style="39" customWidth="1"/>
    <col min="15872" max="15872" width="10.5546875" style="39" customWidth="1"/>
    <col min="15873" max="15873" width="4.109375" style="39" customWidth="1"/>
    <col min="15874" max="15874" width="6.6640625" style="39" customWidth="1"/>
    <col min="15875" max="15875" width="13" style="39" customWidth="1"/>
    <col min="15876" max="15876" width="19.5546875" style="39" customWidth="1"/>
    <col min="15877" max="15877" width="13" style="39" customWidth="1"/>
    <col min="15878" max="15878" width="19.5546875" style="39" customWidth="1"/>
    <col min="15879" max="15879" width="13" style="39" customWidth="1"/>
    <col min="15880" max="15880" width="19.5546875" style="39" customWidth="1"/>
    <col min="15881" max="15881" width="13" style="39" customWidth="1"/>
    <col min="15882" max="15882" width="18.6640625" style="39" customWidth="1"/>
    <col min="15883" max="15883" width="10.44140625" style="39" customWidth="1"/>
    <col min="15884" max="15884" width="8.88671875" style="39"/>
    <col min="15885" max="15885" width="23.33203125" style="39" customWidth="1"/>
    <col min="15886" max="15886" width="14.77734375" style="39" customWidth="1"/>
    <col min="15887" max="16126" width="8.88671875" style="39"/>
    <col min="16127" max="16127" width="30.109375" style="39" customWidth="1"/>
    <col min="16128" max="16128" width="10.5546875" style="39" customWidth="1"/>
    <col min="16129" max="16129" width="4.109375" style="39" customWidth="1"/>
    <col min="16130" max="16130" width="6.6640625" style="39" customWidth="1"/>
    <col min="16131" max="16131" width="13" style="39" customWidth="1"/>
    <col min="16132" max="16132" width="19.5546875" style="39" customWidth="1"/>
    <col min="16133" max="16133" width="13" style="39" customWidth="1"/>
    <col min="16134" max="16134" width="19.5546875" style="39" customWidth="1"/>
    <col min="16135" max="16135" width="13" style="39" customWidth="1"/>
    <col min="16136" max="16136" width="19.5546875" style="39" customWidth="1"/>
    <col min="16137" max="16137" width="13" style="39" customWidth="1"/>
    <col min="16138" max="16138" width="18.6640625" style="39" customWidth="1"/>
    <col min="16139" max="16139" width="10.44140625" style="39" customWidth="1"/>
    <col min="16140" max="16140" width="8.88671875" style="39"/>
    <col min="16141" max="16141" width="23.33203125" style="39" customWidth="1"/>
    <col min="16142" max="16142" width="14.77734375" style="39" customWidth="1"/>
    <col min="16143" max="16384" width="8.88671875" style="39"/>
  </cols>
  <sheetData>
    <row r="1" spans="1:14" ht="51" customHeight="1">
      <c r="A1" s="303" t="s">
        <v>42</v>
      </c>
      <c r="B1" s="303"/>
      <c r="C1" s="303"/>
      <c r="D1" s="303"/>
      <c r="E1" s="303"/>
      <c r="F1" s="303"/>
      <c r="G1" s="303"/>
      <c r="H1" s="303"/>
      <c r="I1" s="303"/>
      <c r="J1" s="303"/>
      <c r="K1" s="303"/>
      <c r="L1" s="303"/>
      <c r="M1" s="303"/>
    </row>
    <row r="2" spans="1:14" ht="51" customHeight="1">
      <c r="A2" s="304"/>
      <c r="B2" s="304"/>
      <c r="C2" s="304"/>
      <c r="D2" s="304"/>
      <c r="E2" s="304"/>
      <c r="F2" s="304"/>
      <c r="G2" s="304"/>
      <c r="H2" s="304"/>
      <c r="I2" s="304"/>
      <c r="J2" s="304"/>
      <c r="K2" s="304"/>
      <c r="L2" s="304"/>
      <c r="M2" s="304"/>
    </row>
    <row r="3" spans="1:14" s="40" customFormat="1" ht="51" customHeight="1">
      <c r="A3" s="305" t="s">
        <v>43</v>
      </c>
      <c r="B3" s="305" t="s">
        <v>44</v>
      </c>
      <c r="C3" s="305" t="s">
        <v>45</v>
      </c>
      <c r="D3" s="305" t="s">
        <v>46</v>
      </c>
      <c r="E3" s="305" t="s">
        <v>47</v>
      </c>
      <c r="F3" s="305"/>
      <c r="G3" s="305" t="s">
        <v>48</v>
      </c>
      <c r="H3" s="305"/>
      <c r="I3" s="305" t="s">
        <v>49</v>
      </c>
      <c r="J3" s="305"/>
      <c r="K3" s="305" t="s">
        <v>50</v>
      </c>
      <c r="L3" s="305"/>
      <c r="M3" s="305" t="s">
        <v>51</v>
      </c>
    </row>
    <row r="4" spans="1:14" s="40" customFormat="1" ht="51" customHeight="1">
      <c r="A4" s="305"/>
      <c r="B4" s="305"/>
      <c r="C4" s="305"/>
      <c r="D4" s="305"/>
      <c r="E4" s="2" t="s">
        <v>52</v>
      </c>
      <c r="F4" s="2" t="s">
        <v>53</v>
      </c>
      <c r="G4" s="2" t="s">
        <v>52</v>
      </c>
      <c r="H4" s="2" t="s">
        <v>53</v>
      </c>
      <c r="I4" s="2" t="s">
        <v>52</v>
      </c>
      <c r="J4" s="2" t="s">
        <v>53</v>
      </c>
      <c r="K4" s="2" t="s">
        <v>52</v>
      </c>
      <c r="L4" s="2" t="s">
        <v>53</v>
      </c>
      <c r="M4" s="305"/>
      <c r="N4" s="41"/>
    </row>
    <row r="5" spans="1:14" s="46" customFormat="1" ht="51" customHeight="1">
      <c r="A5" s="42" t="s">
        <v>54</v>
      </c>
      <c r="B5" s="42"/>
      <c r="C5" s="43" t="s">
        <v>55</v>
      </c>
      <c r="D5" s="43">
        <v>1</v>
      </c>
      <c r="E5" s="42"/>
      <c r="F5" s="42">
        <f>+건축집계!F24</f>
        <v>416769750.16282976</v>
      </c>
      <c r="G5" s="42"/>
      <c r="H5" s="42">
        <f>+건축집계!H24</f>
        <v>297657794.77289706</v>
      </c>
      <c r="I5" s="42"/>
      <c r="J5" s="42">
        <f>+건축집계!J24</f>
        <v>85645002.93647501</v>
      </c>
      <c r="K5" s="42"/>
      <c r="L5" s="44">
        <f>+J5+H5+F5</f>
        <v>800072547.8722018</v>
      </c>
      <c r="M5" s="42"/>
      <c r="N5" s="45"/>
    </row>
    <row r="6" spans="1:14" s="46" customFormat="1" ht="51" customHeight="1">
      <c r="A6" s="42" t="s">
        <v>56</v>
      </c>
      <c r="B6" s="42"/>
      <c r="C6" s="43" t="s">
        <v>55</v>
      </c>
      <c r="D6" s="43">
        <v>1</v>
      </c>
      <c r="E6" s="42"/>
      <c r="F6" s="42">
        <f>+설비집계표!F27</f>
        <v>94561172</v>
      </c>
      <c r="G6" s="42"/>
      <c r="H6" s="42">
        <f>+설비집계표!H27</f>
        <v>62057095</v>
      </c>
      <c r="I6" s="42"/>
      <c r="J6" s="42">
        <f>+설비집계표!K27</f>
        <v>0</v>
      </c>
      <c r="K6" s="42"/>
      <c r="L6" s="44">
        <f>+J6+H6+F6</f>
        <v>156618267</v>
      </c>
      <c r="M6" s="42"/>
      <c r="N6" s="45"/>
    </row>
    <row r="7" spans="1:14" s="46" customFormat="1" ht="51" customHeight="1">
      <c r="A7" s="42" t="s">
        <v>57</v>
      </c>
      <c r="B7" s="42"/>
      <c r="C7" s="43" t="s">
        <v>55</v>
      </c>
      <c r="D7" s="43">
        <v>1</v>
      </c>
      <c r="E7" s="42"/>
      <c r="F7" s="42">
        <f>+전기총괄표!F20</f>
        <v>33508237</v>
      </c>
      <c r="G7" s="42"/>
      <c r="H7" s="42">
        <f>+전기총괄표!H20</f>
        <v>40365700</v>
      </c>
      <c r="I7" s="42"/>
      <c r="J7" s="42">
        <f>+전기총괄표!J20</f>
        <v>0</v>
      </c>
      <c r="K7" s="42"/>
      <c r="L7" s="44">
        <f>+J7+H7+F7</f>
        <v>73873937</v>
      </c>
      <c r="M7" s="42"/>
      <c r="N7" s="45"/>
    </row>
    <row r="8" spans="1:14" s="46" customFormat="1" ht="51" customHeight="1">
      <c r="A8" s="42"/>
      <c r="B8" s="42"/>
      <c r="C8" s="43"/>
      <c r="D8" s="43"/>
      <c r="E8" s="42"/>
      <c r="F8" s="42"/>
      <c r="G8" s="42"/>
      <c r="H8" s="42"/>
      <c r="I8" s="42"/>
      <c r="J8" s="42"/>
      <c r="K8" s="42"/>
      <c r="L8" s="44"/>
      <c r="M8" s="42"/>
      <c r="N8" s="45"/>
    </row>
    <row r="9" spans="1:14" s="46" customFormat="1" ht="51" customHeight="1">
      <c r="A9" s="42"/>
      <c r="B9" s="42"/>
      <c r="C9" s="43"/>
      <c r="D9" s="43"/>
      <c r="E9" s="42"/>
      <c r="F9" s="42"/>
      <c r="G9" s="42"/>
      <c r="H9" s="42"/>
      <c r="I9" s="42"/>
      <c r="J9" s="42"/>
      <c r="K9" s="42"/>
      <c r="L9" s="44"/>
      <c r="M9" s="42"/>
      <c r="N9" s="45"/>
    </row>
    <row r="10" spans="1:14" ht="51" customHeight="1">
      <c r="A10" s="47"/>
      <c r="B10" s="47"/>
      <c r="C10" s="48"/>
      <c r="D10" s="48"/>
      <c r="E10" s="47"/>
      <c r="F10" s="47"/>
      <c r="G10" s="47"/>
      <c r="H10" s="47"/>
      <c r="I10" s="47"/>
      <c r="J10" s="47"/>
      <c r="K10" s="47"/>
      <c r="L10" s="47">
        <f>+J10+H10+F10</f>
        <v>0</v>
      </c>
      <c r="M10" s="47"/>
    </row>
    <row r="11" spans="1:14" ht="51" customHeight="1">
      <c r="A11" s="47"/>
      <c r="B11" s="47"/>
      <c r="C11" s="48"/>
      <c r="D11" s="48"/>
      <c r="E11" s="47"/>
      <c r="F11" s="47"/>
      <c r="G11" s="47"/>
      <c r="H11" s="47"/>
      <c r="I11" s="47"/>
      <c r="J11" s="47"/>
      <c r="K11" s="47"/>
      <c r="L11" s="47">
        <f>+J11+H11+F11</f>
        <v>0</v>
      </c>
      <c r="M11" s="47"/>
    </row>
    <row r="12" spans="1:14" ht="51" customHeight="1">
      <c r="A12" s="47"/>
      <c r="B12" s="47"/>
      <c r="C12" s="48"/>
      <c r="D12" s="48"/>
      <c r="E12" s="47"/>
      <c r="F12" s="47"/>
      <c r="G12" s="47"/>
      <c r="H12" s="47"/>
      <c r="I12" s="47"/>
      <c r="J12" s="47"/>
      <c r="K12" s="47"/>
      <c r="L12" s="47">
        <f>+J12+H12+F12</f>
        <v>0</v>
      </c>
      <c r="M12" s="47"/>
    </row>
    <row r="13" spans="1:14" ht="51" customHeight="1">
      <c r="A13" s="47"/>
      <c r="B13" s="47"/>
      <c r="C13" s="48"/>
      <c r="D13" s="48"/>
      <c r="E13" s="47"/>
      <c r="F13" s="47"/>
      <c r="G13" s="47"/>
      <c r="H13" s="47"/>
      <c r="I13" s="47"/>
      <c r="J13" s="47"/>
      <c r="K13" s="47"/>
      <c r="L13" s="47"/>
      <c r="M13" s="47"/>
    </row>
    <row r="14" spans="1:14" ht="51" customHeight="1">
      <c r="A14" s="47"/>
      <c r="B14" s="47"/>
      <c r="C14" s="48"/>
      <c r="D14" s="48"/>
      <c r="E14" s="47"/>
      <c r="F14" s="47"/>
      <c r="G14" s="47"/>
      <c r="H14" s="47"/>
      <c r="I14" s="47"/>
      <c r="J14" s="47"/>
      <c r="K14" s="47"/>
      <c r="L14" s="47"/>
      <c r="M14" s="47"/>
    </row>
    <row r="15" spans="1:14" ht="51" customHeight="1">
      <c r="A15" s="47"/>
      <c r="B15" s="47"/>
      <c r="C15" s="48"/>
      <c r="D15" s="48"/>
      <c r="E15" s="47"/>
      <c r="F15" s="47"/>
      <c r="G15" s="47"/>
      <c r="H15" s="47"/>
      <c r="I15" s="47"/>
      <c r="J15" s="47"/>
      <c r="K15" s="47"/>
      <c r="L15" s="47"/>
      <c r="M15" s="47"/>
    </row>
    <row r="16" spans="1:14" ht="51" customHeight="1">
      <c r="A16" s="47"/>
      <c r="B16" s="47"/>
      <c r="C16" s="48"/>
      <c r="D16" s="48"/>
      <c r="E16" s="47"/>
      <c r="F16" s="47"/>
      <c r="G16" s="47"/>
      <c r="H16" s="47"/>
      <c r="I16" s="47"/>
      <c r="J16" s="47"/>
      <c r="K16" s="47"/>
      <c r="L16" s="47"/>
      <c r="M16" s="47"/>
    </row>
    <row r="17" spans="1:14" ht="51" customHeight="1">
      <c r="A17" s="47"/>
      <c r="B17" s="47"/>
      <c r="C17" s="48"/>
      <c r="D17" s="48"/>
      <c r="E17" s="47"/>
      <c r="F17" s="47"/>
      <c r="G17" s="47"/>
      <c r="H17" s="47"/>
      <c r="I17" s="47"/>
      <c r="J17" s="47"/>
      <c r="K17" s="47"/>
      <c r="L17" s="47"/>
      <c r="M17" s="47"/>
    </row>
    <row r="18" spans="1:14" s="46" customFormat="1" ht="51" customHeight="1">
      <c r="A18" s="49" t="s">
        <v>58</v>
      </c>
      <c r="B18" s="42"/>
      <c r="C18" s="49"/>
      <c r="D18" s="49"/>
      <c r="E18" s="42"/>
      <c r="F18" s="44">
        <f>SUM(F5:F7)</f>
        <v>544839159.1628298</v>
      </c>
      <c r="G18" s="42"/>
      <c r="H18" s="44">
        <f>SUM(H5:H7)</f>
        <v>400080589.77289706</v>
      </c>
      <c r="I18" s="42"/>
      <c r="J18" s="44">
        <f>SUM(J5:J7)</f>
        <v>85645002.93647501</v>
      </c>
      <c r="K18" s="42"/>
      <c r="L18" s="44">
        <f>SUM(L5:L7)</f>
        <v>1030564751.8722018</v>
      </c>
      <c r="M18" s="42"/>
      <c r="N18" s="50"/>
    </row>
    <row r="19" spans="1:14" hidden="1">
      <c r="A19" s="39" t="s">
        <v>59</v>
      </c>
    </row>
    <row r="20" spans="1:14" s="51" customFormat="1" ht="14.25">
      <c r="A20" s="51" t="s">
        <v>60</v>
      </c>
      <c r="C20" s="40"/>
      <c r="D20" s="40"/>
    </row>
    <row r="21" spans="1:14" s="51" customFormat="1" ht="14.25">
      <c r="C21" s="40"/>
      <c r="D21" s="40"/>
    </row>
    <row r="22" spans="1:14" s="51" customFormat="1" ht="14.25">
      <c r="C22" s="40"/>
      <c r="D22" s="40"/>
    </row>
    <row r="23" spans="1:14" s="51" customFormat="1" ht="14.25">
      <c r="C23" s="40"/>
      <c r="D23" s="40"/>
    </row>
    <row r="24" spans="1:14" s="51" customFormat="1" ht="14.25">
      <c r="C24" s="40"/>
      <c r="D24" s="40"/>
    </row>
    <row r="25" spans="1:14" s="51" customFormat="1" ht="14.25">
      <c r="C25" s="40"/>
      <c r="D25" s="40"/>
    </row>
    <row r="26" spans="1:14" s="51" customFormat="1" ht="14.25">
      <c r="C26" s="40"/>
      <c r="D26" s="40"/>
    </row>
    <row r="27" spans="1:14" s="51" customFormat="1" ht="14.25">
      <c r="C27" s="40"/>
      <c r="D27" s="40"/>
    </row>
    <row r="28" spans="1:14" s="51" customFormat="1" ht="14.25">
      <c r="C28" s="40"/>
      <c r="D28" s="40"/>
    </row>
    <row r="29" spans="1:14" s="51" customFormat="1" ht="14.25">
      <c r="C29" s="40"/>
      <c r="D29" s="40"/>
    </row>
    <row r="30" spans="1:14" s="51" customFormat="1" ht="14.25">
      <c r="C30" s="40"/>
      <c r="D30" s="40"/>
    </row>
    <row r="31" spans="1:14" s="51" customFormat="1" ht="14.25">
      <c r="C31" s="40"/>
      <c r="D31" s="40"/>
    </row>
    <row r="32" spans="1:14" s="51" customFormat="1" ht="14.25">
      <c r="C32" s="40"/>
      <c r="D32" s="40"/>
    </row>
    <row r="33" spans="3:4" s="51" customFormat="1" ht="14.25">
      <c r="C33" s="40"/>
      <c r="D33" s="40"/>
    </row>
    <row r="34" spans="3:4" s="51" customFormat="1" ht="14.25">
      <c r="C34" s="40"/>
      <c r="D34" s="40"/>
    </row>
    <row r="35" spans="3:4" s="51" customFormat="1" ht="14.25">
      <c r="C35" s="40"/>
      <c r="D35" s="40"/>
    </row>
    <row r="36" spans="3:4" s="51" customFormat="1" ht="14.25">
      <c r="C36" s="40"/>
      <c r="D36" s="40"/>
    </row>
    <row r="37" spans="3:4" s="51" customFormat="1" ht="14.25">
      <c r="C37" s="40"/>
      <c r="D37" s="40"/>
    </row>
    <row r="38" spans="3:4" s="51" customFormat="1" ht="14.25">
      <c r="C38" s="40"/>
      <c r="D38" s="40"/>
    </row>
    <row r="39" spans="3:4" s="51" customFormat="1" ht="14.25">
      <c r="C39" s="40"/>
      <c r="D39" s="40"/>
    </row>
    <row r="40" spans="3:4" s="51" customFormat="1" ht="14.25">
      <c r="C40" s="40"/>
      <c r="D40" s="40"/>
    </row>
    <row r="41" spans="3:4" s="51" customFormat="1" ht="14.25">
      <c r="C41" s="40"/>
      <c r="D41" s="40"/>
    </row>
    <row r="42" spans="3:4" s="51" customFormat="1" ht="14.25">
      <c r="C42" s="40"/>
      <c r="D42" s="40"/>
    </row>
    <row r="43" spans="3:4" s="51" customFormat="1" ht="14.25">
      <c r="C43" s="40"/>
      <c r="D43" s="40"/>
    </row>
    <row r="44" spans="3:4" s="51" customFormat="1" ht="14.25">
      <c r="C44" s="40"/>
      <c r="D44" s="40"/>
    </row>
    <row r="45" spans="3:4" s="51" customFormat="1" ht="14.25">
      <c r="C45" s="40"/>
      <c r="D45" s="40"/>
    </row>
    <row r="46" spans="3:4" s="51" customFormat="1" ht="14.25">
      <c r="C46" s="40"/>
      <c r="D46" s="40"/>
    </row>
    <row r="47" spans="3:4" s="51" customFormat="1" ht="14.25">
      <c r="C47" s="40"/>
      <c r="D47" s="40"/>
    </row>
    <row r="48" spans="3:4" s="51" customFormat="1" ht="14.25">
      <c r="C48" s="40"/>
      <c r="D48" s="40"/>
    </row>
    <row r="49" spans="3:4" s="51" customFormat="1" ht="14.25">
      <c r="C49" s="40"/>
      <c r="D49" s="40"/>
    </row>
    <row r="50" spans="3:4" s="51" customFormat="1" ht="14.25">
      <c r="C50" s="40"/>
      <c r="D50" s="40"/>
    </row>
    <row r="51" spans="3:4" s="51" customFormat="1" ht="14.25">
      <c r="C51" s="40"/>
      <c r="D51" s="40"/>
    </row>
    <row r="52" spans="3:4" s="51" customFormat="1" ht="14.25">
      <c r="C52" s="40"/>
      <c r="D52" s="40"/>
    </row>
    <row r="53" spans="3:4" s="51" customFormat="1" ht="14.25">
      <c r="C53" s="40"/>
      <c r="D53" s="40"/>
    </row>
    <row r="54" spans="3:4" s="51" customFormat="1" ht="14.25">
      <c r="C54" s="40"/>
      <c r="D54" s="40"/>
    </row>
    <row r="55" spans="3:4" s="51" customFormat="1" ht="14.25">
      <c r="C55" s="40"/>
      <c r="D55" s="40"/>
    </row>
    <row r="56" spans="3:4" s="51" customFormat="1" ht="14.25">
      <c r="C56" s="40"/>
      <c r="D56" s="40"/>
    </row>
    <row r="57" spans="3:4" s="51" customFormat="1" ht="14.25">
      <c r="C57" s="40"/>
      <c r="D57" s="40"/>
    </row>
    <row r="58" spans="3:4" s="51" customFormat="1" ht="14.25">
      <c r="C58" s="40"/>
      <c r="D58" s="40"/>
    </row>
    <row r="59" spans="3:4" s="51" customFormat="1" ht="14.25">
      <c r="C59" s="40"/>
      <c r="D59" s="40"/>
    </row>
    <row r="60" spans="3:4" s="51" customFormat="1" ht="14.25">
      <c r="C60" s="40"/>
      <c r="D60" s="40"/>
    </row>
    <row r="61" spans="3:4" s="51" customFormat="1" ht="14.25">
      <c r="C61" s="40"/>
      <c r="D61" s="40"/>
    </row>
    <row r="62" spans="3:4" s="51" customFormat="1" ht="14.25">
      <c r="C62" s="40"/>
      <c r="D62" s="40"/>
    </row>
    <row r="63" spans="3:4" s="51" customFormat="1" ht="14.25">
      <c r="C63" s="40"/>
      <c r="D63" s="40"/>
    </row>
    <row r="64" spans="3:4" s="51" customFormat="1" ht="14.25">
      <c r="C64" s="40"/>
      <c r="D64" s="40"/>
    </row>
    <row r="65" spans="3:4" s="51" customFormat="1" ht="14.25">
      <c r="C65" s="40"/>
      <c r="D65" s="40"/>
    </row>
    <row r="66" spans="3:4" s="51" customFormat="1" ht="14.25">
      <c r="C66" s="40"/>
      <c r="D66" s="40"/>
    </row>
    <row r="67" spans="3:4" s="51" customFormat="1" ht="14.25">
      <c r="C67" s="40"/>
      <c r="D67" s="40"/>
    </row>
    <row r="68" spans="3:4" s="51" customFormat="1" ht="14.25">
      <c r="C68" s="40"/>
      <c r="D68" s="40"/>
    </row>
    <row r="69" spans="3:4" s="51" customFormat="1" ht="14.25">
      <c r="C69" s="40"/>
      <c r="D69" s="40"/>
    </row>
    <row r="70" spans="3:4" s="51" customFormat="1" ht="14.25">
      <c r="C70" s="40"/>
      <c r="D70" s="40"/>
    </row>
    <row r="71" spans="3:4" s="51" customFormat="1" ht="14.25">
      <c r="C71" s="40"/>
      <c r="D71" s="40"/>
    </row>
    <row r="72" spans="3:4" s="51" customFormat="1" ht="14.25">
      <c r="C72" s="40"/>
      <c r="D72" s="40"/>
    </row>
    <row r="73" spans="3:4" s="51" customFormat="1" ht="14.25">
      <c r="C73" s="40"/>
      <c r="D73" s="40"/>
    </row>
    <row r="74" spans="3:4" s="51" customFormat="1" ht="14.25">
      <c r="C74" s="40"/>
      <c r="D74" s="40"/>
    </row>
    <row r="75" spans="3:4" s="51" customFormat="1" ht="14.25">
      <c r="C75" s="40"/>
      <c r="D75" s="40"/>
    </row>
    <row r="76" spans="3:4" s="51" customFormat="1" ht="14.25">
      <c r="C76" s="40"/>
      <c r="D76" s="40"/>
    </row>
    <row r="77" spans="3:4" s="51" customFormat="1" ht="14.25">
      <c r="C77" s="40"/>
      <c r="D77" s="40"/>
    </row>
    <row r="78" spans="3:4" s="51" customFormat="1" ht="14.25">
      <c r="C78" s="40"/>
      <c r="D78" s="40"/>
    </row>
    <row r="79" spans="3:4" s="51" customFormat="1" ht="14.25">
      <c r="C79" s="40"/>
      <c r="D79" s="40"/>
    </row>
    <row r="80" spans="3:4" s="51" customFormat="1" ht="14.25">
      <c r="C80" s="40"/>
      <c r="D80" s="40"/>
    </row>
    <row r="81" spans="3:4" s="51" customFormat="1" ht="14.25">
      <c r="C81" s="40"/>
      <c r="D81" s="40"/>
    </row>
    <row r="82" spans="3:4" s="51" customFormat="1" ht="14.25">
      <c r="C82" s="40"/>
      <c r="D82" s="40"/>
    </row>
    <row r="83" spans="3:4" s="51" customFormat="1" ht="14.25">
      <c r="C83" s="40"/>
      <c r="D83" s="40"/>
    </row>
    <row r="84" spans="3:4" s="51" customFormat="1" ht="14.25">
      <c r="C84" s="40"/>
      <c r="D84" s="40"/>
    </row>
    <row r="85" spans="3:4" s="51" customFormat="1" ht="14.25">
      <c r="C85" s="40"/>
      <c r="D85" s="40"/>
    </row>
    <row r="86" spans="3:4" s="51" customFormat="1" ht="14.25">
      <c r="C86" s="40"/>
      <c r="D86" s="40"/>
    </row>
    <row r="87" spans="3:4" s="51" customFormat="1" ht="14.25">
      <c r="C87" s="40"/>
      <c r="D87" s="40"/>
    </row>
    <row r="88" spans="3:4" s="51" customFormat="1" ht="14.25">
      <c r="C88" s="40"/>
      <c r="D88" s="40"/>
    </row>
    <row r="89" spans="3:4" s="51" customFormat="1" ht="14.25">
      <c r="C89" s="40"/>
      <c r="D89" s="40"/>
    </row>
    <row r="90" spans="3:4" s="51" customFormat="1" ht="14.25">
      <c r="C90" s="40"/>
      <c r="D90" s="40"/>
    </row>
    <row r="91" spans="3:4" s="51" customFormat="1" ht="14.25">
      <c r="C91" s="40"/>
      <c r="D91" s="40"/>
    </row>
    <row r="92" spans="3:4" s="51" customFormat="1" ht="14.25">
      <c r="C92" s="40"/>
      <c r="D92" s="40"/>
    </row>
    <row r="93" spans="3:4" s="51" customFormat="1" ht="14.25">
      <c r="C93" s="40"/>
      <c r="D93" s="40"/>
    </row>
    <row r="94" spans="3:4" s="51" customFormat="1" ht="14.25">
      <c r="C94" s="40"/>
      <c r="D94" s="40"/>
    </row>
    <row r="95" spans="3:4" s="51" customFormat="1" ht="14.25">
      <c r="C95" s="40"/>
      <c r="D95" s="40"/>
    </row>
    <row r="96" spans="3:4" s="51" customFormat="1" ht="14.25">
      <c r="C96" s="40"/>
      <c r="D96" s="40"/>
    </row>
    <row r="97" spans="3:4" s="51" customFormat="1" ht="14.25">
      <c r="C97" s="40"/>
      <c r="D97" s="40"/>
    </row>
    <row r="98" spans="3:4" s="51" customFormat="1" ht="14.25">
      <c r="C98" s="40"/>
      <c r="D98" s="40"/>
    </row>
    <row r="99" spans="3:4" s="51" customFormat="1" ht="14.25">
      <c r="C99" s="40"/>
      <c r="D99" s="40"/>
    </row>
    <row r="100" spans="3:4" s="51" customFormat="1" ht="14.25">
      <c r="C100" s="40"/>
      <c r="D100" s="40"/>
    </row>
    <row r="101" spans="3:4" s="51" customFormat="1" ht="14.25">
      <c r="C101" s="40"/>
      <c r="D101" s="40"/>
    </row>
    <row r="102" spans="3:4" s="51" customFormat="1" ht="14.25">
      <c r="C102" s="40"/>
      <c r="D102" s="40"/>
    </row>
    <row r="103" spans="3:4" s="51" customFormat="1" ht="14.25">
      <c r="C103" s="40"/>
      <c r="D103" s="40"/>
    </row>
    <row r="104" spans="3:4" s="51" customFormat="1" ht="14.25">
      <c r="C104" s="40"/>
      <c r="D104" s="40"/>
    </row>
    <row r="105" spans="3:4" s="51" customFormat="1" ht="14.25">
      <c r="C105" s="40"/>
      <c r="D105" s="40"/>
    </row>
    <row r="106" spans="3:4" s="51" customFormat="1" ht="14.25">
      <c r="C106" s="40"/>
      <c r="D106" s="40"/>
    </row>
    <row r="107" spans="3:4" s="51" customFormat="1" ht="14.25">
      <c r="C107" s="40"/>
      <c r="D107" s="40"/>
    </row>
    <row r="108" spans="3:4" s="51" customFormat="1" ht="14.25">
      <c r="C108" s="40"/>
      <c r="D108" s="40"/>
    </row>
    <row r="109" spans="3:4" s="51" customFormat="1" ht="14.25">
      <c r="C109" s="40"/>
      <c r="D109" s="40"/>
    </row>
    <row r="110" spans="3:4" s="51" customFormat="1" ht="14.25">
      <c r="C110" s="40"/>
      <c r="D110" s="40"/>
    </row>
    <row r="111" spans="3:4" s="51" customFormat="1" ht="14.25">
      <c r="C111" s="40"/>
      <c r="D111" s="40"/>
    </row>
    <row r="112" spans="3:4" s="51" customFormat="1" ht="14.25">
      <c r="C112" s="40"/>
      <c r="D112" s="40"/>
    </row>
    <row r="113" spans="3:4" s="51" customFormat="1" ht="14.25">
      <c r="C113" s="40"/>
      <c r="D113" s="40"/>
    </row>
    <row r="114" spans="3:4" s="51" customFormat="1" ht="14.25">
      <c r="C114" s="40"/>
      <c r="D114" s="40"/>
    </row>
    <row r="115" spans="3:4" s="51" customFormat="1" ht="14.25">
      <c r="C115" s="40"/>
      <c r="D115" s="40"/>
    </row>
    <row r="116" spans="3:4" s="51" customFormat="1" ht="14.25">
      <c r="C116" s="40"/>
      <c r="D116" s="40"/>
    </row>
    <row r="117" spans="3:4" s="51" customFormat="1" ht="14.25">
      <c r="C117" s="40"/>
      <c r="D117" s="40"/>
    </row>
    <row r="118" spans="3:4" s="51" customFormat="1" ht="14.25">
      <c r="C118" s="40"/>
      <c r="D118" s="40"/>
    </row>
    <row r="119" spans="3:4" s="51" customFormat="1" ht="14.25">
      <c r="C119" s="40"/>
      <c r="D119" s="40"/>
    </row>
    <row r="120" spans="3:4" s="51" customFormat="1" ht="14.25">
      <c r="C120" s="40"/>
      <c r="D120" s="40"/>
    </row>
    <row r="121" spans="3:4" s="51" customFormat="1" ht="14.25">
      <c r="C121" s="40"/>
      <c r="D121" s="40"/>
    </row>
    <row r="122" spans="3:4" s="51" customFormat="1" ht="14.25">
      <c r="C122" s="40"/>
      <c r="D122" s="40"/>
    </row>
    <row r="123" spans="3:4" s="51" customFormat="1" ht="14.25">
      <c r="C123" s="40"/>
      <c r="D123" s="40"/>
    </row>
    <row r="124" spans="3:4" s="51" customFormat="1" ht="14.25">
      <c r="C124" s="40"/>
      <c r="D124" s="40"/>
    </row>
    <row r="125" spans="3:4" s="51" customFormat="1" ht="14.25">
      <c r="C125" s="40"/>
      <c r="D125" s="40"/>
    </row>
    <row r="126" spans="3:4" s="51" customFormat="1" ht="14.25">
      <c r="C126" s="40"/>
      <c r="D126" s="40"/>
    </row>
    <row r="127" spans="3:4" s="51" customFormat="1" ht="14.25">
      <c r="C127" s="40"/>
      <c r="D127" s="40"/>
    </row>
    <row r="128" spans="3:4" s="51" customFormat="1" ht="14.25">
      <c r="C128" s="40"/>
      <c r="D128" s="40"/>
    </row>
    <row r="129" spans="3:4" s="51" customFormat="1" ht="14.25">
      <c r="C129" s="40"/>
      <c r="D129" s="40"/>
    </row>
    <row r="130" spans="3:4" s="51" customFormat="1" ht="14.25">
      <c r="C130" s="40"/>
      <c r="D130" s="40"/>
    </row>
    <row r="131" spans="3:4" s="51" customFormat="1" ht="14.25">
      <c r="C131" s="40"/>
      <c r="D131" s="40"/>
    </row>
    <row r="132" spans="3:4" s="51" customFormat="1" ht="14.25">
      <c r="C132" s="40"/>
      <c r="D132" s="40"/>
    </row>
    <row r="133" spans="3:4" s="51" customFormat="1" ht="14.25">
      <c r="C133" s="40"/>
      <c r="D133" s="40"/>
    </row>
    <row r="134" spans="3:4" s="51" customFormat="1" ht="14.25">
      <c r="C134" s="40"/>
      <c r="D134" s="40"/>
    </row>
    <row r="135" spans="3:4" s="51" customFormat="1" ht="14.25">
      <c r="C135" s="40"/>
      <c r="D135" s="40"/>
    </row>
    <row r="136" spans="3:4" s="51" customFormat="1" ht="14.25">
      <c r="C136" s="40"/>
      <c r="D136" s="40"/>
    </row>
    <row r="137" spans="3:4" s="51" customFormat="1" ht="14.25">
      <c r="C137" s="40"/>
      <c r="D137" s="40"/>
    </row>
    <row r="138" spans="3:4" s="51" customFormat="1" ht="14.25">
      <c r="C138" s="40"/>
      <c r="D138" s="40"/>
    </row>
    <row r="139" spans="3:4" s="51" customFormat="1" ht="14.25">
      <c r="C139" s="40"/>
      <c r="D139" s="40"/>
    </row>
    <row r="140" spans="3:4" s="51" customFormat="1" ht="14.25">
      <c r="C140" s="40"/>
      <c r="D140" s="40"/>
    </row>
    <row r="141" spans="3:4" s="51" customFormat="1" ht="14.25">
      <c r="C141" s="40"/>
      <c r="D141" s="40"/>
    </row>
    <row r="142" spans="3:4" s="51" customFormat="1" ht="14.25">
      <c r="C142" s="40"/>
      <c r="D142" s="40"/>
    </row>
    <row r="143" spans="3:4" s="51" customFormat="1" ht="14.25">
      <c r="C143" s="40"/>
      <c r="D143" s="40"/>
    </row>
    <row r="144" spans="3:4" s="51" customFormat="1" ht="14.25">
      <c r="C144" s="40"/>
      <c r="D144" s="40"/>
    </row>
    <row r="145" spans="3:4" s="51" customFormat="1" ht="14.25">
      <c r="C145" s="40"/>
      <c r="D145" s="40"/>
    </row>
    <row r="146" spans="3:4" s="51" customFormat="1" ht="14.25">
      <c r="C146" s="40"/>
      <c r="D146" s="40"/>
    </row>
    <row r="147" spans="3:4" s="51" customFormat="1" ht="14.25">
      <c r="C147" s="40"/>
      <c r="D147" s="40"/>
    </row>
    <row r="148" spans="3:4" s="51" customFormat="1" ht="14.25">
      <c r="C148" s="40"/>
      <c r="D148" s="40"/>
    </row>
    <row r="149" spans="3:4" s="51" customFormat="1" ht="14.25">
      <c r="C149" s="40"/>
      <c r="D149" s="40"/>
    </row>
    <row r="150" spans="3:4" s="51" customFormat="1" ht="14.25">
      <c r="C150" s="40"/>
      <c r="D150" s="40"/>
    </row>
    <row r="151" spans="3:4" s="51" customFormat="1" ht="14.25">
      <c r="C151" s="40"/>
      <c r="D151" s="40"/>
    </row>
    <row r="152" spans="3:4" s="51" customFormat="1" ht="14.25">
      <c r="C152" s="40"/>
      <c r="D152" s="40"/>
    </row>
    <row r="153" spans="3:4" s="51" customFormat="1" ht="14.25">
      <c r="C153" s="40"/>
      <c r="D153" s="40"/>
    </row>
    <row r="154" spans="3:4" s="51" customFormat="1" ht="14.25">
      <c r="C154" s="40"/>
      <c r="D154" s="40"/>
    </row>
    <row r="155" spans="3:4" s="51" customFormat="1" ht="14.25">
      <c r="C155" s="40"/>
      <c r="D155" s="40"/>
    </row>
    <row r="156" spans="3:4" s="51" customFormat="1" ht="14.25">
      <c r="C156" s="40"/>
      <c r="D156" s="40"/>
    </row>
    <row r="157" spans="3:4" s="51" customFormat="1" ht="14.25">
      <c r="C157" s="40"/>
      <c r="D157" s="40"/>
    </row>
    <row r="158" spans="3:4" s="51" customFormat="1" ht="14.25">
      <c r="C158" s="40"/>
      <c r="D158" s="40"/>
    </row>
    <row r="159" spans="3:4" s="51" customFormat="1" ht="14.25">
      <c r="C159" s="40"/>
      <c r="D159" s="40"/>
    </row>
    <row r="160" spans="3:4" s="51" customFormat="1" ht="14.25">
      <c r="C160" s="40"/>
      <c r="D160" s="40"/>
    </row>
    <row r="161" spans="3:4" s="51" customFormat="1" ht="14.25">
      <c r="C161" s="40"/>
      <c r="D161" s="40"/>
    </row>
    <row r="162" spans="3:4" s="51" customFormat="1" ht="14.25">
      <c r="C162" s="40"/>
      <c r="D162" s="40"/>
    </row>
    <row r="163" spans="3:4" s="51" customFormat="1" ht="14.25">
      <c r="C163" s="40"/>
      <c r="D163" s="40"/>
    </row>
    <row r="164" spans="3:4" s="51" customFormat="1" ht="14.25">
      <c r="C164" s="40"/>
      <c r="D164" s="40"/>
    </row>
    <row r="165" spans="3:4" s="51" customFormat="1" ht="14.25">
      <c r="C165" s="40"/>
      <c r="D165" s="40"/>
    </row>
    <row r="166" spans="3:4" s="51" customFormat="1" ht="14.25">
      <c r="C166" s="40"/>
      <c r="D166" s="40"/>
    </row>
    <row r="167" spans="3:4" s="51" customFormat="1" ht="14.25">
      <c r="C167" s="40"/>
      <c r="D167" s="40"/>
    </row>
    <row r="168" spans="3:4" s="51" customFormat="1" ht="14.25">
      <c r="C168" s="40"/>
      <c r="D168" s="40"/>
    </row>
    <row r="169" spans="3:4" s="51" customFormat="1" ht="14.25">
      <c r="C169" s="40"/>
      <c r="D169" s="40"/>
    </row>
    <row r="170" spans="3:4" s="51" customFormat="1" ht="14.25">
      <c r="C170" s="40"/>
      <c r="D170" s="40"/>
    </row>
    <row r="171" spans="3:4" s="51" customFormat="1" ht="14.25">
      <c r="C171" s="40"/>
      <c r="D171" s="40"/>
    </row>
    <row r="172" spans="3:4" s="51" customFormat="1" ht="14.25">
      <c r="C172" s="40"/>
      <c r="D172" s="40"/>
    </row>
    <row r="173" spans="3:4" s="51" customFormat="1" ht="14.25">
      <c r="C173" s="40"/>
      <c r="D173" s="40"/>
    </row>
    <row r="174" spans="3:4" s="51" customFormat="1" ht="14.25">
      <c r="C174" s="40"/>
      <c r="D174" s="40"/>
    </row>
    <row r="175" spans="3:4" s="51" customFormat="1" ht="14.25">
      <c r="C175" s="40"/>
      <c r="D175" s="40"/>
    </row>
    <row r="176" spans="3:4" s="51" customFormat="1" ht="14.25">
      <c r="C176" s="40"/>
      <c r="D176" s="40"/>
    </row>
    <row r="177" spans="3:4" s="51" customFormat="1" ht="14.25">
      <c r="C177" s="40"/>
      <c r="D177" s="40"/>
    </row>
    <row r="178" spans="3:4" s="51" customFormat="1" ht="14.25">
      <c r="C178" s="40"/>
      <c r="D178" s="40"/>
    </row>
    <row r="179" spans="3:4" s="51" customFormat="1" ht="14.25">
      <c r="C179" s="40"/>
      <c r="D179" s="40"/>
    </row>
    <row r="180" spans="3:4" s="51" customFormat="1" ht="14.25">
      <c r="C180" s="40"/>
      <c r="D180" s="40"/>
    </row>
    <row r="181" spans="3:4" s="51" customFormat="1" ht="14.25">
      <c r="C181" s="40"/>
      <c r="D181" s="40"/>
    </row>
    <row r="182" spans="3:4" s="51" customFormat="1" ht="14.25">
      <c r="C182" s="40"/>
      <c r="D182" s="40"/>
    </row>
    <row r="183" spans="3:4" s="51" customFormat="1" ht="14.25">
      <c r="C183" s="40"/>
      <c r="D183" s="40"/>
    </row>
    <row r="184" spans="3:4" s="51" customFormat="1" ht="14.25">
      <c r="C184" s="40"/>
      <c r="D184" s="40"/>
    </row>
    <row r="185" spans="3:4" s="51" customFormat="1" ht="14.25">
      <c r="C185" s="40"/>
      <c r="D185" s="40"/>
    </row>
    <row r="186" spans="3:4" s="51" customFormat="1" ht="14.25">
      <c r="C186" s="40"/>
      <c r="D186" s="40"/>
    </row>
    <row r="187" spans="3:4" s="51" customFormat="1" ht="14.25">
      <c r="C187" s="40"/>
      <c r="D187" s="40"/>
    </row>
    <row r="188" spans="3:4" s="51" customFormat="1" ht="14.25">
      <c r="C188" s="40"/>
      <c r="D188" s="40"/>
    </row>
    <row r="189" spans="3:4" s="51" customFormat="1" ht="14.25">
      <c r="C189" s="40"/>
      <c r="D189" s="40"/>
    </row>
    <row r="190" spans="3:4" s="51" customFormat="1" ht="14.25">
      <c r="C190" s="40"/>
      <c r="D190" s="40"/>
    </row>
    <row r="191" spans="3:4" s="51" customFormat="1" ht="14.25">
      <c r="C191" s="40"/>
      <c r="D191" s="40"/>
    </row>
    <row r="192" spans="3:4" s="51" customFormat="1" ht="14.25">
      <c r="C192" s="40"/>
      <c r="D192" s="40"/>
    </row>
    <row r="193" spans="3:4" s="51" customFormat="1" ht="14.25">
      <c r="C193" s="40"/>
      <c r="D193" s="40"/>
    </row>
    <row r="194" spans="3:4" s="51" customFormat="1" ht="14.25">
      <c r="C194" s="40"/>
      <c r="D194" s="40"/>
    </row>
    <row r="195" spans="3:4" s="51" customFormat="1" ht="14.25">
      <c r="C195" s="40"/>
      <c r="D195" s="40"/>
    </row>
    <row r="196" spans="3:4" s="51" customFormat="1" ht="14.25">
      <c r="C196" s="40"/>
      <c r="D196" s="40"/>
    </row>
    <row r="197" spans="3:4" s="51" customFormat="1" ht="14.25">
      <c r="C197" s="40"/>
      <c r="D197" s="40"/>
    </row>
    <row r="198" spans="3:4" s="51" customFormat="1" ht="14.25">
      <c r="C198" s="40"/>
      <c r="D198" s="40"/>
    </row>
    <row r="199" spans="3:4" s="51" customFormat="1" ht="14.25">
      <c r="C199" s="40"/>
      <c r="D199" s="40"/>
    </row>
    <row r="200" spans="3:4" s="51" customFormat="1" ht="14.25">
      <c r="C200" s="40"/>
      <c r="D200" s="40"/>
    </row>
    <row r="201" spans="3:4" s="51" customFormat="1" ht="14.25">
      <c r="C201" s="40"/>
      <c r="D201" s="40"/>
    </row>
    <row r="202" spans="3:4" s="51" customFormat="1" ht="14.25">
      <c r="C202" s="40"/>
      <c r="D202" s="40"/>
    </row>
    <row r="203" spans="3:4" s="51" customFormat="1" ht="14.25">
      <c r="C203" s="40"/>
      <c r="D203" s="40"/>
    </row>
    <row r="204" spans="3:4" s="51" customFormat="1" ht="14.25">
      <c r="C204" s="40"/>
      <c r="D204" s="40"/>
    </row>
    <row r="205" spans="3:4" s="51" customFormat="1" ht="14.25">
      <c r="C205" s="40"/>
      <c r="D205" s="40"/>
    </row>
    <row r="206" spans="3:4" s="51" customFormat="1" ht="14.25">
      <c r="C206" s="40"/>
      <c r="D206" s="40"/>
    </row>
    <row r="207" spans="3:4" s="51" customFormat="1" ht="14.25">
      <c r="C207" s="40"/>
      <c r="D207" s="40"/>
    </row>
    <row r="208" spans="3:4" s="51" customFormat="1" ht="14.25">
      <c r="C208" s="40"/>
      <c r="D208" s="40"/>
    </row>
    <row r="209" spans="3:4" s="51" customFormat="1" ht="14.25">
      <c r="C209" s="40"/>
      <c r="D209" s="40"/>
    </row>
    <row r="210" spans="3:4" s="51" customFormat="1" ht="14.25">
      <c r="C210" s="40"/>
      <c r="D210" s="40"/>
    </row>
    <row r="211" spans="3:4" s="51" customFormat="1" ht="14.25">
      <c r="C211" s="40"/>
      <c r="D211" s="40"/>
    </row>
    <row r="212" spans="3:4" s="51" customFormat="1" ht="14.25">
      <c r="C212" s="40"/>
      <c r="D212" s="40"/>
    </row>
    <row r="213" spans="3:4" s="51" customFormat="1" ht="14.25">
      <c r="C213" s="40"/>
      <c r="D213" s="40"/>
    </row>
    <row r="214" spans="3:4" s="51" customFormat="1" ht="14.25">
      <c r="C214" s="40"/>
      <c r="D214" s="40"/>
    </row>
    <row r="215" spans="3:4" s="51" customFormat="1" ht="14.25">
      <c r="C215" s="40"/>
      <c r="D215" s="40"/>
    </row>
    <row r="216" spans="3:4" s="51" customFormat="1" ht="14.25">
      <c r="C216" s="40"/>
      <c r="D216" s="40"/>
    </row>
    <row r="217" spans="3:4" s="51" customFormat="1" ht="14.25">
      <c r="C217" s="40"/>
      <c r="D217" s="40"/>
    </row>
    <row r="218" spans="3:4" s="51" customFormat="1" ht="14.25">
      <c r="C218" s="40"/>
      <c r="D218" s="40"/>
    </row>
    <row r="219" spans="3:4" s="51" customFormat="1" ht="14.25">
      <c r="C219" s="40"/>
      <c r="D219" s="40"/>
    </row>
    <row r="220" spans="3:4" s="51" customFormat="1" ht="14.25">
      <c r="C220" s="40"/>
      <c r="D220" s="40"/>
    </row>
    <row r="221" spans="3:4" s="51" customFormat="1" ht="14.25">
      <c r="C221" s="40"/>
      <c r="D221" s="40"/>
    </row>
    <row r="222" spans="3:4" s="51" customFormat="1" ht="14.25">
      <c r="C222" s="40"/>
      <c r="D222" s="40"/>
    </row>
    <row r="223" spans="3:4" s="51" customFormat="1" ht="14.25">
      <c r="C223" s="40"/>
      <c r="D223" s="40"/>
    </row>
    <row r="224" spans="3:4" s="51" customFormat="1" ht="14.25">
      <c r="C224" s="40"/>
      <c r="D224" s="40"/>
    </row>
    <row r="225" spans="3:4" s="51" customFormat="1" ht="14.25">
      <c r="C225" s="40"/>
      <c r="D225" s="40"/>
    </row>
    <row r="226" spans="3:4" s="51" customFormat="1" ht="14.25">
      <c r="C226" s="40"/>
      <c r="D226" s="40"/>
    </row>
    <row r="227" spans="3:4" s="51" customFormat="1" ht="14.25">
      <c r="C227" s="40"/>
      <c r="D227" s="40"/>
    </row>
    <row r="228" spans="3:4" s="51" customFormat="1" ht="14.25">
      <c r="C228" s="40"/>
      <c r="D228" s="40"/>
    </row>
    <row r="229" spans="3:4" s="51" customFormat="1" ht="14.25">
      <c r="C229" s="40"/>
      <c r="D229" s="40"/>
    </row>
    <row r="230" spans="3:4" s="51" customFormat="1" ht="14.25">
      <c r="C230" s="40"/>
      <c r="D230" s="40"/>
    </row>
    <row r="231" spans="3:4" s="51" customFormat="1" ht="14.25">
      <c r="C231" s="40"/>
      <c r="D231" s="40"/>
    </row>
    <row r="232" spans="3:4" s="51" customFormat="1" ht="14.25">
      <c r="C232" s="40"/>
      <c r="D232" s="40"/>
    </row>
    <row r="233" spans="3:4" s="51" customFormat="1" ht="14.25">
      <c r="C233" s="40"/>
      <c r="D233" s="40"/>
    </row>
    <row r="234" spans="3:4" s="51" customFormat="1" ht="14.25">
      <c r="C234" s="40"/>
      <c r="D234" s="40"/>
    </row>
    <row r="235" spans="3:4" s="51" customFormat="1" ht="14.25">
      <c r="C235" s="40"/>
      <c r="D235" s="40"/>
    </row>
    <row r="236" spans="3:4" s="51" customFormat="1" ht="14.25">
      <c r="C236" s="40"/>
      <c r="D236" s="40"/>
    </row>
    <row r="237" spans="3:4" s="51" customFormat="1" ht="14.25">
      <c r="C237" s="40"/>
      <c r="D237" s="40"/>
    </row>
    <row r="238" spans="3:4" s="51" customFormat="1" ht="14.25">
      <c r="C238" s="40"/>
      <c r="D238" s="40"/>
    </row>
    <row r="239" spans="3:4" s="51" customFormat="1" ht="14.25">
      <c r="C239" s="40"/>
      <c r="D239" s="40"/>
    </row>
    <row r="240" spans="3:4" s="51" customFormat="1" ht="14.25">
      <c r="C240" s="40"/>
      <c r="D240" s="40"/>
    </row>
    <row r="241" spans="3:4" s="51" customFormat="1" ht="14.25">
      <c r="C241" s="40"/>
      <c r="D241" s="40"/>
    </row>
    <row r="242" spans="3:4" s="51" customFormat="1" ht="14.25">
      <c r="C242" s="40"/>
      <c r="D242" s="40"/>
    </row>
    <row r="243" spans="3:4" s="51" customFormat="1" ht="14.25">
      <c r="C243" s="40"/>
      <c r="D243" s="40"/>
    </row>
    <row r="244" spans="3:4" s="51" customFormat="1" ht="14.25">
      <c r="C244" s="40"/>
      <c r="D244" s="40"/>
    </row>
    <row r="245" spans="3:4" s="51" customFormat="1" ht="14.25">
      <c r="C245" s="40"/>
      <c r="D245" s="40"/>
    </row>
    <row r="246" spans="3:4" s="51" customFormat="1" ht="14.25">
      <c r="C246" s="40"/>
      <c r="D246" s="40"/>
    </row>
    <row r="247" spans="3:4" s="51" customFormat="1" ht="14.25">
      <c r="C247" s="40"/>
      <c r="D247" s="40"/>
    </row>
    <row r="248" spans="3:4" s="51" customFormat="1" ht="14.25">
      <c r="C248" s="40"/>
      <c r="D248" s="40"/>
    </row>
    <row r="249" spans="3:4" s="51" customFormat="1" ht="14.25">
      <c r="C249" s="40"/>
      <c r="D249" s="40"/>
    </row>
    <row r="250" spans="3:4" s="51" customFormat="1" ht="14.25">
      <c r="C250" s="40"/>
      <c r="D250" s="40"/>
    </row>
    <row r="251" spans="3:4" s="51" customFormat="1" ht="14.25">
      <c r="C251" s="40"/>
      <c r="D251" s="40"/>
    </row>
    <row r="252" spans="3:4" s="51" customFormat="1" ht="14.25">
      <c r="C252" s="40"/>
      <c r="D252" s="40"/>
    </row>
    <row r="253" spans="3:4" s="51" customFormat="1" ht="14.25">
      <c r="C253" s="40"/>
      <c r="D253" s="40"/>
    </row>
    <row r="254" spans="3:4" s="51" customFormat="1" ht="14.25">
      <c r="C254" s="40"/>
      <c r="D254" s="40"/>
    </row>
    <row r="255" spans="3:4" s="51" customFormat="1" ht="14.25">
      <c r="C255" s="40"/>
      <c r="D255" s="40"/>
    </row>
    <row r="256" spans="3:4" s="51" customFormat="1" ht="14.25">
      <c r="C256" s="40"/>
      <c r="D256" s="40"/>
    </row>
    <row r="257" spans="3:4" s="51" customFormat="1" ht="14.25">
      <c r="C257" s="40"/>
      <c r="D257" s="40"/>
    </row>
    <row r="258" spans="3:4" s="51" customFormat="1" ht="14.25">
      <c r="C258" s="40"/>
      <c r="D258" s="40"/>
    </row>
    <row r="259" spans="3:4" s="51" customFormat="1" ht="14.25">
      <c r="C259" s="40"/>
      <c r="D259" s="40"/>
    </row>
    <row r="260" spans="3:4" s="51" customFormat="1" ht="14.25">
      <c r="C260" s="40"/>
      <c r="D260" s="40"/>
    </row>
    <row r="261" spans="3:4" s="51" customFormat="1" ht="14.25">
      <c r="C261" s="40"/>
      <c r="D261" s="40"/>
    </row>
    <row r="262" spans="3:4" s="51" customFormat="1" ht="14.25">
      <c r="C262" s="40"/>
      <c r="D262" s="40"/>
    </row>
    <row r="263" spans="3:4" s="51" customFormat="1" ht="14.25">
      <c r="C263" s="40"/>
      <c r="D263" s="40"/>
    </row>
    <row r="264" spans="3:4" s="51" customFormat="1" ht="14.25">
      <c r="C264" s="40"/>
      <c r="D264" s="40"/>
    </row>
    <row r="265" spans="3:4" s="51" customFormat="1" ht="14.25">
      <c r="C265" s="40"/>
      <c r="D265" s="40"/>
    </row>
    <row r="266" spans="3:4" s="51" customFormat="1" ht="14.25">
      <c r="C266" s="40"/>
      <c r="D266" s="40"/>
    </row>
    <row r="267" spans="3:4" s="51" customFormat="1" ht="14.25">
      <c r="C267" s="40"/>
      <c r="D267" s="40"/>
    </row>
    <row r="268" spans="3:4" s="51" customFormat="1" ht="14.25">
      <c r="C268" s="40"/>
      <c r="D268" s="40"/>
    </row>
    <row r="269" spans="3:4" s="51" customFormat="1" ht="14.25">
      <c r="C269" s="40"/>
      <c r="D269" s="40"/>
    </row>
    <row r="270" spans="3:4" s="51" customFormat="1" ht="14.25">
      <c r="C270" s="40"/>
      <c r="D270" s="40"/>
    </row>
    <row r="271" spans="3:4" s="51" customFormat="1" ht="14.25">
      <c r="C271" s="40"/>
      <c r="D271" s="40"/>
    </row>
    <row r="272" spans="3:4" s="51" customFormat="1" ht="14.25">
      <c r="C272" s="40"/>
      <c r="D272" s="40"/>
    </row>
    <row r="273" spans="3:4" s="51" customFormat="1" ht="14.25">
      <c r="C273" s="40"/>
      <c r="D273" s="40"/>
    </row>
    <row r="274" spans="3:4" s="51" customFormat="1" ht="14.25">
      <c r="C274" s="40"/>
      <c r="D274" s="40"/>
    </row>
    <row r="275" spans="3:4" s="51" customFormat="1" ht="14.25">
      <c r="C275" s="40"/>
      <c r="D275" s="40"/>
    </row>
    <row r="276" spans="3:4" s="51" customFormat="1" ht="14.25">
      <c r="C276" s="40"/>
      <c r="D276" s="40"/>
    </row>
    <row r="277" spans="3:4" s="51" customFormat="1" ht="14.25">
      <c r="C277" s="40"/>
      <c r="D277" s="40"/>
    </row>
    <row r="278" spans="3:4" s="51" customFormat="1" ht="14.25">
      <c r="C278" s="40"/>
      <c r="D278" s="40"/>
    </row>
    <row r="279" spans="3:4" s="51" customFormat="1" ht="14.25">
      <c r="C279" s="40"/>
      <c r="D279" s="40"/>
    </row>
    <row r="280" spans="3:4" s="51" customFormat="1" ht="14.25">
      <c r="C280" s="40"/>
      <c r="D280" s="40"/>
    </row>
    <row r="281" spans="3:4" s="51" customFormat="1" ht="14.25">
      <c r="C281" s="40"/>
      <c r="D281" s="40"/>
    </row>
    <row r="282" spans="3:4" s="51" customFormat="1" ht="14.25">
      <c r="C282" s="40"/>
      <c r="D282" s="40"/>
    </row>
    <row r="283" spans="3:4" s="51" customFormat="1" ht="14.25">
      <c r="C283" s="40"/>
      <c r="D283" s="40"/>
    </row>
    <row r="284" spans="3:4" s="51" customFormat="1" ht="14.25">
      <c r="C284" s="40"/>
      <c r="D284" s="40"/>
    </row>
    <row r="285" spans="3:4" s="51" customFormat="1" ht="14.25">
      <c r="C285" s="40"/>
      <c r="D285" s="40"/>
    </row>
    <row r="286" spans="3:4" s="51" customFormat="1" ht="14.25">
      <c r="C286" s="40"/>
      <c r="D286" s="40"/>
    </row>
    <row r="287" spans="3:4" s="51" customFormat="1" ht="14.25">
      <c r="C287" s="40"/>
      <c r="D287" s="40"/>
    </row>
    <row r="288" spans="3:4" s="51" customFormat="1" ht="14.25">
      <c r="C288" s="40"/>
      <c r="D288" s="40"/>
    </row>
    <row r="289" spans="3:4" s="51" customFormat="1" ht="14.25">
      <c r="C289" s="40"/>
      <c r="D289" s="40"/>
    </row>
    <row r="290" spans="3:4" s="51" customFormat="1" ht="14.25">
      <c r="C290" s="40"/>
      <c r="D290" s="40"/>
    </row>
    <row r="291" spans="3:4" s="51" customFormat="1" ht="14.25">
      <c r="C291" s="40"/>
      <c r="D291" s="40"/>
    </row>
    <row r="292" spans="3:4" s="51" customFormat="1" ht="14.25">
      <c r="C292" s="40"/>
      <c r="D292" s="40"/>
    </row>
    <row r="293" spans="3:4" s="51" customFormat="1" ht="14.25">
      <c r="C293" s="40"/>
      <c r="D293" s="40"/>
    </row>
    <row r="294" spans="3:4" s="51" customFormat="1" ht="14.25">
      <c r="C294" s="40"/>
      <c r="D294" s="40"/>
    </row>
    <row r="295" spans="3:4" s="51" customFormat="1" ht="14.25">
      <c r="C295" s="40"/>
      <c r="D295" s="40"/>
    </row>
    <row r="296" spans="3:4" s="51" customFormat="1" ht="14.25">
      <c r="C296" s="40"/>
      <c r="D296" s="40"/>
    </row>
    <row r="297" spans="3:4" s="51" customFormat="1" ht="14.25">
      <c r="C297" s="40"/>
      <c r="D297" s="40"/>
    </row>
    <row r="298" spans="3:4" s="51" customFormat="1" ht="14.25">
      <c r="C298" s="40"/>
      <c r="D298" s="40"/>
    </row>
    <row r="299" spans="3:4" s="51" customFormat="1" ht="14.25">
      <c r="C299" s="40"/>
      <c r="D299" s="40"/>
    </row>
    <row r="300" spans="3:4" s="51" customFormat="1" ht="14.25">
      <c r="C300" s="40"/>
      <c r="D300" s="40"/>
    </row>
    <row r="301" spans="3:4" s="51" customFormat="1" ht="14.25">
      <c r="C301" s="40"/>
      <c r="D301" s="40"/>
    </row>
    <row r="302" spans="3:4" s="51" customFormat="1" ht="14.25">
      <c r="C302" s="40"/>
      <c r="D302" s="40"/>
    </row>
    <row r="303" spans="3:4" s="51" customFormat="1" ht="14.25">
      <c r="C303" s="40"/>
      <c r="D303" s="40"/>
    </row>
    <row r="304" spans="3:4" s="51" customFormat="1" ht="14.25">
      <c r="C304" s="40"/>
      <c r="D304" s="40"/>
    </row>
    <row r="305" spans="3:4" s="51" customFormat="1" ht="14.25">
      <c r="C305" s="40"/>
      <c r="D305" s="40"/>
    </row>
    <row r="306" spans="3:4" s="51" customFormat="1" ht="14.25">
      <c r="C306" s="40"/>
      <c r="D306" s="40"/>
    </row>
    <row r="307" spans="3:4" s="51" customFormat="1" ht="14.25">
      <c r="C307" s="40"/>
      <c r="D307" s="40"/>
    </row>
    <row r="308" spans="3:4" s="51" customFormat="1" ht="14.25">
      <c r="C308" s="40"/>
      <c r="D308" s="40"/>
    </row>
    <row r="309" spans="3:4" s="51" customFormat="1" ht="14.25">
      <c r="C309" s="40"/>
      <c r="D309" s="40"/>
    </row>
    <row r="310" spans="3:4" s="51" customFormat="1" ht="14.25">
      <c r="C310" s="40"/>
      <c r="D310" s="40"/>
    </row>
    <row r="311" spans="3:4" s="51" customFormat="1" ht="14.25">
      <c r="C311" s="40"/>
      <c r="D311" s="40"/>
    </row>
    <row r="312" spans="3:4" s="51" customFormat="1" ht="14.25">
      <c r="C312" s="40"/>
      <c r="D312" s="40"/>
    </row>
    <row r="313" spans="3:4" s="51" customFormat="1" ht="14.25">
      <c r="C313" s="40"/>
      <c r="D313" s="40"/>
    </row>
    <row r="314" spans="3:4" s="51" customFormat="1" ht="14.25">
      <c r="C314" s="40"/>
      <c r="D314" s="40"/>
    </row>
    <row r="315" spans="3:4" s="51" customFormat="1" ht="14.25">
      <c r="C315" s="40"/>
      <c r="D315" s="40"/>
    </row>
    <row r="316" spans="3:4" s="51" customFormat="1" ht="14.25">
      <c r="C316" s="40"/>
      <c r="D316" s="40"/>
    </row>
    <row r="317" spans="3:4" s="51" customFormat="1" ht="14.25">
      <c r="C317" s="40"/>
      <c r="D317" s="40"/>
    </row>
    <row r="318" spans="3:4" s="51" customFormat="1" ht="14.25">
      <c r="C318" s="40"/>
      <c r="D318" s="40"/>
    </row>
    <row r="319" spans="3:4" s="51" customFormat="1" ht="14.25">
      <c r="C319" s="40"/>
      <c r="D319" s="40"/>
    </row>
    <row r="320" spans="3:4" s="51" customFormat="1" ht="14.25">
      <c r="C320" s="40"/>
      <c r="D320" s="40"/>
    </row>
    <row r="321" spans="3:4" s="51" customFormat="1" ht="14.25">
      <c r="C321" s="40"/>
      <c r="D321" s="40"/>
    </row>
    <row r="322" spans="3:4" s="51" customFormat="1" ht="14.25">
      <c r="C322" s="40"/>
      <c r="D322" s="40"/>
    </row>
    <row r="323" spans="3:4" s="51" customFormat="1" ht="14.25">
      <c r="C323" s="40"/>
      <c r="D323" s="40"/>
    </row>
    <row r="324" spans="3:4" s="51" customFormat="1" ht="14.25">
      <c r="C324" s="40"/>
      <c r="D324" s="40"/>
    </row>
    <row r="325" spans="3:4" s="51" customFormat="1" ht="14.25">
      <c r="C325" s="40"/>
      <c r="D325" s="40"/>
    </row>
    <row r="326" spans="3:4" s="51" customFormat="1" ht="14.25">
      <c r="C326" s="40"/>
      <c r="D326" s="40"/>
    </row>
    <row r="327" spans="3:4" s="51" customFormat="1" ht="14.25">
      <c r="C327" s="40"/>
      <c r="D327" s="40"/>
    </row>
    <row r="328" spans="3:4" s="51" customFormat="1" ht="14.25">
      <c r="C328" s="40"/>
      <c r="D328" s="40"/>
    </row>
    <row r="329" spans="3:4" s="51" customFormat="1" ht="14.25">
      <c r="C329" s="40"/>
      <c r="D329" s="40"/>
    </row>
    <row r="330" spans="3:4" s="51" customFormat="1" ht="14.25">
      <c r="C330" s="40"/>
      <c r="D330" s="40"/>
    </row>
    <row r="331" spans="3:4" s="51" customFormat="1" ht="14.25">
      <c r="C331" s="40"/>
      <c r="D331" s="40"/>
    </row>
    <row r="332" spans="3:4" s="51" customFormat="1" ht="14.25">
      <c r="C332" s="40"/>
      <c r="D332" s="40"/>
    </row>
    <row r="333" spans="3:4" s="51" customFormat="1" ht="14.25">
      <c r="C333" s="40"/>
      <c r="D333" s="40"/>
    </row>
    <row r="334" spans="3:4" s="51" customFormat="1" ht="14.25">
      <c r="C334" s="40"/>
      <c r="D334" s="40"/>
    </row>
    <row r="335" spans="3:4" s="51" customFormat="1" ht="14.25">
      <c r="C335" s="40"/>
      <c r="D335" s="40"/>
    </row>
    <row r="336" spans="3:4" s="51" customFormat="1" ht="14.25">
      <c r="C336" s="40"/>
      <c r="D336" s="40"/>
    </row>
    <row r="337" spans="3:4" s="51" customFormat="1" ht="14.25">
      <c r="C337" s="40"/>
      <c r="D337" s="40"/>
    </row>
    <row r="338" spans="3:4" s="51" customFormat="1" ht="14.25">
      <c r="C338" s="40"/>
      <c r="D338" s="40"/>
    </row>
    <row r="339" spans="3:4" s="51" customFormat="1" ht="14.25">
      <c r="C339" s="40"/>
      <c r="D339" s="40"/>
    </row>
    <row r="340" spans="3:4" s="51" customFormat="1" ht="14.25">
      <c r="C340" s="40"/>
      <c r="D340" s="40"/>
    </row>
    <row r="341" spans="3:4" s="51" customFormat="1" ht="14.25">
      <c r="C341" s="40"/>
      <c r="D341" s="40"/>
    </row>
    <row r="342" spans="3:4" s="51" customFormat="1" ht="14.25">
      <c r="C342" s="40"/>
      <c r="D342" s="40"/>
    </row>
    <row r="343" spans="3:4" s="51" customFormat="1" ht="14.25">
      <c r="C343" s="40"/>
      <c r="D343" s="40"/>
    </row>
    <row r="344" spans="3:4" s="51" customFormat="1" ht="14.25">
      <c r="C344" s="40"/>
      <c r="D344" s="40"/>
    </row>
    <row r="345" spans="3:4" s="51" customFormat="1" ht="14.25">
      <c r="C345" s="40"/>
      <c r="D345" s="40"/>
    </row>
    <row r="346" spans="3:4" s="51" customFormat="1" ht="14.25">
      <c r="C346" s="40"/>
      <c r="D346" s="40"/>
    </row>
    <row r="347" spans="3:4" s="51" customFormat="1" ht="14.25">
      <c r="C347" s="40"/>
      <c r="D347" s="40"/>
    </row>
    <row r="348" spans="3:4" s="51" customFormat="1" ht="14.25">
      <c r="C348" s="40"/>
      <c r="D348" s="40"/>
    </row>
    <row r="349" spans="3:4" s="51" customFormat="1" ht="14.25">
      <c r="C349" s="40"/>
      <c r="D349" s="40"/>
    </row>
    <row r="350" spans="3:4" s="51" customFormat="1" ht="14.25">
      <c r="C350" s="40"/>
      <c r="D350" s="40"/>
    </row>
    <row r="351" spans="3:4" s="51" customFormat="1" ht="14.25">
      <c r="C351" s="40"/>
      <c r="D351" s="40"/>
    </row>
    <row r="352" spans="3:4" s="51" customFormat="1" ht="14.25">
      <c r="C352" s="40"/>
      <c r="D352" s="40"/>
    </row>
    <row r="353" spans="3:4" s="51" customFormat="1" ht="14.25">
      <c r="C353" s="40"/>
      <c r="D353" s="40"/>
    </row>
    <row r="354" spans="3:4" s="51" customFormat="1" ht="14.25">
      <c r="C354" s="40"/>
      <c r="D354" s="40"/>
    </row>
    <row r="355" spans="3:4" s="51" customFormat="1" ht="14.25">
      <c r="C355" s="40"/>
      <c r="D355" s="40"/>
    </row>
    <row r="356" spans="3:4" s="51" customFormat="1" ht="14.25">
      <c r="C356" s="40"/>
      <c r="D356" s="40"/>
    </row>
    <row r="357" spans="3:4" s="51" customFormat="1" ht="14.25">
      <c r="C357" s="40"/>
      <c r="D357" s="40"/>
    </row>
    <row r="358" spans="3:4" s="51" customFormat="1" ht="14.25">
      <c r="C358" s="40"/>
      <c r="D358" s="40"/>
    </row>
    <row r="359" spans="3:4" s="51" customFormat="1" ht="14.25">
      <c r="C359" s="40"/>
      <c r="D359" s="40"/>
    </row>
    <row r="360" spans="3:4" s="51" customFormat="1" ht="14.25">
      <c r="C360" s="40"/>
      <c r="D360" s="40"/>
    </row>
    <row r="361" spans="3:4" s="51" customFormat="1" ht="14.25">
      <c r="C361" s="40"/>
      <c r="D361" s="40"/>
    </row>
    <row r="362" spans="3:4" s="51" customFormat="1" ht="14.25">
      <c r="C362" s="40"/>
      <c r="D362" s="40"/>
    </row>
    <row r="363" spans="3:4" s="51" customFormat="1" ht="14.25">
      <c r="C363" s="40"/>
      <c r="D363" s="40"/>
    </row>
    <row r="364" spans="3:4" s="51" customFormat="1" ht="14.25">
      <c r="C364" s="40"/>
      <c r="D364" s="40"/>
    </row>
    <row r="365" spans="3:4" s="51" customFormat="1" ht="14.25">
      <c r="C365" s="40"/>
      <c r="D365" s="40"/>
    </row>
    <row r="366" spans="3:4" s="51" customFormat="1" ht="14.25">
      <c r="C366" s="40"/>
      <c r="D366" s="40"/>
    </row>
    <row r="367" spans="3:4" s="51" customFormat="1" ht="14.25">
      <c r="C367" s="40"/>
      <c r="D367" s="40"/>
    </row>
    <row r="368" spans="3:4" s="51" customFormat="1" ht="14.25">
      <c r="C368" s="40"/>
      <c r="D368" s="40"/>
    </row>
    <row r="369" spans="3:4" s="51" customFormat="1" ht="14.25">
      <c r="C369" s="40"/>
      <c r="D369" s="40"/>
    </row>
    <row r="370" spans="3:4" s="51" customFormat="1" ht="14.25">
      <c r="C370" s="40"/>
      <c r="D370" s="40"/>
    </row>
    <row r="371" spans="3:4" s="51" customFormat="1" ht="14.25">
      <c r="C371" s="40"/>
      <c r="D371" s="40"/>
    </row>
    <row r="372" spans="3:4" s="51" customFormat="1" ht="14.25">
      <c r="C372" s="40"/>
      <c r="D372" s="40"/>
    </row>
    <row r="373" spans="3:4" s="51" customFormat="1" ht="14.25">
      <c r="C373" s="40"/>
      <c r="D373" s="40"/>
    </row>
    <row r="374" spans="3:4" s="51" customFormat="1" ht="14.25">
      <c r="C374" s="40"/>
      <c r="D374" s="40"/>
    </row>
    <row r="375" spans="3:4" s="51" customFormat="1" ht="14.25">
      <c r="C375" s="40"/>
      <c r="D375" s="40"/>
    </row>
    <row r="376" spans="3:4" s="51" customFormat="1" ht="14.25">
      <c r="C376" s="40"/>
      <c r="D376" s="40"/>
    </row>
    <row r="377" spans="3:4" s="51" customFormat="1" ht="14.25">
      <c r="C377" s="40"/>
      <c r="D377" s="40"/>
    </row>
    <row r="378" spans="3:4" s="51" customFormat="1" ht="14.25">
      <c r="C378" s="40"/>
      <c r="D378" s="40"/>
    </row>
    <row r="379" spans="3:4" s="51" customFormat="1" ht="14.25">
      <c r="C379" s="40"/>
      <c r="D379" s="40"/>
    </row>
    <row r="380" spans="3:4" s="51" customFormat="1" ht="14.25">
      <c r="C380" s="40"/>
      <c r="D380" s="40"/>
    </row>
    <row r="381" spans="3:4" s="51" customFormat="1" ht="14.25">
      <c r="C381" s="40"/>
      <c r="D381" s="40"/>
    </row>
    <row r="382" spans="3:4" s="51" customFormat="1" ht="14.25">
      <c r="C382" s="40"/>
      <c r="D382" s="40"/>
    </row>
    <row r="383" spans="3:4" s="51" customFormat="1" ht="14.25">
      <c r="C383" s="40"/>
      <c r="D383" s="40"/>
    </row>
    <row r="384" spans="3:4" s="51" customFormat="1" ht="14.25">
      <c r="C384" s="40"/>
      <c r="D384" s="40"/>
    </row>
    <row r="385" spans="3:4" s="51" customFormat="1" ht="14.25">
      <c r="C385" s="40"/>
      <c r="D385" s="40"/>
    </row>
    <row r="386" spans="3:4" s="51" customFormat="1" ht="14.25">
      <c r="C386" s="40"/>
      <c r="D386" s="40"/>
    </row>
    <row r="387" spans="3:4" s="51" customFormat="1" ht="14.25">
      <c r="C387" s="40"/>
      <c r="D387" s="40"/>
    </row>
    <row r="388" spans="3:4" s="51" customFormat="1" ht="14.25">
      <c r="C388" s="40"/>
      <c r="D388" s="40"/>
    </row>
    <row r="389" spans="3:4" s="51" customFormat="1" ht="14.25">
      <c r="C389" s="40"/>
      <c r="D389" s="40"/>
    </row>
    <row r="390" spans="3:4" s="51" customFormat="1" ht="14.25">
      <c r="C390" s="40"/>
      <c r="D390" s="40"/>
    </row>
    <row r="391" spans="3:4" s="51" customFormat="1" ht="14.25">
      <c r="C391" s="40"/>
      <c r="D391" s="40"/>
    </row>
    <row r="392" spans="3:4" s="51" customFormat="1" ht="14.25">
      <c r="C392" s="40"/>
      <c r="D392" s="40"/>
    </row>
    <row r="393" spans="3:4" s="51" customFormat="1" ht="14.25">
      <c r="C393" s="40"/>
      <c r="D393" s="40"/>
    </row>
    <row r="394" spans="3:4" s="51" customFormat="1" ht="14.25">
      <c r="C394" s="40"/>
      <c r="D394" s="40"/>
    </row>
    <row r="395" spans="3:4" s="51" customFormat="1" ht="14.25">
      <c r="C395" s="40"/>
      <c r="D395" s="40"/>
    </row>
    <row r="396" spans="3:4" s="51" customFormat="1" ht="14.25">
      <c r="C396" s="40"/>
      <c r="D396" s="40"/>
    </row>
    <row r="397" spans="3:4" s="51" customFormat="1" ht="14.25">
      <c r="C397" s="40"/>
      <c r="D397" s="40"/>
    </row>
    <row r="398" spans="3:4" s="51" customFormat="1" ht="14.25">
      <c r="C398" s="40"/>
      <c r="D398" s="40"/>
    </row>
    <row r="399" spans="3:4" s="51" customFormat="1" ht="14.25">
      <c r="C399" s="40"/>
      <c r="D399" s="40"/>
    </row>
    <row r="400" spans="3:4" s="51" customFormat="1" ht="14.25">
      <c r="C400" s="40"/>
      <c r="D400" s="40"/>
    </row>
    <row r="401" spans="3:4" s="51" customFormat="1" ht="14.25">
      <c r="C401" s="40"/>
      <c r="D401" s="40"/>
    </row>
    <row r="402" spans="3:4" s="51" customFormat="1" ht="14.25">
      <c r="C402" s="40"/>
      <c r="D402" s="40"/>
    </row>
    <row r="403" spans="3:4" s="51" customFormat="1" ht="14.25">
      <c r="C403" s="40"/>
      <c r="D403" s="40"/>
    </row>
    <row r="404" spans="3:4" s="51" customFormat="1" ht="14.25">
      <c r="C404" s="40"/>
      <c r="D404" s="40"/>
    </row>
    <row r="405" spans="3:4" s="51" customFormat="1" ht="14.25">
      <c r="C405" s="40"/>
      <c r="D405" s="40"/>
    </row>
    <row r="406" spans="3:4" s="51" customFormat="1" ht="14.25">
      <c r="C406" s="40"/>
      <c r="D406" s="40"/>
    </row>
    <row r="407" spans="3:4" s="51" customFormat="1" ht="14.25">
      <c r="C407" s="40"/>
      <c r="D407" s="40"/>
    </row>
    <row r="408" spans="3:4" s="51" customFormat="1" ht="14.25">
      <c r="C408" s="40"/>
      <c r="D408" s="40"/>
    </row>
    <row r="409" spans="3:4" s="51" customFormat="1" ht="14.25">
      <c r="C409" s="40"/>
      <c r="D409" s="40"/>
    </row>
    <row r="410" spans="3:4" s="51" customFormat="1" ht="14.25">
      <c r="C410" s="40"/>
      <c r="D410" s="40"/>
    </row>
    <row r="411" spans="3:4" s="51" customFormat="1" ht="14.25">
      <c r="C411" s="40"/>
      <c r="D411" s="40"/>
    </row>
    <row r="412" spans="3:4" s="51" customFormat="1" ht="14.25">
      <c r="C412" s="40"/>
      <c r="D412" s="40"/>
    </row>
    <row r="413" spans="3:4" s="51" customFormat="1" ht="14.25">
      <c r="C413" s="40"/>
      <c r="D413" s="40"/>
    </row>
    <row r="414" spans="3:4" s="51" customFormat="1" ht="14.25">
      <c r="C414" s="40"/>
      <c r="D414" s="40"/>
    </row>
    <row r="415" spans="3:4" s="51" customFormat="1" ht="14.25">
      <c r="C415" s="40"/>
      <c r="D415" s="40"/>
    </row>
    <row r="416" spans="3:4" s="51" customFormat="1" ht="14.25">
      <c r="C416" s="40"/>
      <c r="D416" s="40"/>
    </row>
    <row r="417" spans="3:4" s="51" customFormat="1" ht="14.25">
      <c r="C417" s="40"/>
      <c r="D417" s="40"/>
    </row>
    <row r="418" spans="3:4" s="51" customFormat="1" ht="14.25">
      <c r="C418" s="40"/>
      <c r="D418" s="40"/>
    </row>
    <row r="419" spans="3:4" s="51" customFormat="1" ht="14.25">
      <c r="C419" s="40"/>
      <c r="D419" s="40"/>
    </row>
    <row r="420" spans="3:4" s="51" customFormat="1" ht="14.25">
      <c r="C420" s="40"/>
      <c r="D420" s="40"/>
    </row>
    <row r="421" spans="3:4" s="51" customFormat="1" ht="14.25">
      <c r="C421" s="40"/>
      <c r="D421" s="40"/>
    </row>
    <row r="422" spans="3:4" s="51" customFormat="1" ht="14.25">
      <c r="C422" s="40"/>
      <c r="D422" s="40"/>
    </row>
    <row r="423" spans="3:4" s="51" customFormat="1" ht="14.25">
      <c r="C423" s="40"/>
      <c r="D423" s="40"/>
    </row>
    <row r="424" spans="3:4" s="51" customFormat="1" ht="14.25">
      <c r="C424" s="40"/>
      <c r="D424" s="40"/>
    </row>
    <row r="425" spans="3:4" s="51" customFormat="1" ht="14.25">
      <c r="C425" s="40"/>
      <c r="D425" s="40"/>
    </row>
    <row r="426" spans="3:4" s="51" customFormat="1" ht="14.25">
      <c r="C426" s="40"/>
      <c r="D426" s="40"/>
    </row>
    <row r="427" spans="3:4" s="51" customFormat="1" ht="14.25">
      <c r="C427" s="40"/>
      <c r="D427" s="40"/>
    </row>
    <row r="428" spans="3:4" s="51" customFormat="1" ht="14.25">
      <c r="C428" s="40"/>
      <c r="D428" s="40"/>
    </row>
    <row r="429" spans="3:4" s="51" customFormat="1" ht="14.25">
      <c r="C429" s="40"/>
      <c r="D429" s="40"/>
    </row>
    <row r="430" spans="3:4" s="51" customFormat="1" ht="14.25">
      <c r="C430" s="40"/>
      <c r="D430" s="40"/>
    </row>
    <row r="431" spans="3:4" s="51" customFormat="1" ht="14.25">
      <c r="C431" s="40"/>
      <c r="D431" s="40"/>
    </row>
    <row r="432" spans="3:4" s="51" customFormat="1" ht="14.25">
      <c r="C432" s="40"/>
      <c r="D432" s="40"/>
    </row>
    <row r="433" spans="3:4" s="51" customFormat="1" ht="14.25">
      <c r="C433" s="40"/>
      <c r="D433" s="40"/>
    </row>
    <row r="434" spans="3:4" s="51" customFormat="1" ht="14.25">
      <c r="C434" s="40"/>
      <c r="D434" s="40"/>
    </row>
    <row r="435" spans="3:4" s="51" customFormat="1" ht="14.25">
      <c r="C435" s="40"/>
      <c r="D435" s="40"/>
    </row>
    <row r="436" spans="3:4" s="51" customFormat="1" ht="14.25">
      <c r="C436" s="40"/>
      <c r="D436" s="40"/>
    </row>
    <row r="437" spans="3:4" s="51" customFormat="1" ht="14.25">
      <c r="C437" s="40"/>
      <c r="D437" s="40"/>
    </row>
    <row r="438" spans="3:4" s="51" customFormat="1" ht="14.25">
      <c r="C438" s="40"/>
      <c r="D438" s="40"/>
    </row>
    <row r="439" spans="3:4" s="51" customFormat="1" ht="14.25">
      <c r="C439" s="40"/>
      <c r="D439" s="40"/>
    </row>
    <row r="440" spans="3:4" s="51" customFormat="1" ht="14.25">
      <c r="C440" s="40"/>
      <c r="D440" s="40"/>
    </row>
    <row r="441" spans="3:4" s="51" customFormat="1" ht="14.25">
      <c r="C441" s="40"/>
      <c r="D441" s="40"/>
    </row>
    <row r="442" spans="3:4" s="51" customFormat="1" ht="14.25">
      <c r="C442" s="40"/>
      <c r="D442" s="40"/>
    </row>
    <row r="443" spans="3:4" s="51" customFormat="1" ht="14.25">
      <c r="C443" s="40"/>
      <c r="D443" s="40"/>
    </row>
    <row r="444" spans="3:4" s="51" customFormat="1" ht="14.25">
      <c r="C444" s="40"/>
      <c r="D444" s="40"/>
    </row>
    <row r="445" spans="3:4" s="51" customFormat="1" ht="14.25">
      <c r="C445" s="40"/>
      <c r="D445" s="40"/>
    </row>
    <row r="446" spans="3:4" s="51" customFormat="1" ht="14.25">
      <c r="C446" s="40"/>
      <c r="D446" s="40"/>
    </row>
    <row r="447" spans="3:4" s="51" customFormat="1" ht="14.25">
      <c r="C447" s="40"/>
      <c r="D447" s="40"/>
    </row>
    <row r="448" spans="3:4" s="51" customFormat="1" ht="14.25">
      <c r="C448" s="40"/>
      <c r="D448" s="40"/>
    </row>
    <row r="449" spans="3:4" s="51" customFormat="1" ht="14.25">
      <c r="C449" s="40"/>
      <c r="D449" s="40"/>
    </row>
    <row r="450" spans="3:4" s="51" customFormat="1" ht="14.25">
      <c r="C450" s="40"/>
      <c r="D450" s="40"/>
    </row>
    <row r="451" spans="3:4" s="51" customFormat="1" ht="14.25">
      <c r="C451" s="40"/>
      <c r="D451" s="40"/>
    </row>
    <row r="452" spans="3:4" s="51" customFormat="1" ht="14.25">
      <c r="C452" s="40"/>
      <c r="D452" s="40"/>
    </row>
    <row r="453" spans="3:4" s="51" customFormat="1" ht="14.25">
      <c r="C453" s="40"/>
      <c r="D453" s="40"/>
    </row>
    <row r="454" spans="3:4" s="51" customFormat="1" ht="14.25">
      <c r="C454" s="40"/>
      <c r="D454" s="40"/>
    </row>
    <row r="455" spans="3:4" s="51" customFormat="1" ht="14.25">
      <c r="C455" s="40"/>
      <c r="D455" s="40"/>
    </row>
    <row r="456" spans="3:4" s="51" customFormat="1" ht="14.25">
      <c r="C456" s="40"/>
      <c r="D456" s="40"/>
    </row>
    <row r="457" spans="3:4" s="51" customFormat="1" ht="14.25">
      <c r="C457" s="40"/>
      <c r="D457" s="40"/>
    </row>
    <row r="458" spans="3:4" s="51" customFormat="1" ht="14.25">
      <c r="C458" s="40"/>
      <c r="D458" s="40"/>
    </row>
    <row r="459" spans="3:4" s="51" customFormat="1" ht="14.25">
      <c r="C459" s="40"/>
      <c r="D459" s="40"/>
    </row>
    <row r="460" spans="3:4" s="51" customFormat="1" ht="14.25">
      <c r="C460" s="40"/>
      <c r="D460" s="40"/>
    </row>
    <row r="461" spans="3:4" s="51" customFormat="1" ht="14.25">
      <c r="C461" s="40"/>
      <c r="D461" s="40"/>
    </row>
    <row r="462" spans="3:4" s="51" customFormat="1" ht="14.25">
      <c r="C462" s="40"/>
      <c r="D462" s="40"/>
    </row>
    <row r="463" spans="3:4" s="51" customFormat="1" ht="14.25">
      <c r="C463" s="40"/>
      <c r="D463" s="40"/>
    </row>
    <row r="464" spans="3:4" s="51" customFormat="1" ht="14.25">
      <c r="C464" s="40"/>
      <c r="D464" s="40"/>
    </row>
    <row r="465" spans="3:4" s="51" customFormat="1" ht="14.25">
      <c r="C465" s="40"/>
      <c r="D465" s="40"/>
    </row>
    <row r="466" spans="3:4" s="51" customFormat="1" ht="14.25">
      <c r="C466" s="40"/>
      <c r="D466" s="40"/>
    </row>
    <row r="467" spans="3:4" s="51" customFormat="1" ht="14.25">
      <c r="C467" s="40"/>
      <c r="D467" s="40"/>
    </row>
    <row r="468" spans="3:4" s="51" customFormat="1" ht="14.25">
      <c r="C468" s="40"/>
      <c r="D468" s="40"/>
    </row>
    <row r="469" spans="3:4" s="51" customFormat="1" ht="14.25">
      <c r="C469" s="40"/>
      <c r="D469" s="40"/>
    </row>
    <row r="470" spans="3:4" s="51" customFormat="1" ht="14.25">
      <c r="C470" s="40"/>
      <c r="D470" s="40"/>
    </row>
    <row r="471" spans="3:4" s="51" customFormat="1" ht="14.25">
      <c r="C471" s="40"/>
      <c r="D471" s="40"/>
    </row>
    <row r="472" spans="3:4" s="51" customFormat="1" ht="14.25">
      <c r="C472" s="40"/>
      <c r="D472" s="40"/>
    </row>
    <row r="473" spans="3:4" s="51" customFormat="1" ht="14.25">
      <c r="C473" s="40"/>
      <c r="D473" s="40"/>
    </row>
    <row r="474" spans="3:4" s="51" customFormat="1" ht="14.25">
      <c r="C474" s="40"/>
      <c r="D474" s="40"/>
    </row>
    <row r="475" spans="3:4" s="51" customFormat="1" ht="14.25">
      <c r="C475" s="40"/>
      <c r="D475" s="40"/>
    </row>
    <row r="476" spans="3:4" s="51" customFormat="1" ht="14.25">
      <c r="C476" s="40"/>
      <c r="D476" s="40"/>
    </row>
    <row r="477" spans="3:4" s="51" customFormat="1" ht="14.25">
      <c r="C477" s="40"/>
      <c r="D477" s="40"/>
    </row>
    <row r="478" spans="3:4" s="51" customFormat="1" ht="14.25">
      <c r="C478" s="40"/>
      <c r="D478" s="40"/>
    </row>
    <row r="479" spans="3:4" s="51" customFormat="1" ht="14.25">
      <c r="C479" s="40"/>
      <c r="D479" s="40"/>
    </row>
    <row r="480" spans="3:4" s="51" customFormat="1" ht="14.25">
      <c r="C480" s="40"/>
      <c r="D480" s="40"/>
    </row>
    <row r="481" spans="3:4" s="51" customFormat="1" ht="14.25">
      <c r="C481" s="40"/>
      <c r="D481" s="40"/>
    </row>
    <row r="482" spans="3:4" s="51" customFormat="1" ht="14.25">
      <c r="C482" s="40"/>
      <c r="D482" s="40"/>
    </row>
    <row r="483" spans="3:4" s="51" customFormat="1" ht="14.25">
      <c r="C483" s="40"/>
      <c r="D483" s="40"/>
    </row>
    <row r="484" spans="3:4" s="51" customFormat="1" ht="14.25">
      <c r="C484" s="40"/>
      <c r="D484" s="40"/>
    </row>
    <row r="485" spans="3:4" s="51" customFormat="1" ht="14.25">
      <c r="C485" s="40"/>
      <c r="D485" s="40"/>
    </row>
    <row r="486" spans="3:4" s="51" customFormat="1" ht="14.25">
      <c r="C486" s="40"/>
      <c r="D486" s="40"/>
    </row>
    <row r="487" spans="3:4" s="51" customFormat="1" ht="14.25">
      <c r="C487" s="40"/>
      <c r="D487" s="40"/>
    </row>
    <row r="488" spans="3:4" s="51" customFormat="1" ht="14.25">
      <c r="C488" s="40"/>
      <c r="D488" s="40"/>
    </row>
    <row r="489" spans="3:4" s="51" customFormat="1" ht="14.25">
      <c r="C489" s="40"/>
      <c r="D489" s="40"/>
    </row>
    <row r="490" spans="3:4" s="51" customFormat="1" ht="14.25">
      <c r="C490" s="40"/>
      <c r="D490" s="40"/>
    </row>
    <row r="491" spans="3:4" s="51" customFormat="1" ht="14.25">
      <c r="C491" s="40"/>
      <c r="D491" s="40"/>
    </row>
    <row r="492" spans="3:4" s="51" customFormat="1" ht="14.25">
      <c r="C492" s="40"/>
      <c r="D492" s="40"/>
    </row>
    <row r="493" spans="3:4" s="51" customFormat="1" ht="14.25">
      <c r="C493" s="40"/>
      <c r="D493" s="40"/>
    </row>
    <row r="494" spans="3:4" s="51" customFormat="1" ht="14.25">
      <c r="C494" s="40"/>
      <c r="D494" s="40"/>
    </row>
    <row r="495" spans="3:4" s="51" customFormat="1" ht="14.25">
      <c r="C495" s="40"/>
      <c r="D495" s="40"/>
    </row>
    <row r="496" spans="3:4" s="51" customFormat="1" ht="14.25">
      <c r="C496" s="40"/>
      <c r="D496" s="40"/>
    </row>
    <row r="497" spans="3:4" s="51" customFormat="1" ht="14.25">
      <c r="C497" s="40"/>
      <c r="D497" s="40"/>
    </row>
    <row r="498" spans="3:4" s="51" customFormat="1" ht="14.25">
      <c r="C498" s="40"/>
      <c r="D498" s="40"/>
    </row>
    <row r="499" spans="3:4" s="51" customFormat="1" ht="14.25">
      <c r="C499" s="40"/>
      <c r="D499" s="40"/>
    </row>
    <row r="500" spans="3:4" s="51" customFormat="1" ht="14.25">
      <c r="C500" s="40"/>
      <c r="D500" s="40"/>
    </row>
    <row r="501" spans="3:4" s="51" customFormat="1" ht="14.25">
      <c r="C501" s="40"/>
      <c r="D501" s="40"/>
    </row>
    <row r="502" spans="3:4" s="51" customFormat="1" ht="14.25">
      <c r="C502" s="40"/>
      <c r="D502" s="40"/>
    </row>
    <row r="503" spans="3:4" s="51" customFormat="1" ht="14.25">
      <c r="C503" s="40"/>
      <c r="D503" s="40"/>
    </row>
    <row r="504" spans="3:4" s="51" customFormat="1" ht="14.25">
      <c r="C504" s="40"/>
      <c r="D504" s="40"/>
    </row>
    <row r="505" spans="3:4" s="51" customFormat="1" ht="14.25">
      <c r="C505" s="40"/>
      <c r="D505" s="40"/>
    </row>
    <row r="506" spans="3:4" s="51" customFormat="1" ht="14.25">
      <c r="C506" s="40"/>
      <c r="D506" s="40"/>
    </row>
    <row r="507" spans="3:4" s="51" customFormat="1" ht="14.25">
      <c r="C507" s="40"/>
      <c r="D507" s="40"/>
    </row>
    <row r="508" spans="3:4" s="51" customFormat="1" ht="14.25">
      <c r="C508" s="40"/>
      <c r="D508" s="40"/>
    </row>
    <row r="509" spans="3:4" s="51" customFormat="1" ht="14.25">
      <c r="C509" s="40"/>
      <c r="D509" s="40"/>
    </row>
    <row r="510" spans="3:4" s="51" customFormat="1" ht="14.25">
      <c r="C510" s="40"/>
      <c r="D510" s="40"/>
    </row>
    <row r="511" spans="3:4" s="51" customFormat="1" ht="14.25">
      <c r="C511" s="40"/>
      <c r="D511" s="40"/>
    </row>
    <row r="512" spans="3:4" s="51" customFormat="1" ht="14.25">
      <c r="C512" s="40"/>
      <c r="D512" s="40"/>
    </row>
    <row r="513" spans="3:4" s="51" customFormat="1" ht="14.25">
      <c r="C513" s="40"/>
      <c r="D513" s="40"/>
    </row>
    <row r="514" spans="3:4" s="51" customFormat="1" ht="14.25">
      <c r="C514" s="40"/>
      <c r="D514" s="40"/>
    </row>
    <row r="515" spans="3:4" s="51" customFormat="1" ht="14.25">
      <c r="C515" s="40"/>
      <c r="D515" s="40"/>
    </row>
    <row r="516" spans="3:4" s="51" customFormat="1" ht="14.25">
      <c r="C516" s="40"/>
      <c r="D516" s="40"/>
    </row>
    <row r="517" spans="3:4" s="51" customFormat="1" ht="14.25">
      <c r="C517" s="40"/>
      <c r="D517" s="40"/>
    </row>
    <row r="518" spans="3:4" s="51" customFormat="1" ht="14.25">
      <c r="C518" s="40"/>
      <c r="D518" s="40"/>
    </row>
    <row r="519" spans="3:4" s="51" customFormat="1" ht="14.25">
      <c r="C519" s="40"/>
      <c r="D519" s="40"/>
    </row>
    <row r="520" spans="3:4" s="51" customFormat="1" ht="14.25">
      <c r="C520" s="40"/>
      <c r="D520" s="40"/>
    </row>
    <row r="521" spans="3:4" s="51" customFormat="1" ht="14.25">
      <c r="C521" s="40"/>
      <c r="D521" s="40"/>
    </row>
    <row r="522" spans="3:4" s="51" customFormat="1" ht="14.25">
      <c r="C522" s="40"/>
      <c r="D522" s="40"/>
    </row>
    <row r="523" spans="3:4" s="51" customFormat="1" ht="14.25">
      <c r="C523" s="40"/>
      <c r="D523" s="40"/>
    </row>
    <row r="524" spans="3:4" s="51" customFormat="1" ht="14.25">
      <c r="C524" s="40"/>
      <c r="D524" s="40"/>
    </row>
    <row r="525" spans="3:4" s="51" customFormat="1" ht="14.25">
      <c r="C525" s="40"/>
      <c r="D525" s="40"/>
    </row>
    <row r="526" spans="3:4" s="51" customFormat="1" ht="14.25">
      <c r="C526" s="40"/>
      <c r="D526" s="40"/>
    </row>
    <row r="527" spans="3:4" s="51" customFormat="1" ht="14.25">
      <c r="C527" s="40"/>
      <c r="D527" s="40"/>
    </row>
    <row r="528" spans="3:4" s="51" customFormat="1" ht="14.25">
      <c r="C528" s="40"/>
      <c r="D528" s="40"/>
    </row>
    <row r="529" spans="3:4" s="51" customFormat="1" ht="14.25">
      <c r="C529" s="40"/>
      <c r="D529" s="40"/>
    </row>
    <row r="530" spans="3:4" s="51" customFormat="1" ht="14.25">
      <c r="C530" s="40"/>
      <c r="D530" s="40"/>
    </row>
    <row r="531" spans="3:4" s="51" customFormat="1" ht="14.25">
      <c r="C531" s="40"/>
      <c r="D531" s="40"/>
    </row>
    <row r="532" spans="3:4" s="51" customFormat="1" ht="14.25">
      <c r="C532" s="40"/>
      <c r="D532" s="40"/>
    </row>
    <row r="533" spans="3:4" s="51" customFormat="1" ht="14.25">
      <c r="C533" s="40"/>
      <c r="D533" s="40"/>
    </row>
    <row r="534" spans="3:4" s="51" customFormat="1" ht="14.25">
      <c r="C534" s="40"/>
      <c r="D534" s="40"/>
    </row>
    <row r="535" spans="3:4" s="51" customFormat="1" ht="14.25">
      <c r="C535" s="40"/>
      <c r="D535" s="40"/>
    </row>
    <row r="536" spans="3:4" s="51" customFormat="1" ht="14.25">
      <c r="C536" s="40"/>
      <c r="D536" s="40"/>
    </row>
    <row r="537" spans="3:4" s="51" customFormat="1" ht="14.25">
      <c r="C537" s="40"/>
      <c r="D537" s="40"/>
    </row>
    <row r="538" spans="3:4" s="51" customFormat="1" ht="14.25">
      <c r="C538" s="40"/>
      <c r="D538" s="40"/>
    </row>
    <row r="539" spans="3:4" s="51" customFormat="1" ht="14.25">
      <c r="C539" s="40"/>
      <c r="D539" s="40"/>
    </row>
    <row r="540" spans="3:4" s="51" customFormat="1" ht="14.25">
      <c r="C540" s="40"/>
      <c r="D540" s="40"/>
    </row>
    <row r="541" spans="3:4" s="51" customFormat="1" ht="14.25">
      <c r="C541" s="40"/>
      <c r="D541" s="40"/>
    </row>
    <row r="542" spans="3:4" s="51" customFormat="1" ht="14.25">
      <c r="C542" s="40"/>
      <c r="D542" s="40"/>
    </row>
    <row r="543" spans="3:4" s="51" customFormat="1" ht="14.25">
      <c r="C543" s="40"/>
      <c r="D543" s="40"/>
    </row>
    <row r="544" spans="3:4" s="51" customFormat="1" ht="14.25">
      <c r="C544" s="40"/>
      <c r="D544" s="40"/>
    </row>
    <row r="545" spans="3:4" s="51" customFormat="1" ht="14.25">
      <c r="C545" s="40"/>
      <c r="D545" s="40"/>
    </row>
    <row r="546" spans="3:4" s="51" customFormat="1" ht="14.25">
      <c r="C546" s="40"/>
      <c r="D546" s="40"/>
    </row>
    <row r="547" spans="3:4" s="51" customFormat="1" ht="14.25">
      <c r="C547" s="40"/>
      <c r="D547" s="40"/>
    </row>
    <row r="548" spans="3:4" s="51" customFormat="1" ht="14.25">
      <c r="C548" s="40"/>
      <c r="D548" s="40"/>
    </row>
    <row r="549" spans="3:4" s="51" customFormat="1" ht="14.25">
      <c r="C549" s="40"/>
      <c r="D549" s="40"/>
    </row>
    <row r="550" spans="3:4" s="51" customFormat="1" ht="14.25">
      <c r="C550" s="40"/>
      <c r="D550" s="40"/>
    </row>
    <row r="551" spans="3:4" s="51" customFormat="1" ht="14.25">
      <c r="C551" s="40"/>
      <c r="D551" s="40"/>
    </row>
    <row r="552" spans="3:4" s="51" customFormat="1" ht="14.25">
      <c r="C552" s="40"/>
      <c r="D552" s="40"/>
    </row>
    <row r="553" spans="3:4" s="51" customFormat="1" ht="14.25">
      <c r="C553" s="40"/>
      <c r="D553" s="40"/>
    </row>
    <row r="554" spans="3:4" s="51" customFormat="1" ht="14.25">
      <c r="C554" s="40"/>
      <c r="D554" s="40"/>
    </row>
    <row r="555" spans="3:4" s="51" customFormat="1" ht="14.25">
      <c r="C555" s="40"/>
      <c r="D555" s="40"/>
    </row>
    <row r="556" spans="3:4" s="51" customFormat="1" ht="14.25">
      <c r="C556" s="40"/>
      <c r="D556" s="40"/>
    </row>
    <row r="557" spans="3:4" s="51" customFormat="1" ht="14.25">
      <c r="C557" s="40"/>
      <c r="D557" s="40"/>
    </row>
    <row r="558" spans="3:4" s="51" customFormat="1" ht="14.25">
      <c r="C558" s="40"/>
      <c r="D558" s="40"/>
    </row>
    <row r="559" spans="3:4" s="51" customFormat="1" ht="14.25">
      <c r="C559" s="40"/>
      <c r="D559" s="40"/>
    </row>
    <row r="560" spans="3:4" s="51" customFormat="1" ht="14.25">
      <c r="C560" s="40"/>
      <c r="D560" s="40"/>
    </row>
    <row r="561" spans="3:4" s="51" customFormat="1" ht="14.25">
      <c r="C561" s="40"/>
      <c r="D561" s="40"/>
    </row>
    <row r="562" spans="3:4" s="51" customFormat="1" ht="14.25">
      <c r="C562" s="40"/>
      <c r="D562" s="40"/>
    </row>
    <row r="563" spans="3:4" s="51" customFormat="1" ht="14.25">
      <c r="C563" s="40"/>
      <c r="D563" s="40"/>
    </row>
    <row r="564" spans="3:4" s="51" customFormat="1" ht="14.25">
      <c r="C564" s="40"/>
      <c r="D564" s="40"/>
    </row>
    <row r="565" spans="3:4" s="51" customFormat="1" ht="14.25">
      <c r="C565" s="40"/>
      <c r="D565" s="40"/>
    </row>
    <row r="566" spans="3:4" s="51" customFormat="1" ht="14.25">
      <c r="C566" s="40"/>
      <c r="D566" s="40"/>
    </row>
    <row r="567" spans="3:4" s="51" customFormat="1" ht="14.25">
      <c r="C567" s="40"/>
      <c r="D567" s="40"/>
    </row>
    <row r="568" spans="3:4" s="51" customFormat="1" ht="14.25">
      <c r="C568" s="40"/>
      <c r="D568" s="40"/>
    </row>
    <row r="569" spans="3:4" s="51" customFormat="1" ht="14.25">
      <c r="C569" s="40"/>
      <c r="D569" s="40"/>
    </row>
    <row r="570" spans="3:4" s="51" customFormat="1" ht="14.25">
      <c r="C570" s="40"/>
      <c r="D570" s="40"/>
    </row>
    <row r="571" spans="3:4" s="51" customFormat="1" ht="14.25">
      <c r="C571" s="40"/>
      <c r="D571" s="40"/>
    </row>
    <row r="572" spans="3:4" s="51" customFormat="1" ht="14.25">
      <c r="C572" s="40"/>
      <c r="D572" s="40"/>
    </row>
    <row r="573" spans="3:4" s="51" customFormat="1" ht="14.25">
      <c r="C573" s="40"/>
      <c r="D573" s="40"/>
    </row>
    <row r="574" spans="3:4" s="51" customFormat="1" ht="14.25">
      <c r="C574" s="40"/>
      <c r="D574" s="40"/>
    </row>
    <row r="575" spans="3:4" s="51" customFormat="1" ht="14.25">
      <c r="C575" s="40"/>
      <c r="D575" s="40"/>
    </row>
    <row r="576" spans="3:4" s="51" customFormat="1" ht="14.25">
      <c r="C576" s="40"/>
      <c r="D576" s="40"/>
    </row>
    <row r="577" spans="3:4" s="51" customFormat="1" ht="14.25">
      <c r="C577" s="40"/>
      <c r="D577" s="40"/>
    </row>
    <row r="578" spans="3:4" s="51" customFormat="1" ht="14.25">
      <c r="C578" s="40"/>
      <c r="D578" s="40"/>
    </row>
    <row r="579" spans="3:4" s="51" customFormat="1" ht="14.25">
      <c r="C579" s="40"/>
      <c r="D579" s="40"/>
    </row>
    <row r="580" spans="3:4" s="51" customFormat="1" ht="14.25">
      <c r="C580" s="40"/>
      <c r="D580" s="40"/>
    </row>
    <row r="581" spans="3:4" s="51" customFormat="1" ht="14.25">
      <c r="C581" s="40"/>
      <c r="D581" s="40"/>
    </row>
    <row r="582" spans="3:4" s="51" customFormat="1" ht="14.25">
      <c r="C582" s="40"/>
      <c r="D582" s="40"/>
    </row>
    <row r="583" spans="3:4" s="51" customFormat="1" ht="14.25">
      <c r="C583" s="40"/>
      <c r="D583" s="40"/>
    </row>
    <row r="584" spans="3:4" s="51" customFormat="1" ht="14.25">
      <c r="C584" s="40"/>
      <c r="D584" s="40"/>
    </row>
    <row r="585" spans="3:4" s="51" customFormat="1" ht="14.25">
      <c r="C585" s="40"/>
      <c r="D585" s="40"/>
    </row>
    <row r="586" spans="3:4" s="51" customFormat="1" ht="14.25">
      <c r="C586" s="40"/>
      <c r="D586" s="40"/>
    </row>
    <row r="587" spans="3:4" s="51" customFormat="1" ht="14.25">
      <c r="C587" s="40"/>
      <c r="D587" s="40"/>
    </row>
    <row r="588" spans="3:4" s="51" customFormat="1" ht="14.25">
      <c r="C588" s="40"/>
      <c r="D588" s="40"/>
    </row>
    <row r="589" spans="3:4" s="51" customFormat="1" ht="14.25">
      <c r="C589" s="40"/>
      <c r="D589" s="40"/>
    </row>
    <row r="590" spans="3:4" s="51" customFormat="1" ht="14.25">
      <c r="C590" s="40"/>
      <c r="D590" s="40"/>
    </row>
    <row r="591" spans="3:4" s="51" customFormat="1" ht="14.25">
      <c r="C591" s="40"/>
      <c r="D591" s="40"/>
    </row>
    <row r="592" spans="3:4" s="51" customFormat="1" ht="14.25">
      <c r="C592" s="40"/>
      <c r="D592" s="40"/>
    </row>
    <row r="593" spans="3:4" s="51" customFormat="1" ht="14.25">
      <c r="C593" s="40"/>
      <c r="D593" s="40"/>
    </row>
    <row r="594" spans="3:4" s="51" customFormat="1" ht="14.25">
      <c r="C594" s="40"/>
      <c r="D594" s="40"/>
    </row>
    <row r="595" spans="3:4" s="51" customFormat="1" ht="14.25">
      <c r="C595" s="40"/>
      <c r="D595" s="40"/>
    </row>
    <row r="596" spans="3:4" s="51" customFormat="1" ht="14.25">
      <c r="C596" s="40"/>
      <c r="D596" s="40"/>
    </row>
    <row r="597" spans="3:4" s="51" customFormat="1" ht="14.25">
      <c r="C597" s="40"/>
      <c r="D597" s="40"/>
    </row>
    <row r="598" spans="3:4" s="51" customFormat="1" ht="14.25">
      <c r="C598" s="40"/>
      <c r="D598" s="40"/>
    </row>
    <row r="599" spans="3:4" s="51" customFormat="1" ht="14.25">
      <c r="C599" s="40"/>
      <c r="D599" s="40"/>
    </row>
    <row r="600" spans="3:4" s="51" customFormat="1" ht="14.25">
      <c r="C600" s="40"/>
      <c r="D600" s="40"/>
    </row>
    <row r="601" spans="3:4" s="51" customFormat="1" ht="14.25">
      <c r="C601" s="40"/>
      <c r="D601" s="40"/>
    </row>
    <row r="602" spans="3:4" s="51" customFormat="1" ht="14.25">
      <c r="C602" s="40"/>
      <c r="D602" s="40"/>
    </row>
    <row r="603" spans="3:4" s="51" customFormat="1" ht="14.25">
      <c r="C603" s="40"/>
      <c r="D603" s="40"/>
    </row>
    <row r="604" spans="3:4" s="51" customFormat="1" ht="14.25">
      <c r="C604" s="40"/>
      <c r="D604" s="40"/>
    </row>
    <row r="605" spans="3:4" s="51" customFormat="1" ht="14.25">
      <c r="C605" s="40"/>
      <c r="D605" s="40"/>
    </row>
    <row r="606" spans="3:4" s="51" customFormat="1" ht="14.25">
      <c r="C606" s="40"/>
      <c r="D606" s="40"/>
    </row>
    <row r="607" spans="3:4" s="51" customFormat="1" ht="14.25">
      <c r="C607" s="40"/>
      <c r="D607" s="40"/>
    </row>
    <row r="608" spans="3:4" s="51" customFormat="1" ht="14.25">
      <c r="C608" s="40"/>
      <c r="D608" s="40"/>
    </row>
    <row r="609" spans="3:4" s="51" customFormat="1" ht="14.25">
      <c r="C609" s="40"/>
      <c r="D609" s="40"/>
    </row>
    <row r="610" spans="3:4" s="51" customFormat="1" ht="14.25">
      <c r="C610" s="40"/>
      <c r="D610" s="40"/>
    </row>
    <row r="611" spans="3:4" s="51" customFormat="1" ht="14.25">
      <c r="C611" s="40"/>
      <c r="D611" s="40"/>
    </row>
    <row r="612" spans="3:4" s="51" customFormat="1" ht="14.25">
      <c r="C612" s="40"/>
      <c r="D612" s="40"/>
    </row>
    <row r="613" spans="3:4" s="51" customFormat="1" ht="14.25">
      <c r="C613" s="40"/>
      <c r="D613" s="40"/>
    </row>
    <row r="614" spans="3:4" s="51" customFormat="1" ht="14.25">
      <c r="C614" s="40"/>
      <c r="D614" s="40"/>
    </row>
    <row r="615" spans="3:4" s="51" customFormat="1" ht="14.25">
      <c r="C615" s="40"/>
      <c r="D615" s="40"/>
    </row>
    <row r="616" spans="3:4" s="51" customFormat="1" ht="14.25">
      <c r="C616" s="40"/>
      <c r="D616" s="40"/>
    </row>
    <row r="617" spans="3:4" s="51" customFormat="1" ht="14.25">
      <c r="C617" s="40"/>
      <c r="D617" s="40"/>
    </row>
    <row r="618" spans="3:4" s="51" customFormat="1" ht="14.25">
      <c r="C618" s="40"/>
      <c r="D618" s="40"/>
    </row>
    <row r="619" spans="3:4" s="51" customFormat="1" ht="14.25">
      <c r="C619" s="40"/>
      <c r="D619" s="40"/>
    </row>
    <row r="620" spans="3:4" s="51" customFormat="1" ht="14.25">
      <c r="C620" s="40"/>
      <c r="D620" s="40"/>
    </row>
    <row r="621" spans="3:4" s="51" customFormat="1" ht="14.25">
      <c r="C621" s="40"/>
      <c r="D621" s="40"/>
    </row>
    <row r="622" spans="3:4" s="51" customFormat="1" ht="14.25">
      <c r="C622" s="40"/>
      <c r="D622" s="40"/>
    </row>
    <row r="623" spans="3:4" s="51" customFormat="1" ht="14.25">
      <c r="C623" s="40"/>
      <c r="D623" s="40"/>
    </row>
    <row r="624" spans="3:4" s="51" customFormat="1" ht="14.25">
      <c r="C624" s="40"/>
      <c r="D624" s="40"/>
    </row>
    <row r="625" spans="3:4" s="51" customFormat="1" ht="14.25">
      <c r="C625" s="40"/>
      <c r="D625" s="40"/>
    </row>
    <row r="626" spans="3:4" s="51" customFormat="1" ht="14.25">
      <c r="C626" s="40"/>
      <c r="D626" s="40"/>
    </row>
    <row r="627" spans="3:4" s="51" customFormat="1" ht="14.25">
      <c r="C627" s="40"/>
      <c r="D627" s="40"/>
    </row>
    <row r="628" spans="3:4" s="51" customFormat="1" ht="14.25">
      <c r="C628" s="40"/>
      <c r="D628" s="40"/>
    </row>
    <row r="629" spans="3:4" s="51" customFormat="1" ht="14.25">
      <c r="C629" s="40"/>
      <c r="D629" s="40"/>
    </row>
    <row r="630" spans="3:4" s="51" customFormat="1" ht="14.25">
      <c r="C630" s="40"/>
      <c r="D630" s="40"/>
    </row>
    <row r="631" spans="3:4" s="51" customFormat="1" ht="14.25">
      <c r="C631" s="40"/>
      <c r="D631" s="40"/>
    </row>
    <row r="632" spans="3:4" s="51" customFormat="1" ht="14.25">
      <c r="C632" s="40"/>
      <c r="D632" s="40"/>
    </row>
    <row r="633" spans="3:4" s="51" customFormat="1" ht="14.25">
      <c r="C633" s="40"/>
      <c r="D633" s="40"/>
    </row>
    <row r="634" spans="3:4" s="51" customFormat="1" ht="14.25">
      <c r="C634" s="40"/>
      <c r="D634" s="40"/>
    </row>
    <row r="635" spans="3:4" s="51" customFormat="1" ht="14.25">
      <c r="C635" s="40"/>
      <c r="D635" s="40"/>
    </row>
    <row r="636" spans="3:4" s="51" customFormat="1" ht="14.25">
      <c r="C636" s="40"/>
      <c r="D636" s="40"/>
    </row>
    <row r="637" spans="3:4" s="51" customFormat="1" ht="14.25">
      <c r="C637" s="40"/>
      <c r="D637" s="40"/>
    </row>
    <row r="638" spans="3:4" s="51" customFormat="1" ht="14.25">
      <c r="C638" s="40"/>
      <c r="D638" s="40"/>
    </row>
    <row r="639" spans="3:4" s="51" customFormat="1" ht="14.25">
      <c r="C639" s="40"/>
      <c r="D639" s="40"/>
    </row>
    <row r="640" spans="3:4" s="51" customFormat="1" ht="14.25">
      <c r="C640" s="40"/>
      <c r="D640" s="40"/>
    </row>
    <row r="641" spans="3:4" s="51" customFormat="1" ht="14.25">
      <c r="C641" s="40"/>
      <c r="D641" s="40"/>
    </row>
    <row r="642" spans="3:4" s="51" customFormat="1" ht="14.25">
      <c r="C642" s="40"/>
      <c r="D642" s="40"/>
    </row>
    <row r="643" spans="3:4" s="51" customFormat="1" ht="14.25">
      <c r="C643" s="40"/>
      <c r="D643" s="40"/>
    </row>
    <row r="644" spans="3:4" s="51" customFormat="1" ht="14.25">
      <c r="C644" s="40"/>
      <c r="D644" s="40"/>
    </row>
    <row r="645" spans="3:4" s="51" customFormat="1" ht="14.25">
      <c r="C645" s="40"/>
      <c r="D645" s="40"/>
    </row>
    <row r="646" spans="3:4" s="51" customFormat="1" ht="14.25">
      <c r="C646" s="40"/>
      <c r="D646" s="40"/>
    </row>
    <row r="647" spans="3:4" s="51" customFormat="1" ht="14.25">
      <c r="C647" s="40"/>
      <c r="D647" s="40"/>
    </row>
    <row r="648" spans="3:4" s="51" customFormat="1" ht="14.25">
      <c r="C648" s="40"/>
      <c r="D648" s="40"/>
    </row>
    <row r="649" spans="3:4" s="51" customFormat="1" ht="14.25">
      <c r="C649" s="40"/>
      <c r="D649" s="40"/>
    </row>
    <row r="650" spans="3:4" s="51" customFormat="1" ht="14.25">
      <c r="C650" s="40"/>
      <c r="D650" s="40"/>
    </row>
    <row r="651" spans="3:4" s="51" customFormat="1" ht="14.25">
      <c r="C651" s="40"/>
      <c r="D651" s="40"/>
    </row>
    <row r="652" spans="3:4" s="51" customFormat="1" ht="14.25">
      <c r="C652" s="40"/>
      <c r="D652" s="40"/>
    </row>
    <row r="653" spans="3:4" s="51" customFormat="1" ht="14.25">
      <c r="C653" s="40"/>
      <c r="D653" s="40"/>
    </row>
    <row r="654" spans="3:4" s="51" customFormat="1" ht="14.25">
      <c r="C654" s="40"/>
      <c r="D654" s="40"/>
    </row>
    <row r="655" spans="3:4" s="51" customFormat="1" ht="14.25">
      <c r="C655" s="40"/>
      <c r="D655" s="40"/>
    </row>
    <row r="656" spans="3:4" s="51" customFormat="1" ht="14.25">
      <c r="C656" s="40"/>
      <c r="D656" s="40"/>
    </row>
    <row r="657" spans="3:4" s="51" customFormat="1" ht="14.25">
      <c r="C657" s="40"/>
      <c r="D657" s="40"/>
    </row>
    <row r="658" spans="3:4" s="51" customFormat="1" ht="14.25">
      <c r="C658" s="40"/>
      <c r="D658" s="40"/>
    </row>
    <row r="659" spans="3:4" s="51" customFormat="1" ht="14.25">
      <c r="C659" s="40"/>
      <c r="D659" s="40"/>
    </row>
    <row r="660" spans="3:4" s="51" customFormat="1" ht="14.25">
      <c r="C660" s="40"/>
      <c r="D660" s="40"/>
    </row>
    <row r="661" spans="3:4" s="51" customFormat="1" ht="14.25">
      <c r="C661" s="40"/>
      <c r="D661" s="40"/>
    </row>
    <row r="662" spans="3:4" s="51" customFormat="1" ht="14.25">
      <c r="C662" s="40"/>
      <c r="D662" s="40"/>
    </row>
    <row r="663" spans="3:4" s="51" customFormat="1" ht="14.25">
      <c r="C663" s="40"/>
      <c r="D663" s="40"/>
    </row>
    <row r="664" spans="3:4" s="51" customFormat="1" ht="14.25">
      <c r="C664" s="40"/>
      <c r="D664" s="40"/>
    </row>
    <row r="665" spans="3:4" s="51" customFormat="1" ht="14.25">
      <c r="C665" s="40"/>
      <c r="D665" s="40"/>
    </row>
    <row r="666" spans="3:4" s="51" customFormat="1" ht="14.25">
      <c r="C666" s="40"/>
      <c r="D666" s="40"/>
    </row>
    <row r="667" spans="3:4" s="51" customFormat="1" ht="14.25">
      <c r="C667" s="40"/>
      <c r="D667" s="40"/>
    </row>
    <row r="668" spans="3:4" s="51" customFormat="1" ht="14.25">
      <c r="C668" s="40"/>
      <c r="D668" s="40"/>
    </row>
    <row r="669" spans="3:4" s="51" customFormat="1" ht="14.25">
      <c r="C669" s="40"/>
      <c r="D669" s="40"/>
    </row>
    <row r="670" spans="3:4" s="51" customFormat="1" ht="14.25">
      <c r="C670" s="40"/>
      <c r="D670" s="40"/>
    </row>
    <row r="671" spans="3:4" s="51" customFormat="1" ht="14.25">
      <c r="C671" s="40"/>
      <c r="D671" s="40"/>
    </row>
    <row r="672" spans="3:4" s="51" customFormat="1" ht="14.25">
      <c r="C672" s="40"/>
      <c r="D672" s="40"/>
    </row>
    <row r="673" spans="3:4" s="51" customFormat="1" ht="14.25">
      <c r="C673" s="40"/>
      <c r="D673" s="40"/>
    </row>
    <row r="674" spans="3:4" s="51" customFormat="1" ht="14.25">
      <c r="C674" s="40"/>
      <c r="D674" s="40"/>
    </row>
    <row r="675" spans="3:4" s="51" customFormat="1" ht="14.25">
      <c r="C675" s="40"/>
      <c r="D675" s="40"/>
    </row>
    <row r="676" spans="3:4" s="51" customFormat="1" ht="14.25">
      <c r="C676" s="40"/>
      <c r="D676" s="40"/>
    </row>
    <row r="677" spans="3:4" s="51" customFormat="1" ht="14.25">
      <c r="C677" s="40"/>
      <c r="D677" s="40"/>
    </row>
    <row r="678" spans="3:4" s="51" customFormat="1" ht="14.25">
      <c r="C678" s="40"/>
      <c r="D678" s="40"/>
    </row>
    <row r="679" spans="3:4" s="51" customFormat="1" ht="14.25">
      <c r="C679" s="40"/>
      <c r="D679" s="40"/>
    </row>
    <row r="680" spans="3:4" s="51" customFormat="1" ht="14.25">
      <c r="C680" s="40"/>
      <c r="D680" s="40"/>
    </row>
    <row r="681" spans="3:4" s="51" customFormat="1" ht="14.25">
      <c r="C681" s="40"/>
      <c r="D681" s="40"/>
    </row>
    <row r="682" spans="3:4" s="51" customFormat="1" ht="14.25">
      <c r="C682" s="40"/>
      <c r="D682" s="40"/>
    </row>
    <row r="683" spans="3:4" s="51" customFormat="1" ht="14.25">
      <c r="C683" s="40"/>
      <c r="D683" s="40"/>
    </row>
    <row r="684" spans="3:4" s="51" customFormat="1" ht="14.25">
      <c r="C684" s="40"/>
      <c r="D684" s="40"/>
    </row>
    <row r="685" spans="3:4" s="51" customFormat="1" ht="14.25">
      <c r="C685" s="40"/>
      <c r="D685" s="40"/>
    </row>
    <row r="686" spans="3:4" s="51" customFormat="1" ht="14.25">
      <c r="C686" s="40"/>
      <c r="D686" s="40"/>
    </row>
    <row r="687" spans="3:4" s="51" customFormat="1" ht="14.25">
      <c r="C687" s="40"/>
      <c r="D687" s="40"/>
    </row>
    <row r="688" spans="3:4" s="51" customFormat="1" ht="14.25">
      <c r="C688" s="40"/>
      <c r="D688" s="40"/>
    </row>
    <row r="689" spans="3:4" s="51" customFormat="1" ht="14.25">
      <c r="C689" s="40"/>
      <c r="D689" s="40"/>
    </row>
    <row r="690" spans="3:4" s="51" customFormat="1" ht="14.25">
      <c r="C690" s="40"/>
      <c r="D690" s="40"/>
    </row>
    <row r="691" spans="3:4" s="51" customFormat="1" ht="14.25">
      <c r="C691" s="40"/>
      <c r="D691" s="40"/>
    </row>
    <row r="692" spans="3:4" s="51" customFormat="1" ht="14.25">
      <c r="C692" s="40"/>
      <c r="D692" s="40"/>
    </row>
    <row r="693" spans="3:4" s="51" customFormat="1" ht="14.25">
      <c r="C693" s="40"/>
      <c r="D693" s="40"/>
    </row>
    <row r="694" spans="3:4" s="51" customFormat="1" ht="14.25">
      <c r="C694" s="40"/>
      <c r="D694" s="40"/>
    </row>
    <row r="695" spans="3:4" s="51" customFormat="1" ht="14.25">
      <c r="C695" s="40"/>
      <c r="D695" s="40"/>
    </row>
    <row r="696" spans="3:4" s="51" customFormat="1" ht="14.25">
      <c r="C696" s="40"/>
      <c r="D696" s="40"/>
    </row>
    <row r="697" spans="3:4" s="51" customFormat="1" ht="14.25">
      <c r="C697" s="40"/>
      <c r="D697" s="40"/>
    </row>
    <row r="698" spans="3:4" s="51" customFormat="1" ht="14.25">
      <c r="C698" s="40"/>
      <c r="D698" s="40"/>
    </row>
    <row r="699" spans="3:4" s="51" customFormat="1" ht="14.25">
      <c r="C699" s="40"/>
      <c r="D699" s="40"/>
    </row>
    <row r="700" spans="3:4" s="51" customFormat="1" ht="14.25">
      <c r="C700" s="40"/>
      <c r="D700" s="40"/>
    </row>
    <row r="701" spans="3:4" s="51" customFormat="1" ht="14.25">
      <c r="C701" s="40"/>
      <c r="D701" s="40"/>
    </row>
    <row r="702" spans="3:4" s="51" customFormat="1" ht="14.25">
      <c r="C702" s="40"/>
      <c r="D702" s="40"/>
    </row>
    <row r="703" spans="3:4" s="51" customFormat="1" ht="14.25">
      <c r="C703" s="40"/>
      <c r="D703" s="40"/>
    </row>
    <row r="704" spans="3:4" s="51" customFormat="1" ht="14.25">
      <c r="C704" s="40"/>
      <c r="D704" s="40"/>
    </row>
    <row r="705" spans="3:4" s="51" customFormat="1" ht="14.25">
      <c r="C705" s="40"/>
      <c r="D705" s="40"/>
    </row>
    <row r="706" spans="3:4" s="51" customFormat="1" ht="14.25">
      <c r="C706" s="40"/>
      <c r="D706" s="40"/>
    </row>
    <row r="707" spans="3:4" s="51" customFormat="1" ht="14.25">
      <c r="C707" s="40"/>
      <c r="D707" s="40"/>
    </row>
    <row r="708" spans="3:4" s="51" customFormat="1" ht="14.25">
      <c r="C708" s="40"/>
      <c r="D708" s="40"/>
    </row>
    <row r="709" spans="3:4" s="51" customFormat="1" ht="14.25">
      <c r="C709" s="40"/>
      <c r="D709" s="40"/>
    </row>
    <row r="710" spans="3:4" s="51" customFormat="1" ht="14.25">
      <c r="C710" s="40"/>
      <c r="D710" s="40"/>
    </row>
    <row r="711" spans="3:4" s="51" customFormat="1" ht="14.25">
      <c r="C711" s="40"/>
      <c r="D711" s="40"/>
    </row>
    <row r="712" spans="3:4" s="51" customFormat="1" ht="14.25">
      <c r="C712" s="40"/>
      <c r="D712" s="40"/>
    </row>
    <row r="713" spans="3:4" s="51" customFormat="1" ht="14.25">
      <c r="C713" s="40"/>
      <c r="D713" s="40"/>
    </row>
    <row r="714" spans="3:4" s="51" customFormat="1" ht="14.25">
      <c r="C714" s="40"/>
      <c r="D714" s="40"/>
    </row>
    <row r="715" spans="3:4" s="51" customFormat="1" ht="14.25">
      <c r="C715" s="40"/>
      <c r="D715" s="40"/>
    </row>
    <row r="716" spans="3:4" s="51" customFormat="1" ht="14.25">
      <c r="C716" s="40"/>
      <c r="D716" s="40"/>
    </row>
    <row r="717" spans="3:4" s="51" customFormat="1" ht="14.25">
      <c r="C717" s="40"/>
      <c r="D717" s="40"/>
    </row>
    <row r="718" spans="3:4" s="51" customFormat="1" ht="14.25">
      <c r="C718" s="40"/>
      <c r="D718" s="40"/>
    </row>
    <row r="719" spans="3:4" s="51" customFormat="1" ht="14.25">
      <c r="C719" s="40"/>
      <c r="D719" s="40"/>
    </row>
    <row r="720" spans="3:4" s="51" customFormat="1" ht="14.25">
      <c r="C720" s="40"/>
      <c r="D720" s="40"/>
    </row>
    <row r="721" spans="3:4" s="51" customFormat="1" ht="14.25">
      <c r="C721" s="40"/>
      <c r="D721" s="40"/>
    </row>
    <row r="722" spans="3:4" s="51" customFormat="1" ht="14.25">
      <c r="C722" s="40"/>
      <c r="D722" s="40"/>
    </row>
    <row r="723" spans="3:4" s="51" customFormat="1" ht="14.25">
      <c r="C723" s="40"/>
      <c r="D723" s="40"/>
    </row>
    <row r="724" spans="3:4" s="51" customFormat="1" ht="14.25">
      <c r="C724" s="40"/>
      <c r="D724" s="40"/>
    </row>
    <row r="725" spans="3:4" s="51" customFormat="1" ht="14.25">
      <c r="C725" s="40"/>
      <c r="D725" s="40"/>
    </row>
    <row r="726" spans="3:4" s="51" customFormat="1" ht="14.25">
      <c r="C726" s="40"/>
      <c r="D726" s="40"/>
    </row>
    <row r="727" spans="3:4" s="51" customFormat="1" ht="14.25">
      <c r="C727" s="40"/>
      <c r="D727" s="40"/>
    </row>
    <row r="728" spans="3:4" s="51" customFormat="1" ht="14.25">
      <c r="C728" s="40"/>
      <c r="D728" s="40"/>
    </row>
    <row r="729" spans="3:4" s="51" customFormat="1" ht="14.25">
      <c r="C729" s="40"/>
      <c r="D729" s="40"/>
    </row>
    <row r="730" spans="3:4" s="51" customFormat="1" ht="14.25">
      <c r="C730" s="40"/>
      <c r="D730" s="40"/>
    </row>
    <row r="731" spans="3:4" s="51" customFormat="1" ht="14.25">
      <c r="C731" s="40"/>
      <c r="D731" s="40"/>
    </row>
    <row r="732" spans="3:4" s="51" customFormat="1" ht="14.25">
      <c r="C732" s="40"/>
      <c r="D732" s="40"/>
    </row>
    <row r="733" spans="3:4" s="51" customFormat="1" ht="14.25">
      <c r="C733" s="40"/>
      <c r="D733" s="40"/>
    </row>
    <row r="734" spans="3:4" s="51" customFormat="1" ht="14.25">
      <c r="C734" s="40"/>
      <c r="D734" s="40"/>
    </row>
    <row r="735" spans="3:4" s="51" customFormat="1" ht="14.25">
      <c r="C735" s="40"/>
      <c r="D735" s="40"/>
    </row>
    <row r="736" spans="3:4" s="51" customFormat="1" ht="14.25">
      <c r="C736" s="40"/>
      <c r="D736" s="40"/>
    </row>
    <row r="737" spans="3:4" s="51" customFormat="1" ht="14.25">
      <c r="C737" s="40"/>
      <c r="D737" s="40"/>
    </row>
    <row r="738" spans="3:4" s="51" customFormat="1" ht="14.25">
      <c r="C738" s="40"/>
      <c r="D738" s="40"/>
    </row>
    <row r="739" spans="3:4" s="51" customFormat="1" ht="14.25">
      <c r="C739" s="40"/>
      <c r="D739" s="40"/>
    </row>
    <row r="740" spans="3:4" s="51" customFormat="1" ht="14.25">
      <c r="C740" s="40"/>
      <c r="D740" s="40"/>
    </row>
    <row r="741" spans="3:4" s="51" customFormat="1" ht="14.25">
      <c r="C741" s="40"/>
      <c r="D741" s="40"/>
    </row>
    <row r="742" spans="3:4" s="51" customFormat="1" ht="14.25">
      <c r="C742" s="40"/>
      <c r="D742" s="40"/>
    </row>
    <row r="743" spans="3:4" s="51" customFormat="1" ht="14.25">
      <c r="C743" s="40"/>
      <c r="D743" s="40"/>
    </row>
    <row r="744" spans="3:4" s="51" customFormat="1" ht="14.25">
      <c r="C744" s="40"/>
      <c r="D744" s="40"/>
    </row>
    <row r="745" spans="3:4" s="51" customFormat="1" ht="14.25">
      <c r="C745" s="40"/>
      <c r="D745" s="40"/>
    </row>
    <row r="746" spans="3:4" s="51" customFormat="1" ht="14.25">
      <c r="C746" s="40"/>
      <c r="D746" s="40"/>
    </row>
    <row r="747" spans="3:4" s="51" customFormat="1" ht="14.25">
      <c r="C747" s="40"/>
      <c r="D747" s="40"/>
    </row>
    <row r="748" spans="3:4" s="51" customFormat="1" ht="14.25">
      <c r="C748" s="40"/>
      <c r="D748" s="40"/>
    </row>
    <row r="749" spans="3:4" s="51" customFormat="1" ht="14.25">
      <c r="C749" s="40"/>
      <c r="D749" s="40"/>
    </row>
    <row r="750" spans="3:4" s="51" customFormat="1" ht="14.25">
      <c r="C750" s="40"/>
      <c r="D750" s="40"/>
    </row>
    <row r="751" spans="3:4" s="51" customFormat="1" ht="14.25">
      <c r="C751" s="40"/>
      <c r="D751" s="40"/>
    </row>
    <row r="752" spans="3:4" s="51" customFormat="1" ht="14.25">
      <c r="C752" s="40"/>
      <c r="D752" s="40"/>
    </row>
    <row r="753" spans="3:4" s="51" customFormat="1" ht="14.25">
      <c r="C753" s="40"/>
      <c r="D753" s="40"/>
    </row>
    <row r="754" spans="3:4" s="51" customFormat="1" ht="14.25">
      <c r="C754" s="40"/>
      <c r="D754" s="40"/>
    </row>
    <row r="755" spans="3:4" s="51" customFormat="1" ht="14.25">
      <c r="C755" s="40"/>
      <c r="D755" s="40"/>
    </row>
    <row r="756" spans="3:4" s="51" customFormat="1" ht="14.25">
      <c r="C756" s="40"/>
      <c r="D756" s="40"/>
    </row>
    <row r="757" spans="3:4" s="51" customFormat="1" ht="14.25">
      <c r="C757" s="40"/>
      <c r="D757" s="40"/>
    </row>
    <row r="758" spans="3:4" s="51" customFormat="1" ht="14.25">
      <c r="C758" s="40"/>
      <c r="D758" s="40"/>
    </row>
    <row r="759" spans="3:4" s="51" customFormat="1" ht="14.25">
      <c r="C759" s="40"/>
      <c r="D759" s="40"/>
    </row>
    <row r="760" spans="3:4" s="51" customFormat="1" ht="14.25">
      <c r="C760" s="40"/>
      <c r="D760" s="40"/>
    </row>
    <row r="761" spans="3:4" s="51" customFormat="1" ht="14.25">
      <c r="C761" s="40"/>
      <c r="D761" s="40"/>
    </row>
    <row r="762" spans="3:4" s="51" customFormat="1" ht="14.25">
      <c r="C762" s="40"/>
      <c r="D762" s="40"/>
    </row>
    <row r="763" spans="3:4" s="51" customFormat="1" ht="14.25">
      <c r="C763" s="40"/>
      <c r="D763" s="40"/>
    </row>
    <row r="764" spans="3:4" s="51" customFormat="1" ht="14.25">
      <c r="C764" s="40"/>
      <c r="D764" s="40"/>
    </row>
    <row r="765" spans="3:4" s="51" customFormat="1" ht="14.25">
      <c r="C765" s="40"/>
      <c r="D765" s="40"/>
    </row>
    <row r="766" spans="3:4" s="51" customFormat="1" ht="14.25">
      <c r="C766" s="40"/>
      <c r="D766" s="40"/>
    </row>
    <row r="767" spans="3:4" s="51" customFormat="1" ht="14.25">
      <c r="C767" s="40"/>
      <c r="D767" s="40"/>
    </row>
    <row r="768" spans="3:4" s="51" customFormat="1" ht="14.25">
      <c r="C768" s="40"/>
      <c r="D768" s="40"/>
    </row>
    <row r="769" spans="3:4" s="51" customFormat="1" ht="14.25">
      <c r="C769" s="40"/>
      <c r="D769" s="40"/>
    </row>
    <row r="770" spans="3:4" s="51" customFormat="1" ht="14.25">
      <c r="C770" s="40"/>
      <c r="D770" s="40"/>
    </row>
    <row r="771" spans="3:4" s="51" customFormat="1" ht="14.25">
      <c r="C771" s="40"/>
      <c r="D771" s="40"/>
    </row>
    <row r="772" spans="3:4" s="51" customFormat="1" ht="14.25">
      <c r="C772" s="40"/>
      <c r="D772" s="40"/>
    </row>
    <row r="773" spans="3:4" s="51" customFormat="1" ht="14.25">
      <c r="C773" s="40"/>
      <c r="D773" s="40"/>
    </row>
    <row r="774" spans="3:4" s="51" customFormat="1" ht="14.25">
      <c r="C774" s="40"/>
      <c r="D774" s="40"/>
    </row>
    <row r="775" spans="3:4" s="51" customFormat="1" ht="14.25">
      <c r="C775" s="40"/>
      <c r="D775" s="40"/>
    </row>
    <row r="776" spans="3:4" s="51" customFormat="1" ht="14.25">
      <c r="C776" s="40"/>
      <c r="D776" s="40"/>
    </row>
    <row r="777" spans="3:4" s="51" customFormat="1" ht="14.25">
      <c r="C777" s="40"/>
      <c r="D777" s="40"/>
    </row>
    <row r="778" spans="3:4" s="51" customFormat="1" ht="14.25">
      <c r="C778" s="40"/>
      <c r="D778" s="40"/>
    </row>
    <row r="779" spans="3:4" s="51" customFormat="1" ht="14.25">
      <c r="C779" s="40"/>
      <c r="D779" s="40"/>
    </row>
    <row r="780" spans="3:4" s="51" customFormat="1" ht="14.25">
      <c r="C780" s="40"/>
      <c r="D780" s="40"/>
    </row>
    <row r="781" spans="3:4" s="51" customFormat="1" ht="14.25">
      <c r="C781" s="40"/>
      <c r="D781" s="40"/>
    </row>
    <row r="782" spans="3:4" s="51" customFormat="1" ht="14.25">
      <c r="C782" s="40"/>
      <c r="D782" s="40"/>
    </row>
    <row r="783" spans="3:4" s="51" customFormat="1" ht="14.25">
      <c r="C783" s="40"/>
      <c r="D783" s="40"/>
    </row>
    <row r="784" spans="3:4" s="51" customFormat="1" ht="14.25">
      <c r="C784" s="40"/>
      <c r="D784" s="40"/>
    </row>
    <row r="785" spans="3:4" s="51" customFormat="1" ht="14.25">
      <c r="C785" s="40"/>
      <c r="D785" s="40"/>
    </row>
    <row r="786" spans="3:4" s="51" customFormat="1" ht="14.25">
      <c r="C786" s="40"/>
      <c r="D786" s="40"/>
    </row>
    <row r="787" spans="3:4" s="51" customFormat="1" ht="14.25">
      <c r="C787" s="40"/>
      <c r="D787" s="40"/>
    </row>
    <row r="788" spans="3:4" s="51" customFormat="1" ht="14.25">
      <c r="C788" s="40"/>
      <c r="D788" s="40"/>
    </row>
    <row r="789" spans="3:4" s="51" customFormat="1" ht="14.25">
      <c r="C789" s="40"/>
      <c r="D789" s="40"/>
    </row>
    <row r="790" spans="3:4" s="51" customFormat="1" ht="14.25">
      <c r="C790" s="40"/>
      <c r="D790" s="40"/>
    </row>
    <row r="791" spans="3:4" s="51" customFormat="1" ht="14.25">
      <c r="C791" s="40"/>
      <c r="D791" s="40"/>
    </row>
    <row r="792" spans="3:4" s="51" customFormat="1" ht="14.25">
      <c r="C792" s="40"/>
      <c r="D792" s="40"/>
    </row>
    <row r="793" spans="3:4" s="51" customFormat="1" ht="14.25">
      <c r="C793" s="40"/>
      <c r="D793" s="40"/>
    </row>
    <row r="794" spans="3:4" s="51" customFormat="1" ht="14.25">
      <c r="C794" s="40"/>
      <c r="D794" s="40"/>
    </row>
    <row r="795" spans="3:4" s="51" customFormat="1" ht="14.25">
      <c r="C795" s="40"/>
      <c r="D795" s="40"/>
    </row>
    <row r="796" spans="3:4" s="51" customFormat="1" ht="14.25">
      <c r="C796" s="40"/>
      <c r="D796" s="40"/>
    </row>
    <row r="797" spans="3:4" s="51" customFormat="1" ht="14.25">
      <c r="C797" s="40"/>
      <c r="D797" s="40"/>
    </row>
    <row r="798" spans="3:4" s="51" customFormat="1" ht="14.25">
      <c r="C798" s="40"/>
      <c r="D798" s="40"/>
    </row>
    <row r="799" spans="3:4" s="51" customFormat="1" ht="14.25">
      <c r="C799" s="40"/>
      <c r="D799" s="40"/>
    </row>
    <row r="800" spans="3:4" s="51" customFormat="1" ht="14.25">
      <c r="C800" s="40"/>
      <c r="D800" s="40"/>
    </row>
    <row r="801" spans="3:4" s="51" customFormat="1" ht="14.25">
      <c r="C801" s="40"/>
      <c r="D801" s="40"/>
    </row>
    <row r="802" spans="3:4" s="51" customFormat="1" ht="14.25">
      <c r="C802" s="40"/>
      <c r="D802" s="40"/>
    </row>
    <row r="803" spans="3:4" s="51" customFormat="1" ht="14.25">
      <c r="C803" s="40"/>
      <c r="D803" s="40"/>
    </row>
    <row r="804" spans="3:4" s="51" customFormat="1" ht="14.25">
      <c r="C804" s="40"/>
      <c r="D804" s="40"/>
    </row>
    <row r="805" spans="3:4" s="51" customFormat="1" ht="14.25">
      <c r="C805" s="40"/>
      <c r="D805" s="40"/>
    </row>
    <row r="806" spans="3:4" s="51" customFormat="1" ht="14.25">
      <c r="C806" s="40"/>
      <c r="D806" s="40"/>
    </row>
    <row r="807" spans="3:4" s="51" customFormat="1" ht="14.25">
      <c r="C807" s="40"/>
      <c r="D807" s="40"/>
    </row>
    <row r="808" spans="3:4" s="51" customFormat="1" ht="14.25">
      <c r="C808" s="40"/>
      <c r="D808" s="40"/>
    </row>
    <row r="809" spans="3:4" s="51" customFormat="1" ht="14.25">
      <c r="C809" s="40"/>
      <c r="D809" s="40"/>
    </row>
    <row r="810" spans="3:4" s="51" customFormat="1" ht="14.25">
      <c r="C810" s="40"/>
      <c r="D810" s="40"/>
    </row>
    <row r="811" spans="3:4" s="51" customFormat="1" ht="14.25">
      <c r="C811" s="40"/>
      <c r="D811" s="40"/>
    </row>
    <row r="812" spans="3:4" s="51" customFormat="1" ht="14.25">
      <c r="C812" s="40"/>
      <c r="D812" s="40"/>
    </row>
    <row r="813" spans="3:4" s="51" customFormat="1" ht="14.25">
      <c r="C813" s="40"/>
      <c r="D813" s="40"/>
    </row>
    <row r="814" spans="3:4" s="51" customFormat="1" ht="14.25">
      <c r="C814" s="40"/>
      <c r="D814" s="40"/>
    </row>
    <row r="815" spans="3:4" s="51" customFormat="1" ht="14.25">
      <c r="C815" s="40"/>
      <c r="D815" s="40"/>
    </row>
    <row r="816" spans="3:4" s="51" customFormat="1" ht="14.25">
      <c r="C816" s="40"/>
      <c r="D816" s="40"/>
    </row>
    <row r="817" spans="3:4" s="51" customFormat="1" ht="14.25">
      <c r="C817" s="40"/>
      <c r="D817" s="40"/>
    </row>
    <row r="818" spans="3:4" s="51" customFormat="1" ht="14.25">
      <c r="C818" s="40"/>
      <c r="D818" s="40"/>
    </row>
    <row r="819" spans="3:4" s="51" customFormat="1" ht="14.25">
      <c r="C819" s="40"/>
      <c r="D819" s="40"/>
    </row>
    <row r="820" spans="3:4" s="51" customFormat="1" ht="14.25">
      <c r="C820" s="40"/>
      <c r="D820" s="40"/>
    </row>
    <row r="821" spans="3:4" s="51" customFormat="1" ht="14.25">
      <c r="C821" s="40"/>
      <c r="D821" s="40"/>
    </row>
    <row r="822" spans="3:4" s="51" customFormat="1" ht="14.25">
      <c r="C822" s="40"/>
      <c r="D822" s="40"/>
    </row>
    <row r="823" spans="3:4" s="51" customFormat="1" ht="14.25">
      <c r="C823" s="40"/>
      <c r="D823" s="40"/>
    </row>
    <row r="824" spans="3:4" s="51" customFormat="1" ht="14.25">
      <c r="C824" s="40"/>
      <c r="D824" s="40"/>
    </row>
    <row r="825" spans="3:4" s="51" customFormat="1" ht="14.25">
      <c r="C825" s="40"/>
      <c r="D825" s="40"/>
    </row>
    <row r="826" spans="3:4" s="51" customFormat="1" ht="14.25">
      <c r="C826" s="40"/>
      <c r="D826" s="40"/>
    </row>
    <row r="827" spans="3:4" s="51" customFormat="1" ht="14.25">
      <c r="C827" s="40"/>
      <c r="D827" s="40"/>
    </row>
    <row r="828" spans="3:4" s="51" customFormat="1" ht="14.25">
      <c r="C828" s="40"/>
      <c r="D828" s="40"/>
    </row>
    <row r="829" spans="3:4" s="51" customFormat="1" ht="14.25">
      <c r="C829" s="40"/>
      <c r="D829" s="40"/>
    </row>
    <row r="830" spans="3:4" s="51" customFormat="1" ht="14.25">
      <c r="C830" s="40"/>
      <c r="D830" s="40"/>
    </row>
    <row r="831" spans="3:4" s="51" customFormat="1" ht="14.25">
      <c r="C831" s="40"/>
      <c r="D831" s="40"/>
    </row>
    <row r="832" spans="3:4" s="51" customFormat="1" ht="14.25">
      <c r="C832" s="40"/>
      <c r="D832" s="40"/>
    </row>
    <row r="833" spans="3:4" s="51" customFormat="1" ht="14.25">
      <c r="C833" s="40"/>
      <c r="D833" s="40"/>
    </row>
    <row r="834" spans="3:4" s="51" customFormat="1" ht="14.25">
      <c r="C834" s="40"/>
      <c r="D834" s="40"/>
    </row>
    <row r="835" spans="3:4" s="51" customFormat="1" ht="14.25">
      <c r="C835" s="40"/>
      <c r="D835" s="40"/>
    </row>
    <row r="836" spans="3:4" s="51" customFormat="1" ht="14.25">
      <c r="C836" s="40"/>
      <c r="D836" s="40"/>
    </row>
    <row r="837" spans="3:4" s="51" customFormat="1" ht="14.25">
      <c r="C837" s="40"/>
      <c r="D837" s="40"/>
    </row>
    <row r="838" spans="3:4" s="51" customFormat="1" ht="14.25">
      <c r="C838" s="40"/>
      <c r="D838" s="40"/>
    </row>
    <row r="839" spans="3:4" s="51" customFormat="1" ht="14.25">
      <c r="C839" s="40"/>
      <c r="D839" s="40"/>
    </row>
    <row r="840" spans="3:4" s="51" customFormat="1" ht="14.25">
      <c r="C840" s="40"/>
      <c r="D840" s="40"/>
    </row>
    <row r="841" spans="3:4" s="51" customFormat="1" ht="14.25">
      <c r="C841" s="40"/>
      <c r="D841" s="40"/>
    </row>
    <row r="842" spans="3:4" s="51" customFormat="1" ht="14.25">
      <c r="C842" s="40"/>
      <c r="D842" s="40"/>
    </row>
    <row r="843" spans="3:4" s="51" customFormat="1" ht="14.25">
      <c r="C843" s="40"/>
      <c r="D843" s="40"/>
    </row>
    <row r="844" spans="3:4" s="51" customFormat="1" ht="14.25">
      <c r="C844" s="40"/>
      <c r="D844" s="40"/>
    </row>
    <row r="845" spans="3:4" s="51" customFormat="1" ht="14.25">
      <c r="C845" s="40"/>
      <c r="D845" s="40"/>
    </row>
    <row r="846" spans="3:4" s="51" customFormat="1" ht="14.25">
      <c r="C846" s="40"/>
      <c r="D846" s="40"/>
    </row>
    <row r="847" spans="3:4" s="51" customFormat="1" ht="14.25">
      <c r="C847" s="40"/>
      <c r="D847" s="40"/>
    </row>
    <row r="848" spans="3:4" s="51" customFormat="1" ht="14.25">
      <c r="C848" s="40"/>
      <c r="D848" s="40"/>
    </row>
    <row r="849" spans="3:4" s="51" customFormat="1" ht="14.25">
      <c r="C849" s="40"/>
      <c r="D849" s="40"/>
    </row>
    <row r="850" spans="3:4" s="51" customFormat="1" ht="14.25">
      <c r="C850" s="40"/>
      <c r="D850" s="40"/>
    </row>
    <row r="851" spans="3:4" s="51" customFormat="1" ht="14.25">
      <c r="C851" s="40"/>
      <c r="D851" s="40"/>
    </row>
    <row r="852" spans="3:4" s="51" customFormat="1" ht="14.25">
      <c r="C852" s="40"/>
      <c r="D852" s="40"/>
    </row>
    <row r="853" spans="3:4" s="51" customFormat="1" ht="14.25">
      <c r="C853" s="40"/>
      <c r="D853" s="40"/>
    </row>
    <row r="854" spans="3:4" s="51" customFormat="1" ht="14.25">
      <c r="C854" s="40"/>
      <c r="D854" s="40"/>
    </row>
    <row r="855" spans="3:4" s="51" customFormat="1" ht="14.25">
      <c r="C855" s="40"/>
      <c r="D855" s="40"/>
    </row>
    <row r="856" spans="3:4" s="51" customFormat="1" ht="14.25">
      <c r="C856" s="40"/>
      <c r="D856" s="40"/>
    </row>
    <row r="857" spans="3:4" s="51" customFormat="1" ht="14.25">
      <c r="C857" s="40"/>
      <c r="D857" s="40"/>
    </row>
    <row r="858" spans="3:4" s="51" customFormat="1" ht="14.25">
      <c r="C858" s="40"/>
      <c r="D858" s="40"/>
    </row>
    <row r="859" spans="3:4" s="51" customFormat="1" ht="14.25">
      <c r="C859" s="40"/>
      <c r="D859" s="40"/>
    </row>
    <row r="860" spans="3:4" s="51" customFormat="1" ht="14.25">
      <c r="C860" s="40"/>
      <c r="D860" s="40"/>
    </row>
    <row r="861" spans="3:4" s="51" customFormat="1" ht="14.25">
      <c r="C861" s="40"/>
      <c r="D861" s="40"/>
    </row>
    <row r="862" spans="3:4" s="51" customFormat="1" ht="14.25">
      <c r="C862" s="40"/>
      <c r="D862" s="40"/>
    </row>
    <row r="863" spans="3:4" s="51" customFormat="1" ht="14.25">
      <c r="C863" s="40"/>
      <c r="D863" s="40"/>
    </row>
    <row r="864" spans="3:4" s="51" customFormat="1" ht="14.25">
      <c r="C864" s="40"/>
      <c r="D864" s="40"/>
    </row>
    <row r="865" spans="3:4" s="51" customFormat="1" ht="14.25">
      <c r="C865" s="40"/>
      <c r="D865" s="40"/>
    </row>
    <row r="866" spans="3:4" s="51" customFormat="1" ht="14.25">
      <c r="C866" s="40"/>
      <c r="D866" s="40"/>
    </row>
    <row r="867" spans="3:4" s="51" customFormat="1" ht="14.25">
      <c r="C867" s="40"/>
      <c r="D867" s="40"/>
    </row>
    <row r="868" spans="3:4" s="51" customFormat="1" ht="14.25">
      <c r="C868" s="40"/>
      <c r="D868" s="40"/>
    </row>
    <row r="869" spans="3:4" s="51" customFormat="1" ht="14.25">
      <c r="C869" s="40"/>
      <c r="D869" s="40"/>
    </row>
    <row r="870" spans="3:4" s="51" customFormat="1" ht="14.25">
      <c r="C870" s="40"/>
      <c r="D870" s="40"/>
    </row>
    <row r="871" spans="3:4" s="51" customFormat="1" ht="14.25">
      <c r="C871" s="40"/>
      <c r="D871" s="40"/>
    </row>
    <row r="872" spans="3:4" s="51" customFormat="1" ht="14.25">
      <c r="C872" s="40"/>
      <c r="D872" s="40"/>
    </row>
    <row r="873" spans="3:4" s="51" customFormat="1" ht="14.25">
      <c r="C873" s="40"/>
      <c r="D873" s="40"/>
    </row>
    <row r="874" spans="3:4" s="51" customFormat="1" ht="14.25">
      <c r="C874" s="40"/>
      <c r="D874" s="40"/>
    </row>
    <row r="875" spans="3:4" s="51" customFormat="1" ht="14.25">
      <c r="C875" s="40"/>
      <c r="D875" s="40"/>
    </row>
    <row r="876" spans="3:4" s="51" customFormat="1" ht="14.25">
      <c r="C876" s="40"/>
      <c r="D876" s="40"/>
    </row>
    <row r="877" spans="3:4" s="51" customFormat="1" ht="14.25">
      <c r="C877" s="40"/>
      <c r="D877" s="40"/>
    </row>
    <row r="878" spans="3:4" s="51" customFormat="1" ht="14.25">
      <c r="C878" s="40"/>
      <c r="D878" s="40"/>
    </row>
    <row r="879" spans="3:4" s="51" customFormat="1" ht="14.25">
      <c r="C879" s="40"/>
      <c r="D879" s="40"/>
    </row>
    <row r="880" spans="3:4" s="51" customFormat="1" ht="14.25">
      <c r="C880" s="40"/>
      <c r="D880" s="40"/>
    </row>
    <row r="881" spans="3:4" s="51" customFormat="1" ht="14.25">
      <c r="C881" s="40"/>
      <c r="D881" s="40"/>
    </row>
    <row r="882" spans="3:4" s="51" customFormat="1" ht="14.25">
      <c r="C882" s="40"/>
      <c r="D882" s="40"/>
    </row>
    <row r="883" spans="3:4" s="51" customFormat="1" ht="14.25">
      <c r="C883" s="40"/>
      <c r="D883" s="40"/>
    </row>
    <row r="884" spans="3:4" s="51" customFormat="1" ht="14.25">
      <c r="C884" s="40"/>
      <c r="D884" s="40"/>
    </row>
    <row r="885" spans="3:4" s="51" customFormat="1" ht="14.25">
      <c r="C885" s="40"/>
      <c r="D885" s="40"/>
    </row>
    <row r="886" spans="3:4" s="51" customFormat="1" ht="14.25">
      <c r="C886" s="40"/>
      <c r="D886" s="40"/>
    </row>
    <row r="887" spans="3:4" s="51" customFormat="1" ht="14.25">
      <c r="C887" s="40"/>
      <c r="D887" s="40"/>
    </row>
    <row r="888" spans="3:4" s="51" customFormat="1" ht="14.25">
      <c r="C888" s="40"/>
      <c r="D888" s="40"/>
    </row>
    <row r="889" spans="3:4" s="51" customFormat="1" ht="14.25">
      <c r="C889" s="40"/>
      <c r="D889" s="40"/>
    </row>
    <row r="890" spans="3:4" s="51" customFormat="1" ht="14.25">
      <c r="C890" s="40"/>
      <c r="D890" s="40"/>
    </row>
    <row r="891" spans="3:4" s="51" customFormat="1" ht="14.25">
      <c r="C891" s="40"/>
      <c r="D891" s="40"/>
    </row>
    <row r="892" spans="3:4" s="51" customFormat="1" ht="14.25">
      <c r="C892" s="40"/>
      <c r="D892" s="40"/>
    </row>
    <row r="893" spans="3:4" s="51" customFormat="1" ht="14.25">
      <c r="C893" s="40"/>
      <c r="D893" s="40"/>
    </row>
    <row r="894" spans="3:4" s="51" customFormat="1" ht="14.25">
      <c r="C894" s="40"/>
      <c r="D894" s="40"/>
    </row>
    <row r="895" spans="3:4" s="51" customFormat="1" ht="14.25">
      <c r="C895" s="40"/>
      <c r="D895" s="40"/>
    </row>
    <row r="896" spans="3:4" s="51" customFormat="1" ht="14.25">
      <c r="C896" s="40"/>
      <c r="D896" s="40"/>
    </row>
    <row r="897" spans="3:4" s="51" customFormat="1" ht="14.25">
      <c r="C897" s="40"/>
      <c r="D897" s="40"/>
    </row>
    <row r="898" spans="3:4" s="51" customFormat="1" ht="14.25">
      <c r="C898" s="40"/>
      <c r="D898" s="40"/>
    </row>
    <row r="899" spans="3:4" s="51" customFormat="1" ht="14.25">
      <c r="C899" s="40"/>
      <c r="D899" s="40"/>
    </row>
    <row r="900" spans="3:4" s="51" customFormat="1" ht="14.25">
      <c r="C900" s="40"/>
      <c r="D900" s="40"/>
    </row>
    <row r="901" spans="3:4" s="51" customFormat="1" ht="14.25">
      <c r="C901" s="40"/>
      <c r="D901" s="40"/>
    </row>
    <row r="902" spans="3:4" s="51" customFormat="1" ht="14.25">
      <c r="C902" s="40"/>
      <c r="D902" s="40"/>
    </row>
    <row r="903" spans="3:4" s="51" customFormat="1" ht="14.25">
      <c r="C903" s="40"/>
      <c r="D903" s="40"/>
    </row>
    <row r="904" spans="3:4" s="51" customFormat="1" ht="14.25">
      <c r="C904" s="40"/>
      <c r="D904" s="40"/>
    </row>
    <row r="905" spans="3:4" s="51" customFormat="1" ht="14.25">
      <c r="C905" s="40"/>
      <c r="D905" s="40"/>
    </row>
    <row r="906" spans="3:4" s="51" customFormat="1" ht="14.25">
      <c r="C906" s="40"/>
      <c r="D906" s="40"/>
    </row>
    <row r="907" spans="3:4" s="51" customFormat="1" ht="14.25">
      <c r="C907" s="40"/>
      <c r="D907" s="40"/>
    </row>
    <row r="908" spans="3:4" s="51" customFormat="1" ht="14.25">
      <c r="C908" s="40"/>
      <c r="D908" s="40"/>
    </row>
    <row r="909" spans="3:4" s="51" customFormat="1" ht="14.25">
      <c r="C909" s="40"/>
      <c r="D909" s="40"/>
    </row>
    <row r="910" spans="3:4" s="51" customFormat="1" ht="14.25">
      <c r="C910" s="40"/>
      <c r="D910" s="40"/>
    </row>
    <row r="911" spans="3:4" s="51" customFormat="1" ht="14.25">
      <c r="C911" s="40"/>
      <c r="D911" s="40"/>
    </row>
    <row r="912" spans="3:4" s="51" customFormat="1" ht="14.25">
      <c r="C912" s="40"/>
      <c r="D912" s="40"/>
    </row>
    <row r="913" spans="3:4" s="51" customFormat="1" ht="14.25">
      <c r="C913" s="40"/>
      <c r="D913" s="40"/>
    </row>
    <row r="914" spans="3:4" s="51" customFormat="1" ht="14.25">
      <c r="C914" s="40"/>
      <c r="D914" s="40"/>
    </row>
    <row r="915" spans="3:4" s="51" customFormat="1" ht="14.25">
      <c r="C915" s="40"/>
      <c r="D915" s="40"/>
    </row>
    <row r="916" spans="3:4" s="51" customFormat="1" ht="14.25">
      <c r="C916" s="40"/>
      <c r="D916" s="40"/>
    </row>
    <row r="917" spans="3:4" s="51" customFormat="1" ht="14.25">
      <c r="C917" s="40"/>
      <c r="D917" s="40"/>
    </row>
    <row r="918" spans="3:4" s="51" customFormat="1" ht="14.25">
      <c r="C918" s="40"/>
      <c r="D918" s="40"/>
    </row>
    <row r="919" spans="3:4" s="51" customFormat="1" ht="14.25">
      <c r="C919" s="40"/>
      <c r="D919" s="40"/>
    </row>
    <row r="920" spans="3:4" s="51" customFormat="1" ht="14.25">
      <c r="C920" s="40"/>
      <c r="D920" s="40"/>
    </row>
    <row r="921" spans="3:4" s="51" customFormat="1" ht="14.25">
      <c r="C921" s="40"/>
      <c r="D921" s="40"/>
    </row>
    <row r="922" spans="3:4" s="51" customFormat="1" ht="14.25">
      <c r="C922" s="40"/>
      <c r="D922" s="40"/>
    </row>
    <row r="923" spans="3:4" s="51" customFormat="1" ht="14.25">
      <c r="C923" s="40"/>
      <c r="D923" s="40"/>
    </row>
    <row r="924" spans="3:4" s="51" customFormat="1" ht="14.25">
      <c r="C924" s="40"/>
      <c r="D924" s="40"/>
    </row>
    <row r="925" spans="3:4" s="51" customFormat="1" ht="14.25">
      <c r="C925" s="40"/>
      <c r="D925" s="40"/>
    </row>
    <row r="926" spans="3:4" s="51" customFormat="1" ht="14.25">
      <c r="C926" s="40"/>
      <c r="D926" s="40"/>
    </row>
    <row r="927" spans="3:4" s="51" customFormat="1" ht="14.25">
      <c r="C927" s="40"/>
      <c r="D927" s="40"/>
    </row>
    <row r="928" spans="3:4" s="51" customFormat="1" ht="14.25">
      <c r="C928" s="40"/>
      <c r="D928" s="40"/>
    </row>
    <row r="929" spans="3:4" s="51" customFormat="1" ht="14.25">
      <c r="C929" s="40"/>
      <c r="D929" s="40"/>
    </row>
    <row r="930" spans="3:4" s="51" customFormat="1" ht="14.25">
      <c r="C930" s="40"/>
      <c r="D930" s="40"/>
    </row>
    <row r="931" spans="3:4" s="51" customFormat="1" ht="14.25">
      <c r="C931" s="40"/>
      <c r="D931" s="40"/>
    </row>
    <row r="932" spans="3:4" s="51" customFormat="1" ht="14.25">
      <c r="C932" s="40"/>
      <c r="D932" s="40"/>
    </row>
    <row r="933" spans="3:4" s="51" customFormat="1" ht="14.25">
      <c r="C933" s="40"/>
      <c r="D933" s="40"/>
    </row>
    <row r="934" spans="3:4" s="51" customFormat="1" ht="14.25">
      <c r="C934" s="40"/>
      <c r="D934" s="40"/>
    </row>
    <row r="935" spans="3:4" s="51" customFormat="1" ht="14.25">
      <c r="C935" s="40"/>
      <c r="D935" s="40"/>
    </row>
    <row r="936" spans="3:4" s="51" customFormat="1" ht="14.25">
      <c r="C936" s="40"/>
      <c r="D936" s="40"/>
    </row>
    <row r="937" spans="3:4" s="51" customFormat="1" ht="14.25">
      <c r="C937" s="40"/>
      <c r="D937" s="40"/>
    </row>
    <row r="938" spans="3:4" s="51" customFormat="1" ht="14.25">
      <c r="C938" s="40"/>
      <c r="D938" s="40"/>
    </row>
    <row r="939" spans="3:4" s="51" customFormat="1" ht="14.25">
      <c r="C939" s="40"/>
      <c r="D939" s="40"/>
    </row>
    <row r="940" spans="3:4" s="51" customFormat="1" ht="14.25">
      <c r="C940" s="40"/>
      <c r="D940" s="40"/>
    </row>
    <row r="941" spans="3:4" s="51" customFormat="1" ht="14.25">
      <c r="C941" s="40"/>
      <c r="D941" s="40"/>
    </row>
    <row r="942" spans="3:4" s="51" customFormat="1" ht="14.25">
      <c r="C942" s="40"/>
      <c r="D942" s="40"/>
    </row>
    <row r="943" spans="3:4" s="51" customFormat="1" ht="14.25">
      <c r="C943" s="40"/>
      <c r="D943" s="40"/>
    </row>
    <row r="944" spans="3:4" s="51" customFormat="1" ht="14.25">
      <c r="C944" s="40"/>
      <c r="D944" s="40"/>
    </row>
    <row r="945" spans="3:4" s="51" customFormat="1" ht="14.25">
      <c r="C945" s="40"/>
      <c r="D945" s="40"/>
    </row>
    <row r="946" spans="3:4" s="51" customFormat="1" ht="14.25">
      <c r="C946" s="40"/>
      <c r="D946" s="40"/>
    </row>
    <row r="947" spans="3:4" s="51" customFormat="1" ht="14.25">
      <c r="C947" s="40"/>
      <c r="D947" s="40"/>
    </row>
    <row r="948" spans="3:4" s="51" customFormat="1" ht="14.25">
      <c r="C948" s="40"/>
      <c r="D948" s="40"/>
    </row>
    <row r="949" spans="3:4" s="51" customFormat="1" ht="14.25">
      <c r="C949" s="40"/>
      <c r="D949" s="40"/>
    </row>
    <row r="950" spans="3:4" s="51" customFormat="1" ht="14.25">
      <c r="C950" s="40"/>
      <c r="D950" s="40"/>
    </row>
    <row r="951" spans="3:4" s="51" customFormat="1" ht="14.25">
      <c r="C951" s="40"/>
      <c r="D951" s="40"/>
    </row>
    <row r="952" spans="3:4" s="51" customFormat="1" ht="14.25">
      <c r="C952" s="40"/>
      <c r="D952" s="40"/>
    </row>
    <row r="953" spans="3:4" s="51" customFormat="1" ht="14.25">
      <c r="C953" s="40"/>
      <c r="D953" s="40"/>
    </row>
    <row r="954" spans="3:4" s="51" customFormat="1" ht="14.25">
      <c r="C954" s="40"/>
      <c r="D954" s="40"/>
    </row>
    <row r="955" spans="3:4" s="51" customFormat="1" ht="14.25">
      <c r="C955" s="40"/>
      <c r="D955" s="40"/>
    </row>
    <row r="956" spans="3:4" s="51" customFormat="1" ht="14.25">
      <c r="C956" s="40"/>
      <c r="D956" s="40"/>
    </row>
    <row r="957" spans="3:4" s="51" customFormat="1" ht="14.25">
      <c r="C957" s="40"/>
      <c r="D957" s="40"/>
    </row>
    <row r="958" spans="3:4" s="51" customFormat="1" ht="14.25">
      <c r="C958" s="40"/>
      <c r="D958" s="40"/>
    </row>
    <row r="959" spans="3:4" s="51" customFormat="1" ht="14.25">
      <c r="C959" s="40"/>
      <c r="D959" s="40"/>
    </row>
    <row r="960" spans="3:4" s="51" customFormat="1" ht="14.25">
      <c r="C960" s="40"/>
      <c r="D960" s="40"/>
    </row>
    <row r="961" spans="3:4" s="51" customFormat="1" ht="14.25">
      <c r="C961" s="40"/>
      <c r="D961" s="40"/>
    </row>
    <row r="962" spans="3:4" s="51" customFormat="1" ht="14.25">
      <c r="C962" s="40"/>
      <c r="D962" s="40"/>
    </row>
    <row r="963" spans="3:4" s="51" customFormat="1" ht="14.25">
      <c r="C963" s="40"/>
      <c r="D963" s="40"/>
    </row>
    <row r="964" spans="3:4" s="51" customFormat="1" ht="14.25">
      <c r="C964" s="40"/>
      <c r="D964" s="40"/>
    </row>
    <row r="965" spans="3:4" s="51" customFormat="1" ht="14.25">
      <c r="C965" s="40"/>
      <c r="D965" s="40"/>
    </row>
    <row r="966" spans="3:4" s="51" customFormat="1" ht="14.25">
      <c r="C966" s="40"/>
      <c r="D966" s="40"/>
    </row>
    <row r="967" spans="3:4" s="51" customFormat="1" ht="14.25">
      <c r="C967" s="40"/>
      <c r="D967" s="40"/>
    </row>
    <row r="968" spans="3:4" s="51" customFormat="1" ht="14.25">
      <c r="C968" s="40"/>
      <c r="D968" s="40"/>
    </row>
    <row r="969" spans="3:4" s="51" customFormat="1" ht="14.25">
      <c r="C969" s="40"/>
      <c r="D969" s="40"/>
    </row>
    <row r="970" spans="3:4" s="51" customFormat="1" ht="14.25">
      <c r="C970" s="40"/>
      <c r="D970" s="40"/>
    </row>
    <row r="971" spans="3:4" s="51" customFormat="1" ht="14.25">
      <c r="C971" s="40"/>
      <c r="D971" s="40"/>
    </row>
    <row r="972" spans="3:4" s="51" customFormat="1" ht="14.25">
      <c r="C972" s="40"/>
      <c r="D972" s="40"/>
    </row>
    <row r="973" spans="3:4" s="51" customFormat="1" ht="14.25">
      <c r="C973" s="40"/>
      <c r="D973" s="40"/>
    </row>
    <row r="974" spans="3:4" s="51" customFormat="1" ht="14.25">
      <c r="C974" s="40"/>
      <c r="D974" s="40"/>
    </row>
    <row r="975" spans="3:4" s="51" customFormat="1" ht="14.25">
      <c r="C975" s="40"/>
      <c r="D975" s="40"/>
    </row>
    <row r="976" spans="3:4" s="51" customFormat="1" ht="14.25">
      <c r="C976" s="40"/>
      <c r="D976" s="40"/>
    </row>
    <row r="977" spans="3:4" s="51" customFormat="1" ht="14.25">
      <c r="C977" s="40"/>
      <c r="D977" s="40"/>
    </row>
    <row r="978" spans="3:4" s="51" customFormat="1" ht="14.25">
      <c r="C978" s="40"/>
      <c r="D978" s="40"/>
    </row>
    <row r="979" spans="3:4" s="51" customFormat="1" ht="14.25">
      <c r="C979" s="40"/>
      <c r="D979" s="40"/>
    </row>
    <row r="980" spans="3:4" s="51" customFormat="1" ht="14.25">
      <c r="C980" s="40"/>
      <c r="D980" s="40"/>
    </row>
    <row r="981" spans="3:4" s="51" customFormat="1" ht="14.25">
      <c r="C981" s="40"/>
      <c r="D981" s="40"/>
    </row>
    <row r="982" spans="3:4" s="51" customFormat="1" ht="14.25">
      <c r="C982" s="40"/>
      <c r="D982" s="40"/>
    </row>
    <row r="983" spans="3:4" s="51" customFormat="1" ht="14.25">
      <c r="C983" s="40"/>
      <c r="D983" s="40"/>
    </row>
    <row r="984" spans="3:4" s="51" customFormat="1" ht="14.25">
      <c r="C984" s="40"/>
      <c r="D984" s="40"/>
    </row>
    <row r="985" spans="3:4" s="51" customFormat="1" ht="14.25">
      <c r="C985" s="40"/>
      <c r="D985" s="40"/>
    </row>
    <row r="986" spans="3:4" s="51" customFormat="1" ht="14.25">
      <c r="C986" s="40"/>
      <c r="D986" s="40"/>
    </row>
    <row r="987" spans="3:4" s="51" customFormat="1" ht="14.25">
      <c r="C987" s="40"/>
      <c r="D987" s="40"/>
    </row>
    <row r="988" spans="3:4" s="51" customFormat="1" ht="14.25">
      <c r="C988" s="40"/>
      <c r="D988" s="40"/>
    </row>
    <row r="989" spans="3:4" s="51" customFormat="1" ht="14.25">
      <c r="C989" s="40"/>
      <c r="D989" s="40"/>
    </row>
    <row r="990" spans="3:4" s="51" customFormat="1" ht="14.25">
      <c r="C990" s="40"/>
      <c r="D990" s="40"/>
    </row>
    <row r="991" spans="3:4" s="51" customFormat="1" ht="14.25">
      <c r="C991" s="40"/>
      <c r="D991" s="40"/>
    </row>
    <row r="992" spans="3:4" s="51" customFormat="1" ht="14.25">
      <c r="C992" s="40"/>
      <c r="D992" s="40"/>
    </row>
    <row r="993" spans="3:4" s="51" customFormat="1" ht="14.25">
      <c r="C993" s="40"/>
      <c r="D993" s="40"/>
    </row>
    <row r="994" spans="3:4" s="51" customFormat="1" ht="14.25">
      <c r="C994" s="40"/>
      <c r="D994" s="40"/>
    </row>
    <row r="995" spans="3:4" s="51" customFormat="1" ht="14.25">
      <c r="C995" s="40"/>
      <c r="D995" s="40"/>
    </row>
    <row r="996" spans="3:4" s="51" customFormat="1" ht="14.25">
      <c r="C996" s="40"/>
      <c r="D996" s="40"/>
    </row>
    <row r="997" spans="3:4" s="51" customFormat="1" ht="14.25">
      <c r="C997" s="40"/>
      <c r="D997" s="40"/>
    </row>
    <row r="998" spans="3:4" s="51" customFormat="1" ht="14.25">
      <c r="C998" s="40"/>
      <c r="D998" s="40"/>
    </row>
    <row r="999" spans="3:4" s="51" customFormat="1" ht="14.25">
      <c r="C999" s="40"/>
      <c r="D999" s="40"/>
    </row>
    <row r="1000" spans="3:4" s="51" customFormat="1" ht="14.25">
      <c r="C1000" s="40"/>
      <c r="D1000" s="40"/>
    </row>
    <row r="1001" spans="3:4" s="51" customFormat="1" ht="14.25">
      <c r="C1001" s="40"/>
      <c r="D1001" s="40"/>
    </row>
    <row r="1002" spans="3:4" s="51" customFormat="1" ht="14.25">
      <c r="C1002" s="40"/>
      <c r="D1002" s="40"/>
    </row>
    <row r="1003" spans="3:4" s="51" customFormat="1" ht="14.25">
      <c r="C1003" s="40"/>
      <c r="D1003" s="40"/>
    </row>
    <row r="1004" spans="3:4" s="51" customFormat="1" ht="14.25">
      <c r="C1004" s="40"/>
      <c r="D1004" s="40"/>
    </row>
    <row r="1005" spans="3:4" s="51" customFormat="1" ht="14.25">
      <c r="C1005" s="40"/>
      <c r="D1005" s="40"/>
    </row>
    <row r="1006" spans="3:4" s="51" customFormat="1" ht="14.25">
      <c r="C1006" s="40"/>
      <c r="D1006" s="40"/>
    </row>
    <row r="1007" spans="3:4" s="51" customFormat="1" ht="14.25">
      <c r="C1007" s="40"/>
      <c r="D1007" s="40"/>
    </row>
    <row r="1008" spans="3:4" s="51" customFormat="1" ht="14.25">
      <c r="C1008" s="40"/>
      <c r="D1008" s="40"/>
    </row>
    <row r="1009" spans="3:4" s="51" customFormat="1" ht="14.25">
      <c r="C1009" s="40"/>
      <c r="D1009" s="40"/>
    </row>
    <row r="1010" spans="3:4" s="51" customFormat="1" ht="14.25">
      <c r="C1010" s="40"/>
      <c r="D1010" s="40"/>
    </row>
    <row r="1011" spans="3:4" s="51" customFormat="1" ht="14.25">
      <c r="C1011" s="40"/>
      <c r="D1011" s="40"/>
    </row>
    <row r="1012" spans="3:4" s="51" customFormat="1" ht="14.25">
      <c r="C1012" s="40"/>
      <c r="D1012" s="40"/>
    </row>
    <row r="1013" spans="3:4" s="51" customFormat="1" ht="14.25">
      <c r="C1013" s="40"/>
      <c r="D1013" s="40"/>
    </row>
    <row r="1014" spans="3:4" s="51" customFormat="1" ht="14.25">
      <c r="C1014" s="40"/>
      <c r="D1014" s="40"/>
    </row>
    <row r="1015" spans="3:4" s="51" customFormat="1" ht="14.25">
      <c r="C1015" s="40"/>
      <c r="D1015" s="40"/>
    </row>
    <row r="1016" spans="3:4" s="51" customFormat="1" ht="14.25">
      <c r="C1016" s="40"/>
      <c r="D1016" s="40"/>
    </row>
    <row r="1017" spans="3:4" s="51" customFormat="1" ht="14.25">
      <c r="C1017" s="40"/>
      <c r="D1017" s="40"/>
    </row>
    <row r="1018" spans="3:4" s="51" customFormat="1" ht="14.25">
      <c r="C1018" s="40"/>
      <c r="D1018" s="40"/>
    </row>
    <row r="1019" spans="3:4" s="51" customFormat="1" ht="14.25">
      <c r="C1019" s="40"/>
      <c r="D1019" s="40"/>
    </row>
    <row r="1020" spans="3:4" s="51" customFormat="1" ht="14.25">
      <c r="C1020" s="40"/>
      <c r="D1020" s="40"/>
    </row>
  </sheetData>
  <mergeCells count="11">
    <mergeCell ref="A1:M1"/>
    <mergeCell ref="A2:M2"/>
    <mergeCell ref="A3:A4"/>
    <mergeCell ref="B3:B4"/>
    <mergeCell ref="C3:C4"/>
    <mergeCell ref="D3:D4"/>
    <mergeCell ref="E3:F3"/>
    <mergeCell ref="G3:H3"/>
    <mergeCell ref="I3:J3"/>
    <mergeCell ref="K3:L3"/>
    <mergeCell ref="M3:M4"/>
  </mergeCells>
  <phoneticPr fontId="14" type="noConversion"/>
  <printOptions horizontalCentered="1" verticalCentered="1"/>
  <pageMargins left="0.15763888888888899" right="0.15763888888888899" top="0.23611111111111099" bottom="0.39374999999999999" header="0.511811023622047" footer="0.511811023622047"/>
  <pageSetup paperSize="9" scale="6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O26"/>
  <sheetViews>
    <sheetView view="pageBreakPreview" topLeftCell="A22" zoomScale="85" zoomScaleNormal="80" zoomScalePageLayoutView="85" workbookViewId="0">
      <selection activeCell="I20" sqref="I20"/>
    </sheetView>
  </sheetViews>
  <sheetFormatPr defaultColWidth="8.88671875" defaultRowHeight="16.5"/>
  <cols>
    <col min="1" max="1" width="35.109375" style="52" customWidth="1"/>
    <col min="2" max="2" width="18.6640625" style="52" customWidth="1"/>
    <col min="3" max="3" width="5.6640625" style="53" customWidth="1"/>
    <col min="4" max="4" width="5.6640625" style="52" customWidth="1"/>
    <col min="5" max="5" width="13" style="52" customWidth="1"/>
    <col min="6" max="6" width="15.77734375" style="54" customWidth="1"/>
    <col min="7" max="7" width="13" style="54" customWidth="1"/>
    <col min="8" max="8" width="15.77734375" style="54" customWidth="1"/>
    <col min="9" max="9" width="13" style="54" customWidth="1"/>
    <col min="10" max="10" width="15.77734375" style="54" customWidth="1"/>
    <col min="11" max="11" width="13" style="52" customWidth="1"/>
    <col min="12" max="12" width="15.77734375" style="52" customWidth="1"/>
    <col min="13" max="13" width="11.109375" style="52" customWidth="1"/>
    <col min="14" max="14" width="13" style="52" hidden="1" customWidth="1"/>
    <col min="15" max="15" width="12.77734375" style="52" customWidth="1"/>
    <col min="16" max="256" width="8.88671875" style="52"/>
    <col min="257" max="257" width="35.109375" style="52" customWidth="1"/>
    <col min="258" max="258" width="10.33203125" style="52" customWidth="1"/>
    <col min="259" max="260" width="4.109375" style="52" customWidth="1"/>
    <col min="261" max="268" width="13" style="52" customWidth="1"/>
    <col min="269" max="269" width="11.109375" style="52" customWidth="1"/>
    <col min="270" max="512" width="8.88671875" style="52"/>
    <col min="513" max="513" width="35.109375" style="52" customWidth="1"/>
    <col min="514" max="514" width="10.33203125" style="52" customWidth="1"/>
    <col min="515" max="516" width="4.109375" style="52" customWidth="1"/>
    <col min="517" max="524" width="13" style="52" customWidth="1"/>
    <col min="525" max="525" width="11.109375" style="52" customWidth="1"/>
    <col min="526" max="768" width="8.88671875" style="52"/>
    <col min="769" max="769" width="35.109375" style="52" customWidth="1"/>
    <col min="770" max="770" width="10.33203125" style="52" customWidth="1"/>
    <col min="771" max="772" width="4.109375" style="52" customWidth="1"/>
    <col min="773" max="780" width="13" style="52" customWidth="1"/>
    <col min="781" max="781" width="11.109375" style="52" customWidth="1"/>
    <col min="782" max="1024" width="8.88671875" style="52"/>
    <col min="1025" max="1025" width="35.109375" style="52" customWidth="1"/>
    <col min="1026" max="1026" width="10.33203125" style="52" customWidth="1"/>
    <col min="1027" max="1028" width="4.109375" style="52" customWidth="1"/>
    <col min="1029" max="1036" width="13" style="52" customWidth="1"/>
    <col min="1037" max="1037" width="11.109375" style="52" customWidth="1"/>
    <col min="1038" max="1280" width="8.88671875" style="52"/>
    <col min="1281" max="1281" width="35.109375" style="52" customWidth="1"/>
    <col min="1282" max="1282" width="10.33203125" style="52" customWidth="1"/>
    <col min="1283" max="1284" width="4.109375" style="52" customWidth="1"/>
    <col min="1285" max="1292" width="13" style="52" customWidth="1"/>
    <col min="1293" max="1293" width="11.109375" style="52" customWidth="1"/>
    <col min="1294" max="1536" width="8.88671875" style="52"/>
    <col min="1537" max="1537" width="35.109375" style="52" customWidth="1"/>
    <col min="1538" max="1538" width="10.33203125" style="52" customWidth="1"/>
    <col min="1539" max="1540" width="4.109375" style="52" customWidth="1"/>
    <col min="1541" max="1548" width="13" style="52" customWidth="1"/>
    <col min="1549" max="1549" width="11.109375" style="52" customWidth="1"/>
    <col min="1550" max="1792" width="8.88671875" style="52"/>
    <col min="1793" max="1793" width="35.109375" style="52" customWidth="1"/>
    <col min="1794" max="1794" width="10.33203125" style="52" customWidth="1"/>
    <col min="1795" max="1796" width="4.109375" style="52" customWidth="1"/>
    <col min="1797" max="1804" width="13" style="52" customWidth="1"/>
    <col min="1805" max="1805" width="11.109375" style="52" customWidth="1"/>
    <col min="1806" max="2048" width="8.88671875" style="52"/>
    <col min="2049" max="2049" width="35.109375" style="52" customWidth="1"/>
    <col min="2050" max="2050" width="10.33203125" style="52" customWidth="1"/>
    <col min="2051" max="2052" width="4.109375" style="52" customWidth="1"/>
    <col min="2053" max="2060" width="13" style="52" customWidth="1"/>
    <col min="2061" max="2061" width="11.109375" style="52" customWidth="1"/>
    <col min="2062" max="2304" width="8.88671875" style="52"/>
    <col min="2305" max="2305" width="35.109375" style="52" customWidth="1"/>
    <col min="2306" max="2306" width="10.33203125" style="52" customWidth="1"/>
    <col min="2307" max="2308" width="4.109375" style="52" customWidth="1"/>
    <col min="2309" max="2316" width="13" style="52" customWidth="1"/>
    <col min="2317" max="2317" width="11.109375" style="52" customWidth="1"/>
    <col min="2318" max="2560" width="8.88671875" style="52"/>
    <col min="2561" max="2561" width="35.109375" style="52" customWidth="1"/>
    <col min="2562" max="2562" width="10.33203125" style="52" customWidth="1"/>
    <col min="2563" max="2564" width="4.109375" style="52" customWidth="1"/>
    <col min="2565" max="2572" width="13" style="52" customWidth="1"/>
    <col min="2573" max="2573" width="11.109375" style="52" customWidth="1"/>
    <col min="2574" max="2816" width="8.88671875" style="52"/>
    <col min="2817" max="2817" width="35.109375" style="52" customWidth="1"/>
    <col min="2818" max="2818" width="10.33203125" style="52" customWidth="1"/>
    <col min="2819" max="2820" width="4.109375" style="52" customWidth="1"/>
    <col min="2821" max="2828" width="13" style="52" customWidth="1"/>
    <col min="2829" max="2829" width="11.109375" style="52" customWidth="1"/>
    <col min="2830" max="3072" width="8.88671875" style="52"/>
    <col min="3073" max="3073" width="35.109375" style="52" customWidth="1"/>
    <col min="3074" max="3074" width="10.33203125" style="52" customWidth="1"/>
    <col min="3075" max="3076" width="4.109375" style="52" customWidth="1"/>
    <col min="3077" max="3084" width="13" style="52" customWidth="1"/>
    <col min="3085" max="3085" width="11.109375" style="52" customWidth="1"/>
    <col min="3086" max="3328" width="8.88671875" style="52"/>
    <col min="3329" max="3329" width="35.109375" style="52" customWidth="1"/>
    <col min="3330" max="3330" width="10.33203125" style="52" customWidth="1"/>
    <col min="3331" max="3332" width="4.109375" style="52" customWidth="1"/>
    <col min="3333" max="3340" width="13" style="52" customWidth="1"/>
    <col min="3341" max="3341" width="11.109375" style="52" customWidth="1"/>
    <col min="3342" max="3584" width="8.88671875" style="52"/>
    <col min="3585" max="3585" width="35.109375" style="52" customWidth="1"/>
    <col min="3586" max="3586" width="10.33203125" style="52" customWidth="1"/>
    <col min="3587" max="3588" width="4.109375" style="52" customWidth="1"/>
    <col min="3589" max="3596" width="13" style="52" customWidth="1"/>
    <col min="3597" max="3597" width="11.109375" style="52" customWidth="1"/>
    <col min="3598" max="3840" width="8.88671875" style="52"/>
    <col min="3841" max="3841" width="35.109375" style="52" customWidth="1"/>
    <col min="3842" max="3842" width="10.33203125" style="52" customWidth="1"/>
    <col min="3843" max="3844" width="4.109375" style="52" customWidth="1"/>
    <col min="3845" max="3852" width="13" style="52" customWidth="1"/>
    <col min="3853" max="3853" width="11.109375" style="52" customWidth="1"/>
    <col min="3854" max="4096" width="8.88671875" style="52"/>
    <col min="4097" max="4097" width="35.109375" style="52" customWidth="1"/>
    <col min="4098" max="4098" width="10.33203125" style="52" customWidth="1"/>
    <col min="4099" max="4100" width="4.109375" style="52" customWidth="1"/>
    <col min="4101" max="4108" width="13" style="52" customWidth="1"/>
    <col min="4109" max="4109" width="11.109375" style="52" customWidth="1"/>
    <col min="4110" max="4352" width="8.88671875" style="52"/>
    <col min="4353" max="4353" width="35.109375" style="52" customWidth="1"/>
    <col min="4354" max="4354" width="10.33203125" style="52" customWidth="1"/>
    <col min="4355" max="4356" width="4.109375" style="52" customWidth="1"/>
    <col min="4357" max="4364" width="13" style="52" customWidth="1"/>
    <col min="4365" max="4365" width="11.109375" style="52" customWidth="1"/>
    <col min="4366" max="4608" width="8.88671875" style="52"/>
    <col min="4609" max="4609" width="35.109375" style="52" customWidth="1"/>
    <col min="4610" max="4610" width="10.33203125" style="52" customWidth="1"/>
    <col min="4611" max="4612" width="4.109375" style="52" customWidth="1"/>
    <col min="4613" max="4620" width="13" style="52" customWidth="1"/>
    <col min="4621" max="4621" width="11.109375" style="52" customWidth="1"/>
    <col min="4622" max="4864" width="8.88671875" style="52"/>
    <col min="4865" max="4865" width="35.109375" style="52" customWidth="1"/>
    <col min="4866" max="4866" width="10.33203125" style="52" customWidth="1"/>
    <col min="4867" max="4868" width="4.109375" style="52" customWidth="1"/>
    <col min="4869" max="4876" width="13" style="52" customWidth="1"/>
    <col min="4877" max="4877" width="11.109375" style="52" customWidth="1"/>
    <col min="4878" max="5120" width="8.88671875" style="52"/>
    <col min="5121" max="5121" width="35.109375" style="52" customWidth="1"/>
    <col min="5122" max="5122" width="10.33203125" style="52" customWidth="1"/>
    <col min="5123" max="5124" width="4.109375" style="52" customWidth="1"/>
    <col min="5125" max="5132" width="13" style="52" customWidth="1"/>
    <col min="5133" max="5133" width="11.109375" style="52" customWidth="1"/>
    <col min="5134" max="5376" width="8.88671875" style="52"/>
    <col min="5377" max="5377" width="35.109375" style="52" customWidth="1"/>
    <col min="5378" max="5378" width="10.33203125" style="52" customWidth="1"/>
    <col min="5379" max="5380" width="4.109375" style="52" customWidth="1"/>
    <col min="5381" max="5388" width="13" style="52" customWidth="1"/>
    <col min="5389" max="5389" width="11.109375" style="52" customWidth="1"/>
    <col min="5390" max="5632" width="8.88671875" style="52"/>
    <col min="5633" max="5633" width="35.109375" style="52" customWidth="1"/>
    <col min="5634" max="5634" width="10.33203125" style="52" customWidth="1"/>
    <col min="5635" max="5636" width="4.109375" style="52" customWidth="1"/>
    <col min="5637" max="5644" width="13" style="52" customWidth="1"/>
    <col min="5645" max="5645" width="11.109375" style="52" customWidth="1"/>
    <col min="5646" max="5888" width="8.88671875" style="52"/>
    <col min="5889" max="5889" width="35.109375" style="52" customWidth="1"/>
    <col min="5890" max="5890" width="10.33203125" style="52" customWidth="1"/>
    <col min="5891" max="5892" width="4.109375" style="52" customWidth="1"/>
    <col min="5893" max="5900" width="13" style="52" customWidth="1"/>
    <col min="5901" max="5901" width="11.109375" style="52" customWidth="1"/>
    <col min="5902" max="6144" width="8.88671875" style="52"/>
    <col min="6145" max="6145" width="35.109375" style="52" customWidth="1"/>
    <col min="6146" max="6146" width="10.33203125" style="52" customWidth="1"/>
    <col min="6147" max="6148" width="4.109375" style="52" customWidth="1"/>
    <col min="6149" max="6156" width="13" style="52" customWidth="1"/>
    <col min="6157" max="6157" width="11.109375" style="52" customWidth="1"/>
    <col min="6158" max="6400" width="8.88671875" style="52"/>
    <col min="6401" max="6401" width="35.109375" style="52" customWidth="1"/>
    <col min="6402" max="6402" width="10.33203125" style="52" customWidth="1"/>
    <col min="6403" max="6404" width="4.109375" style="52" customWidth="1"/>
    <col min="6405" max="6412" width="13" style="52" customWidth="1"/>
    <col min="6413" max="6413" width="11.109375" style="52" customWidth="1"/>
    <col min="6414" max="6656" width="8.88671875" style="52"/>
    <col min="6657" max="6657" width="35.109375" style="52" customWidth="1"/>
    <col min="6658" max="6658" width="10.33203125" style="52" customWidth="1"/>
    <col min="6659" max="6660" width="4.109375" style="52" customWidth="1"/>
    <col min="6661" max="6668" width="13" style="52" customWidth="1"/>
    <col min="6669" max="6669" width="11.109375" style="52" customWidth="1"/>
    <col min="6670" max="6912" width="8.88671875" style="52"/>
    <col min="6913" max="6913" width="35.109375" style="52" customWidth="1"/>
    <col min="6914" max="6914" width="10.33203125" style="52" customWidth="1"/>
    <col min="6915" max="6916" width="4.109375" style="52" customWidth="1"/>
    <col min="6917" max="6924" width="13" style="52" customWidth="1"/>
    <col min="6925" max="6925" width="11.109375" style="52" customWidth="1"/>
    <col min="6926" max="7168" width="8.88671875" style="52"/>
    <col min="7169" max="7169" width="35.109375" style="52" customWidth="1"/>
    <col min="7170" max="7170" width="10.33203125" style="52" customWidth="1"/>
    <col min="7171" max="7172" width="4.109375" style="52" customWidth="1"/>
    <col min="7173" max="7180" width="13" style="52" customWidth="1"/>
    <col min="7181" max="7181" width="11.109375" style="52" customWidth="1"/>
    <col min="7182" max="7424" width="8.88671875" style="52"/>
    <col min="7425" max="7425" width="35.109375" style="52" customWidth="1"/>
    <col min="7426" max="7426" width="10.33203125" style="52" customWidth="1"/>
    <col min="7427" max="7428" width="4.109375" style="52" customWidth="1"/>
    <col min="7429" max="7436" width="13" style="52" customWidth="1"/>
    <col min="7437" max="7437" width="11.109375" style="52" customWidth="1"/>
    <col min="7438" max="7680" width="8.88671875" style="52"/>
    <col min="7681" max="7681" width="35.109375" style="52" customWidth="1"/>
    <col min="7682" max="7682" width="10.33203125" style="52" customWidth="1"/>
    <col min="7683" max="7684" width="4.109375" style="52" customWidth="1"/>
    <col min="7685" max="7692" width="13" style="52" customWidth="1"/>
    <col min="7693" max="7693" width="11.109375" style="52" customWidth="1"/>
    <col min="7694" max="7936" width="8.88671875" style="52"/>
    <col min="7937" max="7937" width="35.109375" style="52" customWidth="1"/>
    <col min="7938" max="7938" width="10.33203125" style="52" customWidth="1"/>
    <col min="7939" max="7940" width="4.109375" style="52" customWidth="1"/>
    <col min="7941" max="7948" width="13" style="52" customWidth="1"/>
    <col min="7949" max="7949" width="11.109375" style="52" customWidth="1"/>
    <col min="7950" max="8192" width="8.88671875" style="52"/>
    <col min="8193" max="8193" width="35.109375" style="52" customWidth="1"/>
    <col min="8194" max="8194" width="10.33203125" style="52" customWidth="1"/>
    <col min="8195" max="8196" width="4.109375" style="52" customWidth="1"/>
    <col min="8197" max="8204" width="13" style="52" customWidth="1"/>
    <col min="8205" max="8205" width="11.109375" style="52" customWidth="1"/>
    <col min="8206" max="8448" width="8.88671875" style="52"/>
    <col min="8449" max="8449" width="35.109375" style="52" customWidth="1"/>
    <col min="8450" max="8450" width="10.33203125" style="52" customWidth="1"/>
    <col min="8451" max="8452" width="4.109375" style="52" customWidth="1"/>
    <col min="8453" max="8460" width="13" style="52" customWidth="1"/>
    <col min="8461" max="8461" width="11.109375" style="52" customWidth="1"/>
    <col min="8462" max="8704" width="8.88671875" style="52"/>
    <col min="8705" max="8705" width="35.109375" style="52" customWidth="1"/>
    <col min="8706" max="8706" width="10.33203125" style="52" customWidth="1"/>
    <col min="8707" max="8708" width="4.109375" style="52" customWidth="1"/>
    <col min="8709" max="8716" width="13" style="52" customWidth="1"/>
    <col min="8717" max="8717" width="11.109375" style="52" customWidth="1"/>
    <col min="8718" max="8960" width="8.88671875" style="52"/>
    <col min="8961" max="8961" width="35.109375" style="52" customWidth="1"/>
    <col min="8962" max="8962" width="10.33203125" style="52" customWidth="1"/>
    <col min="8963" max="8964" width="4.109375" style="52" customWidth="1"/>
    <col min="8965" max="8972" width="13" style="52" customWidth="1"/>
    <col min="8973" max="8973" width="11.109375" style="52" customWidth="1"/>
    <col min="8974" max="9216" width="8.88671875" style="52"/>
    <col min="9217" max="9217" width="35.109375" style="52" customWidth="1"/>
    <col min="9218" max="9218" width="10.33203125" style="52" customWidth="1"/>
    <col min="9219" max="9220" width="4.109375" style="52" customWidth="1"/>
    <col min="9221" max="9228" width="13" style="52" customWidth="1"/>
    <col min="9229" max="9229" width="11.109375" style="52" customWidth="1"/>
    <col min="9230" max="9472" width="8.88671875" style="52"/>
    <col min="9473" max="9473" width="35.109375" style="52" customWidth="1"/>
    <col min="9474" max="9474" width="10.33203125" style="52" customWidth="1"/>
    <col min="9475" max="9476" width="4.109375" style="52" customWidth="1"/>
    <col min="9477" max="9484" width="13" style="52" customWidth="1"/>
    <col min="9485" max="9485" width="11.109375" style="52" customWidth="1"/>
    <col min="9486" max="9728" width="8.88671875" style="52"/>
    <col min="9729" max="9729" width="35.109375" style="52" customWidth="1"/>
    <col min="9730" max="9730" width="10.33203125" style="52" customWidth="1"/>
    <col min="9731" max="9732" width="4.109375" style="52" customWidth="1"/>
    <col min="9733" max="9740" width="13" style="52" customWidth="1"/>
    <col min="9741" max="9741" width="11.109375" style="52" customWidth="1"/>
    <col min="9742" max="9984" width="8.88671875" style="52"/>
    <col min="9985" max="9985" width="35.109375" style="52" customWidth="1"/>
    <col min="9986" max="9986" width="10.33203125" style="52" customWidth="1"/>
    <col min="9987" max="9988" width="4.109375" style="52" customWidth="1"/>
    <col min="9989" max="9996" width="13" style="52" customWidth="1"/>
    <col min="9997" max="9997" width="11.109375" style="52" customWidth="1"/>
    <col min="9998" max="10240" width="8.88671875" style="52"/>
    <col min="10241" max="10241" width="35.109375" style="52" customWidth="1"/>
    <col min="10242" max="10242" width="10.33203125" style="52" customWidth="1"/>
    <col min="10243" max="10244" width="4.109375" style="52" customWidth="1"/>
    <col min="10245" max="10252" width="13" style="52" customWidth="1"/>
    <col min="10253" max="10253" width="11.109375" style="52" customWidth="1"/>
    <col min="10254" max="10496" width="8.88671875" style="52"/>
    <col min="10497" max="10497" width="35.109375" style="52" customWidth="1"/>
    <col min="10498" max="10498" width="10.33203125" style="52" customWidth="1"/>
    <col min="10499" max="10500" width="4.109375" style="52" customWidth="1"/>
    <col min="10501" max="10508" width="13" style="52" customWidth="1"/>
    <col min="10509" max="10509" width="11.109375" style="52" customWidth="1"/>
    <col min="10510" max="10752" width="8.88671875" style="52"/>
    <col min="10753" max="10753" width="35.109375" style="52" customWidth="1"/>
    <col min="10754" max="10754" width="10.33203125" style="52" customWidth="1"/>
    <col min="10755" max="10756" width="4.109375" style="52" customWidth="1"/>
    <col min="10757" max="10764" width="13" style="52" customWidth="1"/>
    <col min="10765" max="10765" width="11.109375" style="52" customWidth="1"/>
    <col min="10766" max="11008" width="8.88671875" style="52"/>
    <col min="11009" max="11009" width="35.109375" style="52" customWidth="1"/>
    <col min="11010" max="11010" width="10.33203125" style="52" customWidth="1"/>
    <col min="11011" max="11012" width="4.109375" style="52" customWidth="1"/>
    <col min="11013" max="11020" width="13" style="52" customWidth="1"/>
    <col min="11021" max="11021" width="11.109375" style="52" customWidth="1"/>
    <col min="11022" max="11264" width="8.88671875" style="52"/>
    <col min="11265" max="11265" width="35.109375" style="52" customWidth="1"/>
    <col min="11266" max="11266" width="10.33203125" style="52" customWidth="1"/>
    <col min="11267" max="11268" width="4.109375" style="52" customWidth="1"/>
    <col min="11269" max="11276" width="13" style="52" customWidth="1"/>
    <col min="11277" max="11277" width="11.109375" style="52" customWidth="1"/>
    <col min="11278" max="11520" width="8.88671875" style="52"/>
    <col min="11521" max="11521" width="35.109375" style="52" customWidth="1"/>
    <col min="11522" max="11522" width="10.33203125" style="52" customWidth="1"/>
    <col min="11523" max="11524" width="4.109375" style="52" customWidth="1"/>
    <col min="11525" max="11532" width="13" style="52" customWidth="1"/>
    <col min="11533" max="11533" width="11.109375" style="52" customWidth="1"/>
    <col min="11534" max="11776" width="8.88671875" style="52"/>
    <col min="11777" max="11777" width="35.109375" style="52" customWidth="1"/>
    <col min="11778" max="11778" width="10.33203125" style="52" customWidth="1"/>
    <col min="11779" max="11780" width="4.109375" style="52" customWidth="1"/>
    <col min="11781" max="11788" width="13" style="52" customWidth="1"/>
    <col min="11789" max="11789" width="11.109375" style="52" customWidth="1"/>
    <col min="11790" max="12032" width="8.88671875" style="52"/>
    <col min="12033" max="12033" width="35.109375" style="52" customWidth="1"/>
    <col min="12034" max="12034" width="10.33203125" style="52" customWidth="1"/>
    <col min="12035" max="12036" width="4.109375" style="52" customWidth="1"/>
    <col min="12037" max="12044" width="13" style="52" customWidth="1"/>
    <col min="12045" max="12045" width="11.109375" style="52" customWidth="1"/>
    <col min="12046" max="12288" width="8.88671875" style="52"/>
    <col min="12289" max="12289" width="35.109375" style="52" customWidth="1"/>
    <col min="12290" max="12290" width="10.33203125" style="52" customWidth="1"/>
    <col min="12291" max="12292" width="4.109375" style="52" customWidth="1"/>
    <col min="12293" max="12300" width="13" style="52" customWidth="1"/>
    <col min="12301" max="12301" width="11.109375" style="52" customWidth="1"/>
    <col min="12302" max="12544" width="8.88671875" style="52"/>
    <col min="12545" max="12545" width="35.109375" style="52" customWidth="1"/>
    <col min="12546" max="12546" width="10.33203125" style="52" customWidth="1"/>
    <col min="12547" max="12548" width="4.109375" style="52" customWidth="1"/>
    <col min="12549" max="12556" width="13" style="52" customWidth="1"/>
    <col min="12557" max="12557" width="11.109375" style="52" customWidth="1"/>
    <col min="12558" max="12800" width="8.88671875" style="52"/>
    <col min="12801" max="12801" width="35.109375" style="52" customWidth="1"/>
    <col min="12802" max="12802" width="10.33203125" style="52" customWidth="1"/>
    <col min="12803" max="12804" width="4.109375" style="52" customWidth="1"/>
    <col min="12805" max="12812" width="13" style="52" customWidth="1"/>
    <col min="12813" max="12813" width="11.109375" style="52" customWidth="1"/>
    <col min="12814" max="13056" width="8.88671875" style="52"/>
    <col min="13057" max="13057" width="35.109375" style="52" customWidth="1"/>
    <col min="13058" max="13058" width="10.33203125" style="52" customWidth="1"/>
    <col min="13059" max="13060" width="4.109375" style="52" customWidth="1"/>
    <col min="13061" max="13068" width="13" style="52" customWidth="1"/>
    <col min="13069" max="13069" width="11.109375" style="52" customWidth="1"/>
    <col min="13070" max="13312" width="8.88671875" style="52"/>
    <col min="13313" max="13313" width="35.109375" style="52" customWidth="1"/>
    <col min="13314" max="13314" width="10.33203125" style="52" customWidth="1"/>
    <col min="13315" max="13316" width="4.109375" style="52" customWidth="1"/>
    <col min="13317" max="13324" width="13" style="52" customWidth="1"/>
    <col min="13325" max="13325" width="11.109375" style="52" customWidth="1"/>
    <col min="13326" max="13568" width="8.88671875" style="52"/>
    <col min="13569" max="13569" width="35.109375" style="52" customWidth="1"/>
    <col min="13570" max="13570" width="10.33203125" style="52" customWidth="1"/>
    <col min="13571" max="13572" width="4.109375" style="52" customWidth="1"/>
    <col min="13573" max="13580" width="13" style="52" customWidth="1"/>
    <col min="13581" max="13581" width="11.109375" style="52" customWidth="1"/>
    <col min="13582" max="13824" width="8.88671875" style="52"/>
    <col min="13825" max="13825" width="35.109375" style="52" customWidth="1"/>
    <col min="13826" max="13826" width="10.33203125" style="52" customWidth="1"/>
    <col min="13827" max="13828" width="4.109375" style="52" customWidth="1"/>
    <col min="13829" max="13836" width="13" style="52" customWidth="1"/>
    <col min="13837" max="13837" width="11.109375" style="52" customWidth="1"/>
    <col min="13838" max="14080" width="8.88671875" style="52"/>
    <col min="14081" max="14081" width="35.109375" style="52" customWidth="1"/>
    <col min="14082" max="14082" width="10.33203125" style="52" customWidth="1"/>
    <col min="14083" max="14084" width="4.109375" style="52" customWidth="1"/>
    <col min="14085" max="14092" width="13" style="52" customWidth="1"/>
    <col min="14093" max="14093" width="11.109375" style="52" customWidth="1"/>
    <col min="14094" max="14336" width="8.88671875" style="52"/>
    <col min="14337" max="14337" width="35.109375" style="52" customWidth="1"/>
    <col min="14338" max="14338" width="10.33203125" style="52" customWidth="1"/>
    <col min="14339" max="14340" width="4.109375" style="52" customWidth="1"/>
    <col min="14341" max="14348" width="13" style="52" customWidth="1"/>
    <col min="14349" max="14349" width="11.109375" style="52" customWidth="1"/>
    <col min="14350" max="14592" width="8.88671875" style="52"/>
    <col min="14593" max="14593" width="35.109375" style="52" customWidth="1"/>
    <col min="14594" max="14594" width="10.33203125" style="52" customWidth="1"/>
    <col min="14595" max="14596" width="4.109375" style="52" customWidth="1"/>
    <col min="14597" max="14604" width="13" style="52" customWidth="1"/>
    <col min="14605" max="14605" width="11.109375" style="52" customWidth="1"/>
    <col min="14606" max="14848" width="8.88671875" style="52"/>
    <col min="14849" max="14849" width="35.109375" style="52" customWidth="1"/>
    <col min="14850" max="14850" width="10.33203125" style="52" customWidth="1"/>
    <col min="14851" max="14852" width="4.109375" style="52" customWidth="1"/>
    <col min="14853" max="14860" width="13" style="52" customWidth="1"/>
    <col min="14861" max="14861" width="11.109375" style="52" customWidth="1"/>
    <col min="14862" max="15104" width="8.88671875" style="52"/>
    <col min="15105" max="15105" width="35.109375" style="52" customWidth="1"/>
    <col min="15106" max="15106" width="10.33203125" style="52" customWidth="1"/>
    <col min="15107" max="15108" width="4.109375" style="52" customWidth="1"/>
    <col min="15109" max="15116" width="13" style="52" customWidth="1"/>
    <col min="15117" max="15117" width="11.109375" style="52" customWidth="1"/>
    <col min="15118" max="15360" width="8.88671875" style="52"/>
    <col min="15361" max="15361" width="35.109375" style="52" customWidth="1"/>
    <col min="15362" max="15362" width="10.33203125" style="52" customWidth="1"/>
    <col min="15363" max="15364" width="4.109375" style="52" customWidth="1"/>
    <col min="15365" max="15372" width="13" style="52" customWidth="1"/>
    <col min="15373" max="15373" width="11.109375" style="52" customWidth="1"/>
    <col min="15374" max="15616" width="8.88671875" style="52"/>
    <col min="15617" max="15617" width="35.109375" style="52" customWidth="1"/>
    <col min="15618" max="15618" width="10.33203125" style="52" customWidth="1"/>
    <col min="15619" max="15620" width="4.109375" style="52" customWidth="1"/>
    <col min="15621" max="15628" width="13" style="52" customWidth="1"/>
    <col min="15629" max="15629" width="11.109375" style="52" customWidth="1"/>
    <col min="15630" max="15872" width="8.88671875" style="52"/>
    <col min="15873" max="15873" width="35.109375" style="52" customWidth="1"/>
    <col min="15874" max="15874" width="10.33203125" style="52" customWidth="1"/>
    <col min="15875" max="15876" width="4.109375" style="52" customWidth="1"/>
    <col min="15877" max="15884" width="13" style="52" customWidth="1"/>
    <col min="15885" max="15885" width="11.109375" style="52" customWidth="1"/>
    <col min="15886" max="16128" width="8.88671875" style="52"/>
    <col min="16129" max="16129" width="35.109375" style="52" customWidth="1"/>
    <col min="16130" max="16130" width="10.33203125" style="52" customWidth="1"/>
    <col min="16131" max="16132" width="4.109375" style="52" customWidth="1"/>
    <col min="16133" max="16140" width="13" style="52" customWidth="1"/>
    <col min="16141" max="16141" width="11.109375" style="52" customWidth="1"/>
    <col min="16142" max="16384" width="8.88671875" style="52"/>
  </cols>
  <sheetData>
    <row r="1" spans="1:15" ht="30" customHeight="1">
      <c r="A1" s="306" t="s">
        <v>61</v>
      </c>
      <c r="B1" s="306"/>
      <c r="C1" s="306"/>
      <c r="D1" s="306"/>
      <c r="E1" s="306"/>
      <c r="F1" s="306"/>
      <c r="G1" s="306"/>
      <c r="H1" s="306"/>
      <c r="I1" s="306"/>
      <c r="J1" s="306"/>
      <c r="K1" s="306"/>
      <c r="L1" s="306"/>
      <c r="M1" s="306"/>
    </row>
    <row r="2" spans="1:15" ht="30" customHeight="1">
      <c r="A2" s="307">
        <f>+전체집계!A2</f>
        <v>0</v>
      </c>
      <c r="B2" s="307"/>
      <c r="C2" s="307"/>
      <c r="D2" s="307"/>
      <c r="E2" s="307"/>
      <c r="F2" s="307"/>
      <c r="G2" s="307"/>
      <c r="H2" s="307"/>
      <c r="I2" s="307"/>
      <c r="J2" s="307"/>
      <c r="K2" s="307"/>
      <c r="L2" s="307"/>
      <c r="M2" s="307"/>
    </row>
    <row r="3" spans="1:15" ht="35.25" customHeight="1">
      <c r="A3" s="308" t="s">
        <v>43</v>
      </c>
      <c r="B3" s="308" t="s">
        <v>44</v>
      </c>
      <c r="C3" s="308" t="s">
        <v>45</v>
      </c>
      <c r="D3" s="308" t="s">
        <v>46</v>
      </c>
      <c r="E3" s="308" t="s">
        <v>47</v>
      </c>
      <c r="F3" s="308"/>
      <c r="G3" s="309" t="s">
        <v>48</v>
      </c>
      <c r="H3" s="309"/>
      <c r="I3" s="309" t="s">
        <v>49</v>
      </c>
      <c r="J3" s="309"/>
      <c r="K3" s="308" t="s">
        <v>50</v>
      </c>
      <c r="L3" s="308"/>
      <c r="M3" s="308" t="s">
        <v>51</v>
      </c>
    </row>
    <row r="4" spans="1:15" ht="35.25" customHeight="1">
      <c r="A4" s="308"/>
      <c r="B4" s="308"/>
      <c r="C4" s="308"/>
      <c r="D4" s="308"/>
      <c r="E4" s="1" t="s">
        <v>52</v>
      </c>
      <c r="F4" s="55" t="s">
        <v>53</v>
      </c>
      <c r="G4" s="55" t="s">
        <v>52</v>
      </c>
      <c r="H4" s="55" t="s">
        <v>53</v>
      </c>
      <c r="I4" s="55" t="s">
        <v>52</v>
      </c>
      <c r="J4" s="55" t="s">
        <v>53</v>
      </c>
      <c r="K4" s="1" t="s">
        <v>52</v>
      </c>
      <c r="L4" s="1" t="s">
        <v>53</v>
      </c>
      <c r="M4" s="308"/>
    </row>
    <row r="5" spans="1:15" s="60" customFormat="1" ht="35.25" customHeight="1">
      <c r="A5" s="56" t="s">
        <v>62</v>
      </c>
      <c r="B5" s="56"/>
      <c r="C5" s="57"/>
      <c r="D5" s="56"/>
      <c r="E5" s="56"/>
      <c r="F5" s="58"/>
      <c r="G5" s="58"/>
      <c r="H5" s="58"/>
      <c r="I5" s="58"/>
      <c r="J5" s="58"/>
      <c r="K5" s="56"/>
      <c r="L5" s="56"/>
      <c r="M5" s="56"/>
      <c r="N5" s="59" t="s">
        <v>63</v>
      </c>
    </row>
    <row r="6" spans="1:15" ht="35.25" customHeight="1">
      <c r="A6" s="61" t="str">
        <f>건축내역서!C4</f>
        <v>0101  가  설  공  사</v>
      </c>
      <c r="B6" s="61"/>
      <c r="C6" s="62" t="s">
        <v>55</v>
      </c>
      <c r="D6" s="61">
        <v>1</v>
      </c>
      <c r="E6" s="61"/>
      <c r="F6" s="63">
        <f>건축내역서!H51</f>
        <v>17202500</v>
      </c>
      <c r="G6" s="63"/>
      <c r="H6" s="63">
        <f>건축내역서!J51</f>
        <v>22726800</v>
      </c>
      <c r="I6" s="63"/>
      <c r="J6" s="63">
        <f>건축내역서!L51</f>
        <v>25236900</v>
      </c>
      <c r="K6" s="61"/>
      <c r="L6" s="56">
        <f>+F6+H6+J6</f>
        <v>65166200</v>
      </c>
      <c r="M6" s="61"/>
      <c r="N6" s="64" t="s">
        <v>64</v>
      </c>
    </row>
    <row r="7" spans="1:15" ht="35.25" customHeight="1">
      <c r="A7" s="61" t="str">
        <f>+건축내역서!C52</f>
        <v>0102 구조  보강 공사 (Dr. M PILE)</v>
      </c>
      <c r="B7" s="61"/>
      <c r="C7" s="62" t="s">
        <v>55</v>
      </c>
      <c r="D7" s="61">
        <v>1</v>
      </c>
      <c r="E7" s="61"/>
      <c r="F7" s="63">
        <f>+건축내역서!H75</f>
        <v>23386000</v>
      </c>
      <c r="G7" s="63"/>
      <c r="H7" s="63">
        <f>+건축내역서!J75</f>
        <v>30181600</v>
      </c>
      <c r="I7" s="63"/>
      <c r="J7" s="63">
        <f>+건축내역서!L75</f>
        <v>23752800</v>
      </c>
      <c r="K7" s="61"/>
      <c r="L7" s="56">
        <f>+F7+H7+J7</f>
        <v>77320400</v>
      </c>
      <c r="M7" s="61"/>
      <c r="N7" s="64"/>
    </row>
    <row r="8" spans="1:15" ht="35.25" customHeight="1">
      <c r="A8" s="61" t="str">
        <f>+건축내역서!C76</f>
        <v>0103 철 근 콘 크 리 트 공 사</v>
      </c>
      <c r="B8" s="61"/>
      <c r="C8" s="62" t="s">
        <v>55</v>
      </c>
      <c r="D8" s="61">
        <v>1</v>
      </c>
      <c r="E8" s="61"/>
      <c r="F8" s="63">
        <f>+건축내역서!H123</f>
        <v>51439057.6785</v>
      </c>
      <c r="G8" s="63"/>
      <c r="H8" s="63">
        <f>+건축내역서!J123</f>
        <v>37710821</v>
      </c>
      <c r="I8" s="63"/>
      <c r="J8" s="63">
        <f>+건축내역서!L123</f>
        <v>4717859.8125</v>
      </c>
      <c r="K8" s="61"/>
      <c r="L8" s="56">
        <f>+F8+H8+J8</f>
        <v>93867738.491</v>
      </c>
      <c r="M8" s="61"/>
      <c r="N8" s="64" t="s">
        <v>65</v>
      </c>
    </row>
    <row r="9" spans="1:15" ht="35.25" customHeight="1">
      <c r="A9" s="61" t="str">
        <f>+건축내역서!C124</f>
        <v>0104 철 골 공 사</v>
      </c>
      <c r="B9" s="61"/>
      <c r="C9" s="62" t="s">
        <v>55</v>
      </c>
      <c r="D9" s="61">
        <v>1</v>
      </c>
      <c r="E9" s="61"/>
      <c r="F9" s="63">
        <f>+건축내역서!H195</f>
        <v>76415392.48432977</v>
      </c>
      <c r="G9" s="63"/>
      <c r="H9" s="63">
        <f>+건축내역서!J195</f>
        <v>47736673.77289708</v>
      </c>
      <c r="I9" s="63"/>
      <c r="J9" s="63">
        <f>+건축내역서!L195</f>
        <v>10750443.123975001</v>
      </c>
      <c r="K9" s="61"/>
      <c r="L9" s="56">
        <f>+J9+H9+F9</f>
        <v>134902509.38120186</v>
      </c>
      <c r="M9" s="61"/>
      <c r="N9" s="64"/>
      <c r="O9" s="65"/>
    </row>
    <row r="10" spans="1:15" ht="35.25" customHeight="1">
      <c r="A10" s="61" t="str">
        <f>건축내역서!C196</f>
        <v>0105 습식공사 (조적, 미장, 방, 타일)</v>
      </c>
      <c r="B10" s="61"/>
      <c r="C10" s="62" t="s">
        <v>55</v>
      </c>
      <c r="D10" s="61">
        <v>1</v>
      </c>
      <c r="E10" s="61"/>
      <c r="F10" s="63">
        <f>건축내역서!H243</f>
        <v>19659600</v>
      </c>
      <c r="G10" s="63"/>
      <c r="H10" s="63">
        <f>건축내역서!J243</f>
        <v>22843200</v>
      </c>
      <c r="I10" s="63"/>
      <c r="J10" s="63">
        <f>건축내역서!L243</f>
        <v>0</v>
      </c>
      <c r="K10" s="61"/>
      <c r="L10" s="56">
        <f t="shared" ref="L10:L16" si="0">+F10+H10+J10</f>
        <v>42502800</v>
      </c>
      <c r="M10" s="61"/>
      <c r="N10" s="64" t="s">
        <v>66</v>
      </c>
    </row>
    <row r="11" spans="1:15" ht="35.25" customHeight="1">
      <c r="A11" s="61" t="str">
        <f>+건축내역서!C244</f>
        <v xml:space="preserve">0106 석 공 사 </v>
      </c>
      <c r="B11" s="61"/>
      <c r="C11" s="62" t="s">
        <v>55</v>
      </c>
      <c r="D11" s="61">
        <v>1</v>
      </c>
      <c r="E11" s="61"/>
      <c r="F11" s="63">
        <f>+건축내역서!H267</f>
        <v>43786600</v>
      </c>
      <c r="G11" s="63"/>
      <c r="H11" s="63">
        <f>+건축내역서!J267</f>
        <v>36940900</v>
      </c>
      <c r="I11" s="63"/>
      <c r="J11" s="63">
        <f>+건축내역서!L267</f>
        <v>12526000</v>
      </c>
      <c r="K11" s="61"/>
      <c r="L11" s="56">
        <f t="shared" si="0"/>
        <v>93253500</v>
      </c>
      <c r="M11" s="61"/>
      <c r="N11" s="64"/>
    </row>
    <row r="12" spans="1:15" s="70" customFormat="1" ht="35.25" customHeight="1">
      <c r="A12" s="66" t="str">
        <f>+건축내역서!C268</f>
        <v>0107 금 속 공 사</v>
      </c>
      <c r="B12" s="66"/>
      <c r="C12" s="67" t="s">
        <v>55</v>
      </c>
      <c r="D12" s="66">
        <v>1</v>
      </c>
      <c r="E12" s="66"/>
      <c r="F12" s="68">
        <f>+건축내역서!H291</f>
        <v>42651900</v>
      </c>
      <c r="G12" s="68"/>
      <c r="H12" s="68">
        <f>+건축내역서!J291</f>
        <v>31476100</v>
      </c>
      <c r="I12" s="68"/>
      <c r="J12" s="68">
        <f>+건축내역서!L291</f>
        <v>1139700</v>
      </c>
      <c r="K12" s="66"/>
      <c r="L12" s="56">
        <f t="shared" si="0"/>
        <v>75267700</v>
      </c>
      <c r="M12" s="66"/>
      <c r="N12" s="69"/>
    </row>
    <row r="13" spans="1:15" ht="35.25" customHeight="1">
      <c r="A13" s="61" t="str">
        <f>+건축내역서!C292</f>
        <v>0108 창 호 공 사</v>
      </c>
      <c r="B13" s="61"/>
      <c r="C13" s="67" t="s">
        <v>55</v>
      </c>
      <c r="D13" s="66">
        <v>1</v>
      </c>
      <c r="E13" s="61"/>
      <c r="F13" s="63">
        <f>+건축내역서!H339</f>
        <v>43955400</v>
      </c>
      <c r="G13" s="63"/>
      <c r="H13" s="63">
        <f>+건축내역서!J339</f>
        <v>9764000</v>
      </c>
      <c r="I13" s="63"/>
      <c r="J13" s="63">
        <f>+건축내역서!L339</f>
        <v>2267700</v>
      </c>
      <c r="K13" s="61"/>
      <c r="L13" s="56">
        <f t="shared" si="0"/>
        <v>55987100</v>
      </c>
      <c r="M13" s="61"/>
      <c r="N13" s="64"/>
    </row>
    <row r="14" spans="1:15" ht="35.25" customHeight="1">
      <c r="A14" s="61" t="str">
        <f>+건축내역서!C340</f>
        <v>0109 유 리 공 사</v>
      </c>
      <c r="B14" s="61"/>
      <c r="C14" s="67" t="s">
        <v>55</v>
      </c>
      <c r="D14" s="66">
        <v>1</v>
      </c>
      <c r="E14" s="61"/>
      <c r="F14" s="63">
        <f>+건축내역서!H363</f>
        <v>26792300</v>
      </c>
      <c r="G14" s="63"/>
      <c r="H14" s="63">
        <f>+건축내역서!J363</f>
        <v>17045700</v>
      </c>
      <c r="I14" s="63"/>
      <c r="J14" s="63">
        <f>+건축내역서!L363</f>
        <v>2092700</v>
      </c>
      <c r="K14" s="61"/>
      <c r="L14" s="56">
        <f t="shared" si="0"/>
        <v>45930700</v>
      </c>
      <c r="M14" s="61"/>
      <c r="N14" s="64"/>
      <c r="O14" s="65"/>
    </row>
    <row r="15" spans="1:15" ht="35.25" customHeight="1">
      <c r="A15" s="61" t="str">
        <f>+건축내역서!C364</f>
        <v xml:space="preserve">0110 수장, 도장 공사 </v>
      </c>
      <c r="B15" s="61"/>
      <c r="C15" s="67" t="s">
        <v>55</v>
      </c>
      <c r="D15" s="66">
        <v>1</v>
      </c>
      <c r="E15" s="61"/>
      <c r="F15" s="63">
        <f>+건축내역서!H387</f>
        <v>23959700</v>
      </c>
      <c r="G15" s="63"/>
      <c r="H15" s="63">
        <f>+건축내역서!J387</f>
        <v>34575500</v>
      </c>
      <c r="I15" s="63"/>
      <c r="J15" s="63">
        <f>+건축내역서!L387</f>
        <v>816700</v>
      </c>
      <c r="K15" s="61"/>
      <c r="L15" s="56">
        <f t="shared" si="0"/>
        <v>59351900</v>
      </c>
      <c r="M15" s="61"/>
      <c r="N15" s="64"/>
    </row>
    <row r="16" spans="1:15" ht="35.25" customHeight="1">
      <c r="A16" s="61" t="str">
        <f>건축내역서!C388</f>
        <v>0111 부 대 토 목 공 사</v>
      </c>
      <c r="B16" s="61"/>
      <c r="C16" s="67" t="s">
        <v>55</v>
      </c>
      <c r="D16" s="66">
        <v>1</v>
      </c>
      <c r="E16" s="61"/>
      <c r="F16" s="63">
        <f>건축내역서!H411</f>
        <v>47521300</v>
      </c>
      <c r="G16" s="63"/>
      <c r="H16" s="63">
        <f>건축내역서!J411</f>
        <v>6656500</v>
      </c>
      <c r="I16" s="63"/>
      <c r="J16" s="63">
        <f>건축내역서!L411</f>
        <v>2344200</v>
      </c>
      <c r="K16" s="61"/>
      <c r="L16" s="56">
        <f t="shared" si="0"/>
        <v>56522000</v>
      </c>
      <c r="M16" s="61"/>
      <c r="N16" s="64"/>
    </row>
    <row r="17" spans="1:14" ht="35.25" customHeight="1">
      <c r="A17" s="61"/>
      <c r="B17" s="61"/>
      <c r="C17" s="67"/>
      <c r="D17" s="66"/>
      <c r="E17" s="61"/>
      <c r="F17" s="63"/>
      <c r="G17" s="63"/>
      <c r="H17" s="63"/>
      <c r="I17" s="63"/>
      <c r="J17" s="63"/>
      <c r="K17" s="61"/>
      <c r="L17" s="56"/>
      <c r="M17" s="61"/>
      <c r="N17" s="64"/>
    </row>
    <row r="18" spans="1:14" ht="35.25" customHeight="1">
      <c r="A18" s="61"/>
      <c r="B18" s="61"/>
      <c r="C18" s="67"/>
      <c r="D18" s="66"/>
      <c r="E18" s="61"/>
      <c r="F18" s="63"/>
      <c r="G18" s="63"/>
      <c r="H18" s="63"/>
      <c r="I18" s="63"/>
      <c r="J18" s="63"/>
      <c r="K18" s="61"/>
      <c r="L18" s="56"/>
      <c r="M18" s="61"/>
      <c r="N18" s="64"/>
    </row>
    <row r="19" spans="1:14" ht="35.25" customHeight="1">
      <c r="A19" s="61"/>
      <c r="B19" s="61"/>
      <c r="C19" s="67"/>
      <c r="D19" s="66"/>
      <c r="E19" s="61"/>
      <c r="F19" s="63"/>
      <c r="G19" s="63"/>
      <c r="H19" s="63"/>
      <c r="I19" s="63"/>
      <c r="J19" s="63"/>
      <c r="K19" s="61"/>
      <c r="L19" s="56"/>
      <c r="M19" s="61"/>
      <c r="N19" s="64"/>
    </row>
    <row r="20" spans="1:14" ht="35.25" customHeight="1">
      <c r="A20" s="61"/>
      <c r="B20" s="61"/>
      <c r="C20" s="67"/>
      <c r="D20" s="66"/>
      <c r="E20" s="61"/>
      <c r="F20" s="63"/>
      <c r="G20" s="63"/>
      <c r="H20" s="63"/>
      <c r="I20" s="63"/>
      <c r="J20" s="63"/>
      <c r="K20" s="61"/>
      <c r="L20" s="56"/>
      <c r="M20" s="61"/>
      <c r="N20" s="64"/>
    </row>
    <row r="21" spans="1:14" ht="35.25" customHeight="1">
      <c r="A21" s="61"/>
      <c r="B21" s="61"/>
      <c r="C21" s="67"/>
      <c r="D21" s="66"/>
      <c r="E21" s="61"/>
      <c r="F21" s="63"/>
      <c r="G21" s="63"/>
      <c r="H21" s="63"/>
      <c r="I21" s="63"/>
      <c r="J21" s="63"/>
      <c r="K21" s="61"/>
      <c r="L21" s="56"/>
      <c r="M21" s="61"/>
      <c r="N21" s="64"/>
    </row>
    <row r="22" spans="1:14" ht="35.25" customHeight="1">
      <c r="A22" s="61"/>
      <c r="B22" s="61"/>
      <c r="C22" s="67"/>
      <c r="D22" s="66"/>
      <c r="E22" s="61"/>
      <c r="F22" s="63"/>
      <c r="G22" s="63"/>
      <c r="H22" s="63"/>
      <c r="I22" s="63"/>
      <c r="J22" s="63"/>
      <c r="K22" s="61"/>
      <c r="L22" s="56"/>
      <c r="M22" s="61"/>
      <c r="N22" s="64"/>
    </row>
    <row r="23" spans="1:14" ht="35.25" customHeight="1">
      <c r="A23" s="61"/>
      <c r="B23" s="61"/>
      <c r="C23" s="67"/>
      <c r="D23" s="66"/>
      <c r="E23" s="61"/>
      <c r="F23" s="63"/>
      <c r="G23" s="63"/>
      <c r="H23" s="63"/>
      <c r="I23" s="63"/>
      <c r="J23" s="63"/>
      <c r="K23" s="61"/>
      <c r="L23" s="56"/>
      <c r="M23" s="61"/>
      <c r="N23" s="64"/>
    </row>
    <row r="24" spans="1:14" ht="35.25" customHeight="1">
      <c r="A24" s="61" t="s">
        <v>67</v>
      </c>
      <c r="B24" s="61"/>
      <c r="C24" s="62"/>
      <c r="D24" s="61"/>
      <c r="E24" s="61"/>
      <c r="F24" s="63">
        <f>SUM(F6:F23)</f>
        <v>416769750.16282976</v>
      </c>
      <c r="G24" s="63"/>
      <c r="H24" s="63">
        <f>SUM(H6:H23)</f>
        <v>297657794.77289706</v>
      </c>
      <c r="I24" s="63"/>
      <c r="J24" s="63">
        <f>SUM(J6:J23)</f>
        <v>85645002.93647501</v>
      </c>
      <c r="K24" s="61"/>
      <c r="L24" s="56">
        <f>F24+H24+J24</f>
        <v>800072547.8722019</v>
      </c>
      <c r="M24" s="61"/>
      <c r="N24" s="64"/>
    </row>
    <row r="25" spans="1:14" hidden="1">
      <c r="A25" s="52" t="s">
        <v>59</v>
      </c>
    </row>
    <row r="26" spans="1:14" ht="17.25" customHeight="1">
      <c r="A26" s="71" t="s">
        <v>60</v>
      </c>
      <c r="B26" s="71"/>
      <c r="C26" s="72"/>
      <c r="D26" s="71"/>
      <c r="E26" s="71"/>
      <c r="F26" s="73"/>
      <c r="G26" s="73"/>
      <c r="H26" s="73"/>
      <c r="I26" s="73"/>
      <c r="J26" s="73"/>
      <c r="K26" s="71"/>
      <c r="L26" s="71"/>
      <c r="M26" s="71"/>
    </row>
  </sheetData>
  <mergeCells count="11">
    <mergeCell ref="A1:M1"/>
    <mergeCell ref="A2:M2"/>
    <mergeCell ref="A3:A4"/>
    <mergeCell ref="B3:B4"/>
    <mergeCell ref="C3:C4"/>
    <mergeCell ref="D3:D4"/>
    <mergeCell ref="E3:F3"/>
    <mergeCell ref="G3:H3"/>
    <mergeCell ref="I3:J3"/>
    <mergeCell ref="K3:L3"/>
    <mergeCell ref="M3:M4"/>
  </mergeCells>
  <phoneticPr fontId="14" type="noConversion"/>
  <printOptions horizontalCentered="1"/>
  <pageMargins left="0.59027777777777801" right="0.59027777777777801" top="0.78749999999999998" bottom="0.39374999999999999" header="0.511811023622047" footer="0.511811023622047"/>
  <pageSetup paperSize="9" scale="6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WUK413"/>
  <sheetViews>
    <sheetView view="pageBreakPreview" topLeftCell="C1" zoomScale="70" zoomScaleNormal="100" zoomScalePageLayoutView="70" workbookViewId="0">
      <pane ySplit="3" topLeftCell="A64" activePane="bottomLeft" state="frozen"/>
      <selection activeCell="C1" sqref="C1"/>
      <selection pane="bottomLeft" activeCell="O2" sqref="O1:O1048576"/>
    </sheetView>
  </sheetViews>
  <sheetFormatPr defaultColWidth="8.88671875" defaultRowHeight="16.5"/>
  <cols>
    <col min="1" max="1" width="11.109375" style="54" hidden="1" customWidth="1"/>
    <col min="2" max="2" width="10.33203125" style="54" hidden="1" customWidth="1"/>
    <col min="3" max="3" width="23.77734375" style="54" customWidth="1"/>
    <col min="4" max="4" width="23.109375" style="54" customWidth="1"/>
    <col min="5" max="5" width="5.5546875" style="74" customWidth="1"/>
    <col min="6" max="6" width="11.44140625" style="54" customWidth="1"/>
    <col min="7" max="7" width="13" style="54" customWidth="1"/>
    <col min="8" max="8" width="14.77734375" style="54" customWidth="1"/>
    <col min="9" max="9" width="13" style="54" customWidth="1"/>
    <col min="10" max="10" width="14.77734375" style="54" customWidth="1"/>
    <col min="11" max="11" width="13" style="54" customWidth="1"/>
    <col min="12" max="12" width="14.77734375" style="54" customWidth="1"/>
    <col min="13" max="13" width="13" style="54" customWidth="1"/>
    <col min="14" max="14" width="14.77734375" style="54" customWidth="1"/>
    <col min="15" max="15" width="9.109375" style="74" customWidth="1"/>
    <col min="16" max="231" width="8.88671875" style="54"/>
    <col min="232" max="233" width="13" style="54" hidden="1" customWidth="1"/>
    <col min="234" max="234" width="25.44140625" style="54" customWidth="1"/>
    <col min="235" max="235" width="18.33203125" style="54" customWidth="1"/>
    <col min="236" max="236" width="4.109375" style="54" customWidth="1"/>
    <col min="237" max="237" width="9.44140625" style="54" customWidth="1"/>
    <col min="238" max="245" width="13" style="54" customWidth="1"/>
    <col min="246" max="246" width="11.109375" style="54" customWidth="1"/>
    <col min="247" max="248" width="8.88671875" style="54"/>
    <col min="249" max="250" width="1.44140625" style="54" customWidth="1"/>
    <col min="251" max="251" width="5" style="54" customWidth="1"/>
    <col min="252" max="260" width="1.44140625" style="54" customWidth="1"/>
    <col min="261" max="487" width="8.88671875" style="54"/>
    <col min="488" max="489" width="13" style="54" hidden="1" customWidth="1"/>
    <col min="490" max="490" width="25.44140625" style="54" customWidth="1"/>
    <col min="491" max="491" width="18.33203125" style="54" customWidth="1"/>
    <col min="492" max="492" width="4.109375" style="54" customWidth="1"/>
    <col min="493" max="493" width="9.44140625" style="54" customWidth="1"/>
    <col min="494" max="501" width="13" style="54" customWidth="1"/>
    <col min="502" max="502" width="11.109375" style="54" customWidth="1"/>
    <col min="503" max="504" width="8.88671875" style="54"/>
    <col min="505" max="506" width="1.44140625" style="54" customWidth="1"/>
    <col min="507" max="507" width="5" style="54" customWidth="1"/>
    <col min="508" max="516" width="1.44140625" style="54" customWidth="1"/>
    <col min="517" max="743" width="8.88671875" style="54"/>
    <col min="744" max="745" width="13" style="54" hidden="1" customWidth="1"/>
    <col min="746" max="746" width="25.44140625" style="54" customWidth="1"/>
    <col min="747" max="747" width="18.33203125" style="54" customWidth="1"/>
    <col min="748" max="748" width="4.109375" style="54" customWidth="1"/>
    <col min="749" max="749" width="9.44140625" style="54" customWidth="1"/>
    <col min="750" max="757" width="13" style="54" customWidth="1"/>
    <col min="758" max="758" width="11.109375" style="54" customWidth="1"/>
    <col min="759" max="760" width="8.88671875" style="54"/>
    <col min="761" max="762" width="1.44140625" style="54" customWidth="1"/>
    <col min="763" max="763" width="5" style="54" customWidth="1"/>
    <col min="764" max="772" width="1.44140625" style="54" customWidth="1"/>
    <col min="773" max="999" width="8.88671875" style="54"/>
    <col min="1000" max="1001" width="13" style="54" hidden="1" customWidth="1"/>
    <col min="1002" max="1002" width="25.44140625" style="54" customWidth="1"/>
    <col min="1003" max="1003" width="18.33203125" style="54" customWidth="1"/>
    <col min="1004" max="1004" width="4.109375" style="54" customWidth="1"/>
    <col min="1005" max="1005" width="9.44140625" style="54" customWidth="1"/>
    <col min="1006" max="1013" width="13" style="54" customWidth="1"/>
    <col min="1014" max="1014" width="11.109375" style="54" customWidth="1"/>
    <col min="1015" max="1016" width="8.88671875" style="54"/>
    <col min="1017" max="1018" width="1.44140625" style="54" customWidth="1"/>
    <col min="1019" max="1019" width="5" style="54" customWidth="1"/>
    <col min="1020" max="1028" width="1.44140625" style="54" customWidth="1"/>
    <col min="1029" max="1255" width="8.88671875" style="54"/>
    <col min="1256" max="1257" width="13" style="54" hidden="1" customWidth="1"/>
    <col min="1258" max="1258" width="25.44140625" style="54" customWidth="1"/>
    <col min="1259" max="1259" width="18.33203125" style="54" customWidth="1"/>
    <col min="1260" max="1260" width="4.109375" style="54" customWidth="1"/>
    <col min="1261" max="1261" width="9.44140625" style="54" customWidth="1"/>
    <col min="1262" max="1269" width="13" style="54" customWidth="1"/>
    <col min="1270" max="1270" width="11.109375" style="54" customWidth="1"/>
    <col min="1271" max="1272" width="8.88671875" style="54"/>
    <col min="1273" max="1274" width="1.44140625" style="54" customWidth="1"/>
    <col min="1275" max="1275" width="5" style="54" customWidth="1"/>
    <col min="1276" max="1284" width="1.44140625" style="54" customWidth="1"/>
    <col min="1285" max="1511" width="8.88671875" style="54"/>
    <col min="1512" max="1513" width="13" style="54" hidden="1" customWidth="1"/>
    <col min="1514" max="1514" width="25.44140625" style="54" customWidth="1"/>
    <col min="1515" max="1515" width="18.33203125" style="54" customWidth="1"/>
    <col min="1516" max="1516" width="4.109375" style="54" customWidth="1"/>
    <col min="1517" max="1517" width="9.44140625" style="54" customWidth="1"/>
    <col min="1518" max="1525" width="13" style="54" customWidth="1"/>
    <col min="1526" max="1526" width="11.109375" style="54" customWidth="1"/>
    <col min="1527" max="1528" width="8.88671875" style="54"/>
    <col min="1529" max="1530" width="1.44140625" style="54" customWidth="1"/>
    <col min="1531" max="1531" width="5" style="54" customWidth="1"/>
    <col min="1532" max="1540" width="1.44140625" style="54" customWidth="1"/>
    <col min="1541" max="1767" width="8.88671875" style="54"/>
    <col min="1768" max="1769" width="13" style="54" hidden="1" customWidth="1"/>
    <col min="1770" max="1770" width="25.44140625" style="54" customWidth="1"/>
    <col min="1771" max="1771" width="18.33203125" style="54" customWidth="1"/>
    <col min="1772" max="1772" width="4.109375" style="54" customWidth="1"/>
    <col min="1773" max="1773" width="9.44140625" style="54" customWidth="1"/>
    <col min="1774" max="1781" width="13" style="54" customWidth="1"/>
    <col min="1782" max="1782" width="11.109375" style="54" customWidth="1"/>
    <col min="1783" max="1784" width="8.88671875" style="54"/>
    <col min="1785" max="1786" width="1.44140625" style="54" customWidth="1"/>
    <col min="1787" max="1787" width="5" style="54" customWidth="1"/>
    <col min="1788" max="1796" width="1.44140625" style="54" customWidth="1"/>
    <col min="1797" max="2023" width="8.88671875" style="54"/>
    <col min="2024" max="2025" width="13" style="54" hidden="1" customWidth="1"/>
    <col min="2026" max="2026" width="25.44140625" style="54" customWidth="1"/>
    <col min="2027" max="2027" width="18.33203125" style="54" customWidth="1"/>
    <col min="2028" max="2028" width="4.109375" style="54" customWidth="1"/>
    <col min="2029" max="2029" width="9.44140625" style="54" customWidth="1"/>
    <col min="2030" max="2037" width="13" style="54" customWidth="1"/>
    <col min="2038" max="2038" width="11.109375" style="54" customWidth="1"/>
    <col min="2039" max="2040" width="8.88671875" style="54"/>
    <col min="2041" max="2042" width="1.44140625" style="54" customWidth="1"/>
    <col min="2043" max="2043" width="5" style="54" customWidth="1"/>
    <col min="2044" max="2052" width="1.44140625" style="54" customWidth="1"/>
    <col min="2053" max="2279" width="8.88671875" style="54"/>
    <col min="2280" max="2281" width="13" style="54" hidden="1" customWidth="1"/>
    <col min="2282" max="2282" width="25.44140625" style="54" customWidth="1"/>
    <col min="2283" max="2283" width="18.33203125" style="54" customWidth="1"/>
    <col min="2284" max="2284" width="4.109375" style="54" customWidth="1"/>
    <col min="2285" max="2285" width="9.44140625" style="54" customWidth="1"/>
    <col min="2286" max="2293" width="13" style="54" customWidth="1"/>
    <col min="2294" max="2294" width="11.109375" style="54" customWidth="1"/>
    <col min="2295" max="2296" width="8.88671875" style="54"/>
    <col min="2297" max="2298" width="1.44140625" style="54" customWidth="1"/>
    <col min="2299" max="2299" width="5" style="54" customWidth="1"/>
    <col min="2300" max="2308" width="1.44140625" style="54" customWidth="1"/>
    <col min="2309" max="2535" width="8.88671875" style="54"/>
    <col min="2536" max="2537" width="13" style="54" hidden="1" customWidth="1"/>
    <col min="2538" max="2538" width="25.44140625" style="54" customWidth="1"/>
    <col min="2539" max="2539" width="18.33203125" style="54" customWidth="1"/>
    <col min="2540" max="2540" width="4.109375" style="54" customWidth="1"/>
    <col min="2541" max="2541" width="9.44140625" style="54" customWidth="1"/>
    <col min="2542" max="2549" width="13" style="54" customWidth="1"/>
    <col min="2550" max="2550" width="11.109375" style="54" customWidth="1"/>
    <col min="2551" max="2552" width="8.88671875" style="54"/>
    <col min="2553" max="2554" width="1.44140625" style="54" customWidth="1"/>
    <col min="2555" max="2555" width="5" style="54" customWidth="1"/>
    <col min="2556" max="2564" width="1.44140625" style="54" customWidth="1"/>
    <col min="2565" max="2791" width="8.88671875" style="54"/>
    <col min="2792" max="2793" width="13" style="54" hidden="1" customWidth="1"/>
    <col min="2794" max="2794" width="25.44140625" style="54" customWidth="1"/>
    <col min="2795" max="2795" width="18.33203125" style="54" customWidth="1"/>
    <col min="2796" max="2796" width="4.109375" style="54" customWidth="1"/>
    <col min="2797" max="2797" width="9.44140625" style="54" customWidth="1"/>
    <col min="2798" max="2805" width="13" style="54" customWidth="1"/>
    <col min="2806" max="2806" width="11.109375" style="54" customWidth="1"/>
    <col min="2807" max="2808" width="8.88671875" style="54"/>
    <col min="2809" max="2810" width="1.44140625" style="54" customWidth="1"/>
    <col min="2811" max="2811" width="5" style="54" customWidth="1"/>
    <col min="2812" max="2820" width="1.44140625" style="54" customWidth="1"/>
    <col min="2821" max="3047" width="8.88671875" style="54"/>
    <col min="3048" max="3049" width="13" style="54" hidden="1" customWidth="1"/>
    <col min="3050" max="3050" width="25.44140625" style="54" customWidth="1"/>
    <col min="3051" max="3051" width="18.33203125" style="54" customWidth="1"/>
    <col min="3052" max="3052" width="4.109375" style="54" customWidth="1"/>
    <col min="3053" max="3053" width="9.44140625" style="54" customWidth="1"/>
    <col min="3054" max="3061" width="13" style="54" customWidth="1"/>
    <col min="3062" max="3062" width="11.109375" style="54" customWidth="1"/>
    <col min="3063" max="3064" width="8.88671875" style="54"/>
    <col min="3065" max="3066" width="1.44140625" style="54" customWidth="1"/>
    <col min="3067" max="3067" width="5" style="54" customWidth="1"/>
    <col min="3068" max="3076" width="1.44140625" style="54" customWidth="1"/>
    <col min="3077" max="3303" width="8.88671875" style="54"/>
    <col min="3304" max="3305" width="13" style="54" hidden="1" customWidth="1"/>
    <col min="3306" max="3306" width="25.44140625" style="54" customWidth="1"/>
    <col min="3307" max="3307" width="18.33203125" style="54" customWidth="1"/>
    <col min="3308" max="3308" width="4.109375" style="54" customWidth="1"/>
    <col min="3309" max="3309" width="9.44140625" style="54" customWidth="1"/>
    <col min="3310" max="3317" width="13" style="54" customWidth="1"/>
    <col min="3318" max="3318" width="11.109375" style="54" customWidth="1"/>
    <col min="3319" max="3320" width="8.88671875" style="54"/>
    <col min="3321" max="3322" width="1.44140625" style="54" customWidth="1"/>
    <col min="3323" max="3323" width="5" style="54" customWidth="1"/>
    <col min="3324" max="3332" width="1.44140625" style="54" customWidth="1"/>
    <col min="3333" max="3559" width="8.88671875" style="54"/>
    <col min="3560" max="3561" width="13" style="54" hidden="1" customWidth="1"/>
    <col min="3562" max="3562" width="25.44140625" style="54" customWidth="1"/>
    <col min="3563" max="3563" width="18.33203125" style="54" customWidth="1"/>
    <col min="3564" max="3564" width="4.109375" style="54" customWidth="1"/>
    <col min="3565" max="3565" width="9.44140625" style="54" customWidth="1"/>
    <col min="3566" max="3573" width="13" style="54" customWidth="1"/>
    <col min="3574" max="3574" width="11.109375" style="54" customWidth="1"/>
    <col min="3575" max="3576" width="8.88671875" style="54"/>
    <col min="3577" max="3578" width="1.44140625" style="54" customWidth="1"/>
    <col min="3579" max="3579" width="5" style="54" customWidth="1"/>
    <col min="3580" max="3588" width="1.44140625" style="54" customWidth="1"/>
    <col min="3589" max="3815" width="8.88671875" style="54"/>
    <col min="3816" max="3817" width="13" style="54" hidden="1" customWidth="1"/>
    <col min="3818" max="3818" width="25.44140625" style="54" customWidth="1"/>
    <col min="3819" max="3819" width="18.33203125" style="54" customWidth="1"/>
    <col min="3820" max="3820" width="4.109375" style="54" customWidth="1"/>
    <col min="3821" max="3821" width="9.44140625" style="54" customWidth="1"/>
    <col min="3822" max="3829" width="13" style="54" customWidth="1"/>
    <col min="3830" max="3830" width="11.109375" style="54" customWidth="1"/>
    <col min="3831" max="3832" width="8.88671875" style="54"/>
    <col min="3833" max="3834" width="1.44140625" style="54" customWidth="1"/>
    <col min="3835" max="3835" width="5" style="54" customWidth="1"/>
    <col min="3836" max="3844" width="1.44140625" style="54" customWidth="1"/>
    <col min="3845" max="4071" width="8.88671875" style="54"/>
    <col min="4072" max="4073" width="13" style="54" hidden="1" customWidth="1"/>
    <col min="4074" max="4074" width="25.44140625" style="54" customWidth="1"/>
    <col min="4075" max="4075" width="18.33203125" style="54" customWidth="1"/>
    <col min="4076" max="4076" width="4.109375" style="54" customWidth="1"/>
    <col min="4077" max="4077" width="9.44140625" style="54" customWidth="1"/>
    <col min="4078" max="4085" width="13" style="54" customWidth="1"/>
    <col min="4086" max="4086" width="11.109375" style="54" customWidth="1"/>
    <col min="4087" max="4088" width="8.88671875" style="54"/>
    <col min="4089" max="4090" width="1.44140625" style="54" customWidth="1"/>
    <col min="4091" max="4091" width="5" style="54" customWidth="1"/>
    <col min="4092" max="4100" width="1.44140625" style="54" customWidth="1"/>
    <col min="4101" max="4327" width="8.88671875" style="54"/>
    <col min="4328" max="4329" width="13" style="54" hidden="1" customWidth="1"/>
    <col min="4330" max="4330" width="25.44140625" style="54" customWidth="1"/>
    <col min="4331" max="4331" width="18.33203125" style="54" customWidth="1"/>
    <col min="4332" max="4332" width="4.109375" style="54" customWidth="1"/>
    <col min="4333" max="4333" width="9.44140625" style="54" customWidth="1"/>
    <col min="4334" max="4341" width="13" style="54" customWidth="1"/>
    <col min="4342" max="4342" width="11.109375" style="54" customWidth="1"/>
    <col min="4343" max="4344" width="8.88671875" style="54"/>
    <col min="4345" max="4346" width="1.44140625" style="54" customWidth="1"/>
    <col min="4347" max="4347" width="5" style="54" customWidth="1"/>
    <col min="4348" max="4356" width="1.44140625" style="54" customWidth="1"/>
    <col min="4357" max="4583" width="8.88671875" style="54"/>
    <col min="4584" max="4585" width="13" style="54" hidden="1" customWidth="1"/>
    <col min="4586" max="4586" width="25.44140625" style="54" customWidth="1"/>
    <col min="4587" max="4587" width="18.33203125" style="54" customWidth="1"/>
    <col min="4588" max="4588" width="4.109375" style="54" customWidth="1"/>
    <col min="4589" max="4589" width="9.44140625" style="54" customWidth="1"/>
    <col min="4590" max="4597" width="13" style="54" customWidth="1"/>
    <col min="4598" max="4598" width="11.109375" style="54" customWidth="1"/>
    <col min="4599" max="4600" width="8.88671875" style="54"/>
    <col min="4601" max="4602" width="1.44140625" style="54" customWidth="1"/>
    <col min="4603" max="4603" width="5" style="54" customWidth="1"/>
    <col min="4604" max="4612" width="1.44140625" style="54" customWidth="1"/>
    <col min="4613" max="4839" width="8.88671875" style="54"/>
    <col min="4840" max="4841" width="13" style="54" hidden="1" customWidth="1"/>
    <col min="4842" max="4842" width="25.44140625" style="54" customWidth="1"/>
    <col min="4843" max="4843" width="18.33203125" style="54" customWidth="1"/>
    <col min="4844" max="4844" width="4.109375" style="54" customWidth="1"/>
    <col min="4845" max="4845" width="9.44140625" style="54" customWidth="1"/>
    <col min="4846" max="4853" width="13" style="54" customWidth="1"/>
    <col min="4854" max="4854" width="11.109375" style="54" customWidth="1"/>
    <col min="4855" max="4856" width="8.88671875" style="54"/>
    <col min="4857" max="4858" width="1.44140625" style="54" customWidth="1"/>
    <col min="4859" max="4859" width="5" style="54" customWidth="1"/>
    <col min="4860" max="4868" width="1.44140625" style="54" customWidth="1"/>
    <col min="4869" max="5095" width="8.88671875" style="54"/>
    <col min="5096" max="5097" width="13" style="54" hidden="1" customWidth="1"/>
    <col min="5098" max="5098" width="25.44140625" style="54" customWidth="1"/>
    <col min="5099" max="5099" width="18.33203125" style="54" customWidth="1"/>
    <col min="5100" max="5100" width="4.109375" style="54" customWidth="1"/>
    <col min="5101" max="5101" width="9.44140625" style="54" customWidth="1"/>
    <col min="5102" max="5109" width="13" style="54" customWidth="1"/>
    <col min="5110" max="5110" width="11.109375" style="54" customWidth="1"/>
    <col min="5111" max="5112" width="8.88671875" style="54"/>
    <col min="5113" max="5114" width="1.44140625" style="54" customWidth="1"/>
    <col min="5115" max="5115" width="5" style="54" customWidth="1"/>
    <col min="5116" max="5124" width="1.44140625" style="54" customWidth="1"/>
    <col min="5125" max="5351" width="8.88671875" style="54"/>
    <col min="5352" max="5353" width="13" style="54" hidden="1" customWidth="1"/>
    <col min="5354" max="5354" width="25.44140625" style="54" customWidth="1"/>
    <col min="5355" max="5355" width="18.33203125" style="54" customWidth="1"/>
    <col min="5356" max="5356" width="4.109375" style="54" customWidth="1"/>
    <col min="5357" max="5357" width="9.44140625" style="54" customWidth="1"/>
    <col min="5358" max="5365" width="13" style="54" customWidth="1"/>
    <col min="5366" max="5366" width="11.109375" style="54" customWidth="1"/>
    <col min="5367" max="5368" width="8.88671875" style="54"/>
    <col min="5369" max="5370" width="1.44140625" style="54" customWidth="1"/>
    <col min="5371" max="5371" width="5" style="54" customWidth="1"/>
    <col min="5372" max="5380" width="1.44140625" style="54" customWidth="1"/>
    <col min="5381" max="5607" width="8.88671875" style="54"/>
    <col min="5608" max="5609" width="13" style="54" hidden="1" customWidth="1"/>
    <col min="5610" max="5610" width="25.44140625" style="54" customWidth="1"/>
    <col min="5611" max="5611" width="18.33203125" style="54" customWidth="1"/>
    <col min="5612" max="5612" width="4.109375" style="54" customWidth="1"/>
    <col min="5613" max="5613" width="9.44140625" style="54" customWidth="1"/>
    <col min="5614" max="5621" width="13" style="54" customWidth="1"/>
    <col min="5622" max="5622" width="11.109375" style="54" customWidth="1"/>
    <col min="5623" max="5624" width="8.88671875" style="54"/>
    <col min="5625" max="5626" width="1.44140625" style="54" customWidth="1"/>
    <col min="5627" max="5627" width="5" style="54" customWidth="1"/>
    <col min="5628" max="5636" width="1.44140625" style="54" customWidth="1"/>
    <col min="5637" max="5863" width="8.88671875" style="54"/>
    <col min="5864" max="5865" width="13" style="54" hidden="1" customWidth="1"/>
    <col min="5866" max="5866" width="25.44140625" style="54" customWidth="1"/>
    <col min="5867" max="5867" width="18.33203125" style="54" customWidth="1"/>
    <col min="5868" max="5868" width="4.109375" style="54" customWidth="1"/>
    <col min="5869" max="5869" width="9.44140625" style="54" customWidth="1"/>
    <col min="5870" max="5877" width="13" style="54" customWidth="1"/>
    <col min="5878" max="5878" width="11.109375" style="54" customWidth="1"/>
    <col min="5879" max="5880" width="8.88671875" style="54"/>
    <col min="5881" max="5882" width="1.44140625" style="54" customWidth="1"/>
    <col min="5883" max="5883" width="5" style="54" customWidth="1"/>
    <col min="5884" max="5892" width="1.44140625" style="54" customWidth="1"/>
    <col min="5893" max="6119" width="8.88671875" style="54"/>
    <col min="6120" max="6121" width="13" style="54" hidden="1" customWidth="1"/>
    <col min="6122" max="6122" width="25.44140625" style="54" customWidth="1"/>
    <col min="6123" max="6123" width="18.33203125" style="54" customWidth="1"/>
    <col min="6124" max="6124" width="4.109375" style="54" customWidth="1"/>
    <col min="6125" max="6125" width="9.44140625" style="54" customWidth="1"/>
    <col min="6126" max="6133" width="13" style="54" customWidth="1"/>
    <col min="6134" max="6134" width="11.109375" style="54" customWidth="1"/>
    <col min="6135" max="6136" width="8.88671875" style="54"/>
    <col min="6137" max="6138" width="1.44140625" style="54" customWidth="1"/>
    <col min="6139" max="6139" width="5" style="54" customWidth="1"/>
    <col min="6140" max="6148" width="1.44140625" style="54" customWidth="1"/>
    <col min="6149" max="6375" width="8.88671875" style="54"/>
    <col min="6376" max="6377" width="13" style="54" hidden="1" customWidth="1"/>
    <col min="6378" max="6378" width="25.44140625" style="54" customWidth="1"/>
    <col min="6379" max="6379" width="18.33203125" style="54" customWidth="1"/>
    <col min="6380" max="6380" width="4.109375" style="54" customWidth="1"/>
    <col min="6381" max="6381" width="9.44140625" style="54" customWidth="1"/>
    <col min="6382" max="6389" width="13" style="54" customWidth="1"/>
    <col min="6390" max="6390" width="11.109375" style="54" customWidth="1"/>
    <col min="6391" max="6392" width="8.88671875" style="54"/>
    <col min="6393" max="6394" width="1.44140625" style="54" customWidth="1"/>
    <col min="6395" max="6395" width="5" style="54" customWidth="1"/>
    <col min="6396" max="6404" width="1.44140625" style="54" customWidth="1"/>
    <col min="6405" max="6631" width="8.88671875" style="54"/>
    <col min="6632" max="6633" width="13" style="54" hidden="1" customWidth="1"/>
    <col min="6634" max="6634" width="25.44140625" style="54" customWidth="1"/>
    <col min="6635" max="6635" width="18.33203125" style="54" customWidth="1"/>
    <col min="6636" max="6636" width="4.109375" style="54" customWidth="1"/>
    <col min="6637" max="6637" width="9.44140625" style="54" customWidth="1"/>
    <col min="6638" max="6645" width="13" style="54" customWidth="1"/>
    <col min="6646" max="6646" width="11.109375" style="54" customWidth="1"/>
    <col min="6647" max="6648" width="8.88671875" style="54"/>
    <col min="6649" max="6650" width="1.44140625" style="54" customWidth="1"/>
    <col min="6651" max="6651" width="5" style="54" customWidth="1"/>
    <col min="6652" max="6660" width="1.44140625" style="54" customWidth="1"/>
    <col min="6661" max="6887" width="8.88671875" style="54"/>
    <col min="6888" max="6889" width="13" style="54" hidden="1" customWidth="1"/>
    <col min="6890" max="6890" width="25.44140625" style="54" customWidth="1"/>
    <col min="6891" max="6891" width="18.33203125" style="54" customWidth="1"/>
    <col min="6892" max="6892" width="4.109375" style="54" customWidth="1"/>
    <col min="6893" max="6893" width="9.44140625" style="54" customWidth="1"/>
    <col min="6894" max="6901" width="13" style="54" customWidth="1"/>
    <col min="6902" max="6902" width="11.109375" style="54" customWidth="1"/>
    <col min="6903" max="6904" width="8.88671875" style="54"/>
    <col min="6905" max="6906" width="1.44140625" style="54" customWidth="1"/>
    <col min="6907" max="6907" width="5" style="54" customWidth="1"/>
    <col min="6908" max="6916" width="1.44140625" style="54" customWidth="1"/>
    <col min="6917" max="7143" width="8.88671875" style="54"/>
    <col min="7144" max="7145" width="13" style="54" hidden="1" customWidth="1"/>
    <col min="7146" max="7146" width="25.44140625" style="54" customWidth="1"/>
    <col min="7147" max="7147" width="18.33203125" style="54" customWidth="1"/>
    <col min="7148" max="7148" width="4.109375" style="54" customWidth="1"/>
    <col min="7149" max="7149" width="9.44140625" style="54" customWidth="1"/>
    <col min="7150" max="7157" width="13" style="54" customWidth="1"/>
    <col min="7158" max="7158" width="11.109375" style="54" customWidth="1"/>
    <col min="7159" max="7160" width="8.88671875" style="54"/>
    <col min="7161" max="7162" width="1.44140625" style="54" customWidth="1"/>
    <col min="7163" max="7163" width="5" style="54" customWidth="1"/>
    <col min="7164" max="7172" width="1.44140625" style="54" customWidth="1"/>
    <col min="7173" max="7399" width="8.88671875" style="54"/>
    <col min="7400" max="7401" width="13" style="54" hidden="1" customWidth="1"/>
    <col min="7402" max="7402" width="25.44140625" style="54" customWidth="1"/>
    <col min="7403" max="7403" width="18.33203125" style="54" customWidth="1"/>
    <col min="7404" max="7404" width="4.109375" style="54" customWidth="1"/>
    <col min="7405" max="7405" width="9.44140625" style="54" customWidth="1"/>
    <col min="7406" max="7413" width="13" style="54" customWidth="1"/>
    <col min="7414" max="7414" width="11.109375" style="54" customWidth="1"/>
    <col min="7415" max="7416" width="8.88671875" style="54"/>
    <col min="7417" max="7418" width="1.44140625" style="54" customWidth="1"/>
    <col min="7419" max="7419" width="5" style="54" customWidth="1"/>
    <col min="7420" max="7428" width="1.44140625" style="54" customWidth="1"/>
    <col min="7429" max="7655" width="8.88671875" style="54"/>
    <col min="7656" max="7657" width="13" style="54" hidden="1" customWidth="1"/>
    <col min="7658" max="7658" width="25.44140625" style="54" customWidth="1"/>
    <col min="7659" max="7659" width="18.33203125" style="54" customWidth="1"/>
    <col min="7660" max="7660" width="4.109375" style="54" customWidth="1"/>
    <col min="7661" max="7661" width="9.44140625" style="54" customWidth="1"/>
    <col min="7662" max="7669" width="13" style="54" customWidth="1"/>
    <col min="7670" max="7670" width="11.109375" style="54" customWidth="1"/>
    <col min="7671" max="7672" width="8.88671875" style="54"/>
    <col min="7673" max="7674" width="1.44140625" style="54" customWidth="1"/>
    <col min="7675" max="7675" width="5" style="54" customWidth="1"/>
    <col min="7676" max="7684" width="1.44140625" style="54" customWidth="1"/>
    <col min="7685" max="7911" width="8.88671875" style="54"/>
    <col min="7912" max="7913" width="13" style="54" hidden="1" customWidth="1"/>
    <col min="7914" max="7914" width="25.44140625" style="54" customWidth="1"/>
    <col min="7915" max="7915" width="18.33203125" style="54" customWidth="1"/>
    <col min="7916" max="7916" width="4.109375" style="54" customWidth="1"/>
    <col min="7917" max="7917" width="9.44140625" style="54" customWidth="1"/>
    <col min="7918" max="7925" width="13" style="54" customWidth="1"/>
    <col min="7926" max="7926" width="11.109375" style="54" customWidth="1"/>
    <col min="7927" max="7928" width="8.88671875" style="54"/>
    <col min="7929" max="7930" width="1.44140625" style="54" customWidth="1"/>
    <col min="7931" max="7931" width="5" style="54" customWidth="1"/>
    <col min="7932" max="7940" width="1.44140625" style="54" customWidth="1"/>
    <col min="7941" max="8167" width="8.88671875" style="54"/>
    <col min="8168" max="8169" width="13" style="54" hidden="1" customWidth="1"/>
    <col min="8170" max="8170" width="25.44140625" style="54" customWidth="1"/>
    <col min="8171" max="8171" width="18.33203125" style="54" customWidth="1"/>
    <col min="8172" max="8172" width="4.109375" style="54" customWidth="1"/>
    <col min="8173" max="8173" width="9.44140625" style="54" customWidth="1"/>
    <col min="8174" max="8181" width="13" style="54" customWidth="1"/>
    <col min="8182" max="8182" width="11.109375" style="54" customWidth="1"/>
    <col min="8183" max="8184" width="8.88671875" style="54"/>
    <col min="8185" max="8186" width="1.44140625" style="54" customWidth="1"/>
    <col min="8187" max="8187" width="5" style="54" customWidth="1"/>
    <col min="8188" max="8196" width="1.44140625" style="54" customWidth="1"/>
    <col min="8197" max="8423" width="8.88671875" style="54"/>
    <col min="8424" max="8425" width="13" style="54" hidden="1" customWidth="1"/>
    <col min="8426" max="8426" width="25.44140625" style="54" customWidth="1"/>
    <col min="8427" max="8427" width="18.33203125" style="54" customWidth="1"/>
    <col min="8428" max="8428" width="4.109375" style="54" customWidth="1"/>
    <col min="8429" max="8429" width="9.44140625" style="54" customWidth="1"/>
    <col min="8430" max="8437" width="13" style="54" customWidth="1"/>
    <col min="8438" max="8438" width="11.109375" style="54" customWidth="1"/>
    <col min="8439" max="8440" width="8.88671875" style="54"/>
    <col min="8441" max="8442" width="1.44140625" style="54" customWidth="1"/>
    <col min="8443" max="8443" width="5" style="54" customWidth="1"/>
    <col min="8444" max="8452" width="1.44140625" style="54" customWidth="1"/>
    <col min="8453" max="8679" width="8.88671875" style="54"/>
    <col min="8680" max="8681" width="13" style="54" hidden="1" customWidth="1"/>
    <col min="8682" max="8682" width="25.44140625" style="54" customWidth="1"/>
    <col min="8683" max="8683" width="18.33203125" style="54" customWidth="1"/>
    <col min="8684" max="8684" width="4.109375" style="54" customWidth="1"/>
    <col min="8685" max="8685" width="9.44140625" style="54" customWidth="1"/>
    <col min="8686" max="8693" width="13" style="54" customWidth="1"/>
    <col min="8694" max="8694" width="11.109375" style="54" customWidth="1"/>
    <col min="8695" max="8696" width="8.88671875" style="54"/>
    <col min="8697" max="8698" width="1.44140625" style="54" customWidth="1"/>
    <col min="8699" max="8699" width="5" style="54" customWidth="1"/>
    <col min="8700" max="8708" width="1.44140625" style="54" customWidth="1"/>
    <col min="8709" max="8935" width="8.88671875" style="54"/>
    <col min="8936" max="8937" width="13" style="54" hidden="1" customWidth="1"/>
    <col min="8938" max="8938" width="25.44140625" style="54" customWidth="1"/>
    <col min="8939" max="8939" width="18.33203125" style="54" customWidth="1"/>
    <col min="8940" max="8940" width="4.109375" style="54" customWidth="1"/>
    <col min="8941" max="8941" width="9.44140625" style="54" customWidth="1"/>
    <col min="8942" max="8949" width="13" style="54" customWidth="1"/>
    <col min="8950" max="8950" width="11.109375" style="54" customWidth="1"/>
    <col min="8951" max="8952" width="8.88671875" style="54"/>
    <col min="8953" max="8954" width="1.44140625" style="54" customWidth="1"/>
    <col min="8955" max="8955" width="5" style="54" customWidth="1"/>
    <col min="8956" max="8964" width="1.44140625" style="54" customWidth="1"/>
    <col min="8965" max="9191" width="8.88671875" style="54"/>
    <col min="9192" max="9193" width="13" style="54" hidden="1" customWidth="1"/>
    <col min="9194" max="9194" width="25.44140625" style="54" customWidth="1"/>
    <col min="9195" max="9195" width="18.33203125" style="54" customWidth="1"/>
    <col min="9196" max="9196" width="4.109375" style="54" customWidth="1"/>
    <col min="9197" max="9197" width="9.44140625" style="54" customWidth="1"/>
    <col min="9198" max="9205" width="13" style="54" customWidth="1"/>
    <col min="9206" max="9206" width="11.109375" style="54" customWidth="1"/>
    <col min="9207" max="9208" width="8.88671875" style="54"/>
    <col min="9209" max="9210" width="1.44140625" style="54" customWidth="1"/>
    <col min="9211" max="9211" width="5" style="54" customWidth="1"/>
    <col min="9212" max="9220" width="1.44140625" style="54" customWidth="1"/>
    <col min="9221" max="9447" width="8.88671875" style="54"/>
    <col min="9448" max="9449" width="13" style="54" hidden="1" customWidth="1"/>
    <col min="9450" max="9450" width="25.44140625" style="54" customWidth="1"/>
    <col min="9451" max="9451" width="18.33203125" style="54" customWidth="1"/>
    <col min="9452" max="9452" width="4.109375" style="54" customWidth="1"/>
    <col min="9453" max="9453" width="9.44140625" style="54" customWidth="1"/>
    <col min="9454" max="9461" width="13" style="54" customWidth="1"/>
    <col min="9462" max="9462" width="11.109375" style="54" customWidth="1"/>
    <col min="9463" max="9464" width="8.88671875" style="54"/>
    <col min="9465" max="9466" width="1.44140625" style="54" customWidth="1"/>
    <col min="9467" max="9467" width="5" style="54" customWidth="1"/>
    <col min="9468" max="9476" width="1.44140625" style="54" customWidth="1"/>
    <col min="9477" max="9703" width="8.88671875" style="54"/>
    <col min="9704" max="9705" width="13" style="54" hidden="1" customWidth="1"/>
    <col min="9706" max="9706" width="25.44140625" style="54" customWidth="1"/>
    <col min="9707" max="9707" width="18.33203125" style="54" customWidth="1"/>
    <col min="9708" max="9708" width="4.109375" style="54" customWidth="1"/>
    <col min="9709" max="9709" width="9.44140625" style="54" customWidth="1"/>
    <col min="9710" max="9717" width="13" style="54" customWidth="1"/>
    <col min="9718" max="9718" width="11.109375" style="54" customWidth="1"/>
    <col min="9719" max="9720" width="8.88671875" style="54"/>
    <col min="9721" max="9722" width="1.44140625" style="54" customWidth="1"/>
    <col min="9723" max="9723" width="5" style="54" customWidth="1"/>
    <col min="9724" max="9732" width="1.44140625" style="54" customWidth="1"/>
    <col min="9733" max="9959" width="8.88671875" style="54"/>
    <col min="9960" max="9961" width="13" style="54" hidden="1" customWidth="1"/>
    <col min="9962" max="9962" width="25.44140625" style="54" customWidth="1"/>
    <col min="9963" max="9963" width="18.33203125" style="54" customWidth="1"/>
    <col min="9964" max="9964" width="4.109375" style="54" customWidth="1"/>
    <col min="9965" max="9965" width="9.44140625" style="54" customWidth="1"/>
    <col min="9966" max="9973" width="13" style="54" customWidth="1"/>
    <col min="9974" max="9974" width="11.109375" style="54" customWidth="1"/>
    <col min="9975" max="9976" width="8.88671875" style="54"/>
    <col min="9977" max="9978" width="1.44140625" style="54" customWidth="1"/>
    <col min="9979" max="9979" width="5" style="54" customWidth="1"/>
    <col min="9980" max="9988" width="1.44140625" style="54" customWidth="1"/>
    <col min="9989" max="10215" width="8.88671875" style="54"/>
    <col min="10216" max="10217" width="13" style="54" hidden="1" customWidth="1"/>
    <col min="10218" max="10218" width="25.44140625" style="54" customWidth="1"/>
    <col min="10219" max="10219" width="18.33203125" style="54" customWidth="1"/>
    <col min="10220" max="10220" width="4.109375" style="54" customWidth="1"/>
    <col min="10221" max="10221" width="9.44140625" style="54" customWidth="1"/>
    <col min="10222" max="10229" width="13" style="54" customWidth="1"/>
    <col min="10230" max="10230" width="11.109375" style="54" customWidth="1"/>
    <col min="10231" max="10232" width="8.88671875" style="54"/>
    <col min="10233" max="10234" width="1.44140625" style="54" customWidth="1"/>
    <col min="10235" max="10235" width="5" style="54" customWidth="1"/>
    <col min="10236" max="10244" width="1.44140625" style="54" customWidth="1"/>
    <col min="10245" max="10471" width="8.88671875" style="54"/>
    <col min="10472" max="10473" width="13" style="54" hidden="1" customWidth="1"/>
    <col min="10474" max="10474" width="25.44140625" style="54" customWidth="1"/>
    <col min="10475" max="10475" width="18.33203125" style="54" customWidth="1"/>
    <col min="10476" max="10476" width="4.109375" style="54" customWidth="1"/>
    <col min="10477" max="10477" width="9.44140625" style="54" customWidth="1"/>
    <col min="10478" max="10485" width="13" style="54" customWidth="1"/>
    <col min="10486" max="10486" width="11.109375" style="54" customWidth="1"/>
    <col min="10487" max="10488" width="8.88671875" style="54"/>
    <col min="10489" max="10490" width="1.44140625" style="54" customWidth="1"/>
    <col min="10491" max="10491" width="5" style="54" customWidth="1"/>
    <col min="10492" max="10500" width="1.44140625" style="54" customWidth="1"/>
    <col min="10501" max="10727" width="8.88671875" style="54"/>
    <col min="10728" max="10729" width="13" style="54" hidden="1" customWidth="1"/>
    <col min="10730" max="10730" width="25.44140625" style="54" customWidth="1"/>
    <col min="10731" max="10731" width="18.33203125" style="54" customWidth="1"/>
    <col min="10732" max="10732" width="4.109375" style="54" customWidth="1"/>
    <col min="10733" max="10733" width="9.44140625" style="54" customWidth="1"/>
    <col min="10734" max="10741" width="13" style="54" customWidth="1"/>
    <col min="10742" max="10742" width="11.109375" style="54" customWidth="1"/>
    <col min="10743" max="10744" width="8.88671875" style="54"/>
    <col min="10745" max="10746" width="1.44140625" style="54" customWidth="1"/>
    <col min="10747" max="10747" width="5" style="54" customWidth="1"/>
    <col min="10748" max="10756" width="1.44140625" style="54" customWidth="1"/>
    <col min="10757" max="10983" width="8.88671875" style="54"/>
    <col min="10984" max="10985" width="13" style="54" hidden="1" customWidth="1"/>
    <col min="10986" max="10986" width="25.44140625" style="54" customWidth="1"/>
    <col min="10987" max="10987" width="18.33203125" style="54" customWidth="1"/>
    <col min="10988" max="10988" width="4.109375" style="54" customWidth="1"/>
    <col min="10989" max="10989" width="9.44140625" style="54" customWidth="1"/>
    <col min="10990" max="10997" width="13" style="54" customWidth="1"/>
    <col min="10998" max="10998" width="11.109375" style="54" customWidth="1"/>
    <col min="10999" max="11000" width="8.88671875" style="54"/>
    <col min="11001" max="11002" width="1.44140625" style="54" customWidth="1"/>
    <col min="11003" max="11003" width="5" style="54" customWidth="1"/>
    <col min="11004" max="11012" width="1.44140625" style="54" customWidth="1"/>
    <col min="11013" max="11239" width="8.88671875" style="54"/>
    <col min="11240" max="11241" width="13" style="54" hidden="1" customWidth="1"/>
    <col min="11242" max="11242" width="25.44140625" style="54" customWidth="1"/>
    <col min="11243" max="11243" width="18.33203125" style="54" customWidth="1"/>
    <col min="11244" max="11244" width="4.109375" style="54" customWidth="1"/>
    <col min="11245" max="11245" width="9.44140625" style="54" customWidth="1"/>
    <col min="11246" max="11253" width="13" style="54" customWidth="1"/>
    <col min="11254" max="11254" width="11.109375" style="54" customWidth="1"/>
    <col min="11255" max="11256" width="8.88671875" style="54"/>
    <col min="11257" max="11258" width="1.44140625" style="54" customWidth="1"/>
    <col min="11259" max="11259" width="5" style="54" customWidth="1"/>
    <col min="11260" max="11268" width="1.44140625" style="54" customWidth="1"/>
    <col min="11269" max="11495" width="8.88671875" style="54"/>
    <col min="11496" max="11497" width="13" style="54" hidden="1" customWidth="1"/>
    <col min="11498" max="11498" width="25.44140625" style="54" customWidth="1"/>
    <col min="11499" max="11499" width="18.33203125" style="54" customWidth="1"/>
    <col min="11500" max="11500" width="4.109375" style="54" customWidth="1"/>
    <col min="11501" max="11501" width="9.44140625" style="54" customWidth="1"/>
    <col min="11502" max="11509" width="13" style="54" customWidth="1"/>
    <col min="11510" max="11510" width="11.109375" style="54" customWidth="1"/>
    <col min="11511" max="11512" width="8.88671875" style="54"/>
    <col min="11513" max="11514" width="1.44140625" style="54" customWidth="1"/>
    <col min="11515" max="11515" width="5" style="54" customWidth="1"/>
    <col min="11516" max="11524" width="1.44140625" style="54" customWidth="1"/>
    <col min="11525" max="11751" width="8.88671875" style="54"/>
    <col min="11752" max="11753" width="13" style="54" hidden="1" customWidth="1"/>
    <col min="11754" max="11754" width="25.44140625" style="54" customWidth="1"/>
    <col min="11755" max="11755" width="18.33203125" style="54" customWidth="1"/>
    <col min="11756" max="11756" width="4.109375" style="54" customWidth="1"/>
    <col min="11757" max="11757" width="9.44140625" style="54" customWidth="1"/>
    <col min="11758" max="11765" width="13" style="54" customWidth="1"/>
    <col min="11766" max="11766" width="11.109375" style="54" customWidth="1"/>
    <col min="11767" max="11768" width="8.88671875" style="54"/>
    <col min="11769" max="11770" width="1.44140625" style="54" customWidth="1"/>
    <col min="11771" max="11771" width="5" style="54" customWidth="1"/>
    <col min="11772" max="11780" width="1.44140625" style="54" customWidth="1"/>
    <col min="11781" max="12007" width="8.88671875" style="54"/>
    <col min="12008" max="12009" width="13" style="54" hidden="1" customWidth="1"/>
    <col min="12010" max="12010" width="25.44140625" style="54" customWidth="1"/>
    <col min="12011" max="12011" width="18.33203125" style="54" customWidth="1"/>
    <col min="12012" max="12012" width="4.109375" style="54" customWidth="1"/>
    <col min="12013" max="12013" width="9.44140625" style="54" customWidth="1"/>
    <col min="12014" max="12021" width="13" style="54" customWidth="1"/>
    <col min="12022" max="12022" width="11.109375" style="54" customWidth="1"/>
    <col min="12023" max="12024" width="8.88671875" style="54"/>
    <col min="12025" max="12026" width="1.44140625" style="54" customWidth="1"/>
    <col min="12027" max="12027" width="5" style="54" customWidth="1"/>
    <col min="12028" max="12036" width="1.44140625" style="54" customWidth="1"/>
    <col min="12037" max="12263" width="8.88671875" style="54"/>
    <col min="12264" max="12265" width="13" style="54" hidden="1" customWidth="1"/>
    <col min="12266" max="12266" width="25.44140625" style="54" customWidth="1"/>
    <col min="12267" max="12267" width="18.33203125" style="54" customWidth="1"/>
    <col min="12268" max="12268" width="4.109375" style="54" customWidth="1"/>
    <col min="12269" max="12269" width="9.44140625" style="54" customWidth="1"/>
    <col min="12270" max="12277" width="13" style="54" customWidth="1"/>
    <col min="12278" max="12278" width="11.109375" style="54" customWidth="1"/>
    <col min="12279" max="12280" width="8.88671875" style="54"/>
    <col min="12281" max="12282" width="1.44140625" style="54" customWidth="1"/>
    <col min="12283" max="12283" width="5" style="54" customWidth="1"/>
    <col min="12284" max="12292" width="1.44140625" style="54" customWidth="1"/>
    <col min="12293" max="12519" width="8.88671875" style="54"/>
    <col min="12520" max="12521" width="13" style="54" hidden="1" customWidth="1"/>
    <col min="12522" max="12522" width="25.44140625" style="54" customWidth="1"/>
    <col min="12523" max="12523" width="18.33203125" style="54" customWidth="1"/>
    <col min="12524" max="12524" width="4.109375" style="54" customWidth="1"/>
    <col min="12525" max="12525" width="9.44140625" style="54" customWidth="1"/>
    <col min="12526" max="12533" width="13" style="54" customWidth="1"/>
    <col min="12534" max="12534" width="11.109375" style="54" customWidth="1"/>
    <col min="12535" max="12536" width="8.88671875" style="54"/>
    <col min="12537" max="12538" width="1.44140625" style="54" customWidth="1"/>
    <col min="12539" max="12539" width="5" style="54" customWidth="1"/>
    <col min="12540" max="12548" width="1.44140625" style="54" customWidth="1"/>
    <col min="12549" max="12775" width="8.88671875" style="54"/>
    <col min="12776" max="12777" width="13" style="54" hidden="1" customWidth="1"/>
    <col min="12778" max="12778" width="25.44140625" style="54" customWidth="1"/>
    <col min="12779" max="12779" width="18.33203125" style="54" customWidth="1"/>
    <col min="12780" max="12780" width="4.109375" style="54" customWidth="1"/>
    <col min="12781" max="12781" width="9.44140625" style="54" customWidth="1"/>
    <col min="12782" max="12789" width="13" style="54" customWidth="1"/>
    <col min="12790" max="12790" width="11.109375" style="54" customWidth="1"/>
    <col min="12791" max="12792" width="8.88671875" style="54"/>
    <col min="12793" max="12794" width="1.44140625" style="54" customWidth="1"/>
    <col min="12795" max="12795" width="5" style="54" customWidth="1"/>
    <col min="12796" max="12804" width="1.44140625" style="54" customWidth="1"/>
    <col min="12805" max="13031" width="8.88671875" style="54"/>
    <col min="13032" max="13033" width="13" style="54" hidden="1" customWidth="1"/>
    <col min="13034" max="13034" width="25.44140625" style="54" customWidth="1"/>
    <col min="13035" max="13035" width="18.33203125" style="54" customWidth="1"/>
    <col min="13036" max="13036" width="4.109375" style="54" customWidth="1"/>
    <col min="13037" max="13037" width="9.44140625" style="54" customWidth="1"/>
    <col min="13038" max="13045" width="13" style="54" customWidth="1"/>
    <col min="13046" max="13046" width="11.109375" style="54" customWidth="1"/>
    <col min="13047" max="13048" width="8.88671875" style="54"/>
    <col min="13049" max="13050" width="1.44140625" style="54" customWidth="1"/>
    <col min="13051" max="13051" width="5" style="54" customWidth="1"/>
    <col min="13052" max="13060" width="1.44140625" style="54" customWidth="1"/>
    <col min="13061" max="13287" width="8.88671875" style="54"/>
    <col min="13288" max="13289" width="13" style="54" hidden="1" customWidth="1"/>
    <col min="13290" max="13290" width="25.44140625" style="54" customWidth="1"/>
    <col min="13291" max="13291" width="18.33203125" style="54" customWidth="1"/>
    <col min="13292" max="13292" width="4.109375" style="54" customWidth="1"/>
    <col min="13293" max="13293" width="9.44140625" style="54" customWidth="1"/>
    <col min="13294" max="13301" width="13" style="54" customWidth="1"/>
    <col min="13302" max="13302" width="11.109375" style="54" customWidth="1"/>
    <col min="13303" max="13304" width="8.88671875" style="54"/>
    <col min="13305" max="13306" width="1.44140625" style="54" customWidth="1"/>
    <col min="13307" max="13307" width="5" style="54" customWidth="1"/>
    <col min="13308" max="13316" width="1.44140625" style="54" customWidth="1"/>
    <col min="13317" max="13543" width="8.88671875" style="54"/>
    <col min="13544" max="13545" width="13" style="54" hidden="1" customWidth="1"/>
    <col min="13546" max="13546" width="25.44140625" style="54" customWidth="1"/>
    <col min="13547" max="13547" width="18.33203125" style="54" customWidth="1"/>
    <col min="13548" max="13548" width="4.109375" style="54" customWidth="1"/>
    <col min="13549" max="13549" width="9.44140625" style="54" customWidth="1"/>
    <col min="13550" max="13557" width="13" style="54" customWidth="1"/>
    <col min="13558" max="13558" width="11.109375" style="54" customWidth="1"/>
    <col min="13559" max="13560" width="8.88671875" style="54"/>
    <col min="13561" max="13562" width="1.44140625" style="54" customWidth="1"/>
    <col min="13563" max="13563" width="5" style="54" customWidth="1"/>
    <col min="13564" max="13572" width="1.44140625" style="54" customWidth="1"/>
    <col min="13573" max="13799" width="8.88671875" style="54"/>
    <col min="13800" max="13801" width="13" style="54" hidden="1" customWidth="1"/>
    <col min="13802" max="13802" width="25.44140625" style="54" customWidth="1"/>
    <col min="13803" max="13803" width="18.33203125" style="54" customWidth="1"/>
    <col min="13804" max="13804" width="4.109375" style="54" customWidth="1"/>
    <col min="13805" max="13805" width="9.44140625" style="54" customWidth="1"/>
    <col min="13806" max="13813" width="13" style="54" customWidth="1"/>
    <col min="13814" max="13814" width="11.109375" style="54" customWidth="1"/>
    <col min="13815" max="13816" width="8.88671875" style="54"/>
    <col min="13817" max="13818" width="1.44140625" style="54" customWidth="1"/>
    <col min="13819" max="13819" width="5" style="54" customWidth="1"/>
    <col min="13820" max="13828" width="1.44140625" style="54" customWidth="1"/>
    <col min="13829" max="14055" width="8.88671875" style="54"/>
    <col min="14056" max="14057" width="13" style="54" hidden="1" customWidth="1"/>
    <col min="14058" max="14058" width="25.44140625" style="54" customWidth="1"/>
    <col min="14059" max="14059" width="18.33203125" style="54" customWidth="1"/>
    <col min="14060" max="14060" width="4.109375" style="54" customWidth="1"/>
    <col min="14061" max="14061" width="9.44140625" style="54" customWidth="1"/>
    <col min="14062" max="14069" width="13" style="54" customWidth="1"/>
    <col min="14070" max="14070" width="11.109375" style="54" customWidth="1"/>
    <col min="14071" max="14072" width="8.88671875" style="54"/>
    <col min="14073" max="14074" width="1.44140625" style="54" customWidth="1"/>
    <col min="14075" max="14075" width="5" style="54" customWidth="1"/>
    <col min="14076" max="14084" width="1.44140625" style="54" customWidth="1"/>
    <col min="14085" max="14311" width="8.88671875" style="54"/>
    <col min="14312" max="14313" width="13" style="54" hidden="1" customWidth="1"/>
    <col min="14314" max="14314" width="25.44140625" style="54" customWidth="1"/>
    <col min="14315" max="14315" width="18.33203125" style="54" customWidth="1"/>
    <col min="14316" max="14316" width="4.109375" style="54" customWidth="1"/>
    <col min="14317" max="14317" width="9.44140625" style="54" customWidth="1"/>
    <col min="14318" max="14325" width="13" style="54" customWidth="1"/>
    <col min="14326" max="14326" width="11.109375" style="54" customWidth="1"/>
    <col min="14327" max="14328" width="8.88671875" style="54"/>
    <col min="14329" max="14330" width="1.44140625" style="54" customWidth="1"/>
    <col min="14331" max="14331" width="5" style="54" customWidth="1"/>
    <col min="14332" max="14340" width="1.44140625" style="54" customWidth="1"/>
    <col min="14341" max="14567" width="8.88671875" style="54"/>
    <col min="14568" max="14569" width="13" style="54" hidden="1" customWidth="1"/>
    <col min="14570" max="14570" width="25.44140625" style="54" customWidth="1"/>
    <col min="14571" max="14571" width="18.33203125" style="54" customWidth="1"/>
    <col min="14572" max="14572" width="4.109375" style="54" customWidth="1"/>
    <col min="14573" max="14573" width="9.44140625" style="54" customWidth="1"/>
    <col min="14574" max="14581" width="13" style="54" customWidth="1"/>
    <col min="14582" max="14582" width="11.109375" style="54" customWidth="1"/>
    <col min="14583" max="14584" width="8.88671875" style="54"/>
    <col min="14585" max="14586" width="1.44140625" style="54" customWidth="1"/>
    <col min="14587" max="14587" width="5" style="54" customWidth="1"/>
    <col min="14588" max="14596" width="1.44140625" style="54" customWidth="1"/>
    <col min="14597" max="14823" width="8.88671875" style="54"/>
    <col min="14824" max="14825" width="13" style="54" hidden="1" customWidth="1"/>
    <col min="14826" max="14826" width="25.44140625" style="54" customWidth="1"/>
    <col min="14827" max="14827" width="18.33203125" style="54" customWidth="1"/>
    <col min="14828" max="14828" width="4.109375" style="54" customWidth="1"/>
    <col min="14829" max="14829" width="9.44140625" style="54" customWidth="1"/>
    <col min="14830" max="14837" width="13" style="54" customWidth="1"/>
    <col min="14838" max="14838" width="11.109375" style="54" customWidth="1"/>
    <col min="14839" max="14840" width="8.88671875" style="54"/>
    <col min="14841" max="14842" width="1.44140625" style="54" customWidth="1"/>
    <col min="14843" max="14843" width="5" style="54" customWidth="1"/>
    <col min="14844" max="14852" width="1.44140625" style="54" customWidth="1"/>
    <col min="14853" max="15079" width="8.88671875" style="54"/>
    <col min="15080" max="15081" width="13" style="54" hidden="1" customWidth="1"/>
    <col min="15082" max="15082" width="25.44140625" style="54" customWidth="1"/>
    <col min="15083" max="15083" width="18.33203125" style="54" customWidth="1"/>
    <col min="15084" max="15084" width="4.109375" style="54" customWidth="1"/>
    <col min="15085" max="15085" width="9.44140625" style="54" customWidth="1"/>
    <col min="15086" max="15093" width="13" style="54" customWidth="1"/>
    <col min="15094" max="15094" width="11.109375" style="54" customWidth="1"/>
    <col min="15095" max="15096" width="8.88671875" style="54"/>
    <col min="15097" max="15098" width="1.44140625" style="54" customWidth="1"/>
    <col min="15099" max="15099" width="5" style="54" customWidth="1"/>
    <col min="15100" max="15108" width="1.44140625" style="54" customWidth="1"/>
    <col min="15109" max="15335" width="8.88671875" style="54"/>
    <col min="15336" max="15337" width="13" style="54" hidden="1" customWidth="1"/>
    <col min="15338" max="15338" width="25.44140625" style="54" customWidth="1"/>
    <col min="15339" max="15339" width="18.33203125" style="54" customWidth="1"/>
    <col min="15340" max="15340" width="4.109375" style="54" customWidth="1"/>
    <col min="15341" max="15341" width="9.44140625" style="54" customWidth="1"/>
    <col min="15342" max="15349" width="13" style="54" customWidth="1"/>
    <col min="15350" max="15350" width="11.109375" style="54" customWidth="1"/>
    <col min="15351" max="15352" width="8.88671875" style="54"/>
    <col min="15353" max="15354" width="1.44140625" style="54" customWidth="1"/>
    <col min="15355" max="15355" width="5" style="54" customWidth="1"/>
    <col min="15356" max="15364" width="1.44140625" style="54" customWidth="1"/>
    <col min="15365" max="15591" width="8.88671875" style="54"/>
    <col min="15592" max="15593" width="13" style="54" hidden="1" customWidth="1"/>
    <col min="15594" max="15594" width="25.44140625" style="54" customWidth="1"/>
    <col min="15595" max="15595" width="18.33203125" style="54" customWidth="1"/>
    <col min="15596" max="15596" width="4.109375" style="54" customWidth="1"/>
    <col min="15597" max="15597" width="9.44140625" style="54" customWidth="1"/>
    <col min="15598" max="15605" width="13" style="54" customWidth="1"/>
    <col min="15606" max="15606" width="11.109375" style="54" customWidth="1"/>
    <col min="15607" max="15608" width="8.88671875" style="54"/>
    <col min="15609" max="15610" width="1.44140625" style="54" customWidth="1"/>
    <col min="15611" max="15611" width="5" style="54" customWidth="1"/>
    <col min="15612" max="15620" width="1.44140625" style="54" customWidth="1"/>
    <col min="15621" max="15847" width="8.88671875" style="54"/>
    <col min="15848" max="15849" width="13" style="54" hidden="1" customWidth="1"/>
    <col min="15850" max="15850" width="25.44140625" style="54" customWidth="1"/>
    <col min="15851" max="15851" width="18.33203125" style="54" customWidth="1"/>
    <col min="15852" max="15852" width="4.109375" style="54" customWidth="1"/>
    <col min="15853" max="15853" width="9.44140625" style="54" customWidth="1"/>
    <col min="15854" max="15861" width="13" style="54" customWidth="1"/>
    <col min="15862" max="15862" width="11.109375" style="54" customWidth="1"/>
    <col min="15863" max="15864" width="8.88671875" style="54"/>
    <col min="15865" max="15866" width="1.44140625" style="54" customWidth="1"/>
    <col min="15867" max="15867" width="5" style="54" customWidth="1"/>
    <col min="15868" max="15876" width="1.44140625" style="54" customWidth="1"/>
    <col min="15877" max="16103" width="8.88671875" style="54"/>
    <col min="16104" max="16105" width="13" style="54" hidden="1" customWidth="1"/>
    <col min="16106" max="16106" width="25.44140625" style="54" customWidth="1"/>
    <col min="16107" max="16107" width="18.33203125" style="54" customWidth="1"/>
    <col min="16108" max="16108" width="4.109375" style="54" customWidth="1"/>
    <col min="16109" max="16109" width="9.44140625" style="54" customWidth="1"/>
    <col min="16110" max="16117" width="13" style="54" customWidth="1"/>
    <col min="16118" max="16118" width="11.109375" style="54" customWidth="1"/>
    <col min="16119" max="16120" width="8.88671875" style="54"/>
    <col min="16121" max="16122" width="1.44140625" style="54" customWidth="1"/>
    <col min="16123" max="16123" width="5" style="54" customWidth="1"/>
    <col min="16124" max="16132" width="1.44140625" style="54" customWidth="1"/>
    <col min="16133" max="16384" width="8.88671875" style="54"/>
  </cols>
  <sheetData>
    <row r="1" spans="1:15" ht="30" customHeight="1">
      <c r="C1" s="310">
        <f>+전체집계!A2</f>
        <v>0</v>
      </c>
      <c r="D1" s="310"/>
      <c r="E1" s="310"/>
      <c r="F1" s="310"/>
      <c r="G1" s="310"/>
      <c r="H1" s="310"/>
      <c r="I1" s="310"/>
      <c r="J1" s="310"/>
      <c r="K1" s="310"/>
      <c r="L1" s="310"/>
      <c r="M1" s="310"/>
      <c r="N1" s="310"/>
      <c r="O1" s="310"/>
    </row>
    <row r="2" spans="1:15" s="76" customFormat="1" ht="30" customHeight="1">
      <c r="A2" s="311" t="s">
        <v>68</v>
      </c>
      <c r="B2" s="311" t="s">
        <v>69</v>
      </c>
      <c r="C2" s="312" t="s">
        <v>43</v>
      </c>
      <c r="D2" s="312" t="s">
        <v>44</v>
      </c>
      <c r="E2" s="312" t="s">
        <v>45</v>
      </c>
      <c r="F2" s="312" t="s">
        <v>70</v>
      </c>
      <c r="G2" s="312" t="s">
        <v>47</v>
      </c>
      <c r="H2" s="312"/>
      <c r="I2" s="312" t="s">
        <v>48</v>
      </c>
      <c r="J2" s="312"/>
      <c r="K2" s="312" t="s">
        <v>49</v>
      </c>
      <c r="L2" s="312"/>
      <c r="M2" s="312" t="s">
        <v>50</v>
      </c>
      <c r="N2" s="312"/>
      <c r="O2" s="312" t="s">
        <v>51</v>
      </c>
    </row>
    <row r="3" spans="1:15" s="76" customFormat="1" ht="30" customHeight="1">
      <c r="A3" s="311"/>
      <c r="B3" s="311"/>
      <c r="C3" s="311"/>
      <c r="D3" s="311"/>
      <c r="E3" s="311"/>
      <c r="F3" s="311"/>
      <c r="G3" s="75" t="s">
        <v>52</v>
      </c>
      <c r="H3" s="75" t="s">
        <v>71</v>
      </c>
      <c r="I3" s="75" t="s">
        <v>52</v>
      </c>
      <c r="J3" s="75" t="s">
        <v>72</v>
      </c>
      <c r="K3" s="75" t="s">
        <v>52</v>
      </c>
      <c r="L3" s="75" t="s">
        <v>72</v>
      </c>
      <c r="M3" s="75" t="s">
        <v>52</v>
      </c>
      <c r="N3" s="75" t="s">
        <v>72</v>
      </c>
      <c r="O3" s="312"/>
    </row>
    <row r="4" spans="1:15" ht="30" customHeight="1">
      <c r="A4" s="63"/>
      <c r="B4" s="63"/>
      <c r="C4" s="77" t="s">
        <v>73</v>
      </c>
      <c r="D4" s="77"/>
      <c r="E4" s="78"/>
      <c r="F4" s="77"/>
      <c r="G4" s="77"/>
      <c r="H4" s="77"/>
      <c r="I4" s="77"/>
      <c r="J4" s="77"/>
      <c r="K4" s="77"/>
      <c r="L4" s="77"/>
      <c r="M4" s="77"/>
      <c r="N4" s="77"/>
      <c r="O4" s="78"/>
    </row>
    <row r="5" spans="1:15" ht="30" customHeight="1">
      <c r="A5" s="63" t="s">
        <v>64</v>
      </c>
      <c r="B5" s="63" t="s">
        <v>74</v>
      </c>
      <c r="C5" s="79" t="s">
        <v>75</v>
      </c>
      <c r="D5" s="80" t="s">
        <v>76</v>
      </c>
      <c r="E5" s="81" t="s">
        <v>77</v>
      </c>
      <c r="F5" s="82">
        <v>1</v>
      </c>
      <c r="G5" s="63"/>
      <c r="H5" s="63">
        <f t="shared" ref="H5:H29" si="0">F5*G5</f>
        <v>0</v>
      </c>
      <c r="I5" s="63"/>
      <c r="J5" s="63">
        <f t="shared" ref="J5:J28" si="1">F5*I5</f>
        <v>0</v>
      </c>
      <c r="K5" s="63">
        <v>2914100</v>
      </c>
      <c r="L5" s="63">
        <f t="shared" ref="L5:L31" si="2">F5*K5</f>
        <v>2914100</v>
      </c>
      <c r="M5" s="63">
        <f t="shared" ref="M5:M31" si="3">+G5+I5+K5</f>
        <v>2914100</v>
      </c>
      <c r="N5" s="58">
        <f t="shared" ref="N5:N31" si="4">+H5+J5+L5</f>
        <v>2914100</v>
      </c>
      <c r="O5" s="83"/>
    </row>
    <row r="6" spans="1:15" ht="30" customHeight="1">
      <c r="A6" s="63"/>
      <c r="B6" s="63"/>
      <c r="C6" s="79" t="s">
        <v>78</v>
      </c>
      <c r="D6" s="79"/>
      <c r="E6" s="84" t="s">
        <v>79</v>
      </c>
      <c r="F6" s="82">
        <v>6</v>
      </c>
      <c r="G6" s="63"/>
      <c r="H6" s="63">
        <f t="shared" si="0"/>
        <v>0</v>
      </c>
      <c r="I6" s="63"/>
      <c r="J6" s="63">
        <f t="shared" si="1"/>
        <v>0</v>
      </c>
      <c r="K6" s="63">
        <v>999100</v>
      </c>
      <c r="L6" s="63">
        <f t="shared" si="2"/>
        <v>5994600</v>
      </c>
      <c r="M6" s="63">
        <f t="shared" si="3"/>
        <v>999100</v>
      </c>
      <c r="N6" s="58">
        <f t="shared" si="4"/>
        <v>5994600</v>
      </c>
      <c r="O6" s="83"/>
    </row>
    <row r="7" spans="1:15" ht="30" customHeight="1">
      <c r="A7" s="63"/>
      <c r="B7" s="63"/>
      <c r="C7" s="85" t="s">
        <v>80</v>
      </c>
      <c r="D7" s="86" t="s">
        <v>81</v>
      </c>
      <c r="E7" s="87" t="s">
        <v>82</v>
      </c>
      <c r="F7" s="88">
        <v>53</v>
      </c>
      <c r="G7" s="68">
        <v>15000</v>
      </c>
      <c r="H7" s="63">
        <f t="shared" si="0"/>
        <v>795000</v>
      </c>
      <c r="I7" s="68">
        <v>14600</v>
      </c>
      <c r="J7" s="63">
        <f t="shared" si="1"/>
        <v>773800</v>
      </c>
      <c r="K7" s="68">
        <v>5400</v>
      </c>
      <c r="L7" s="63">
        <f t="shared" si="2"/>
        <v>286200</v>
      </c>
      <c r="M7" s="68">
        <f t="shared" si="3"/>
        <v>35000</v>
      </c>
      <c r="N7" s="58">
        <f t="shared" si="4"/>
        <v>1855000</v>
      </c>
      <c r="O7" s="89"/>
    </row>
    <row r="8" spans="1:15" ht="30" customHeight="1">
      <c r="A8" s="63" t="s">
        <v>64</v>
      </c>
      <c r="B8" s="63" t="s">
        <v>83</v>
      </c>
      <c r="C8" s="79" t="s">
        <v>84</v>
      </c>
      <c r="D8" s="79"/>
      <c r="E8" s="84" t="s">
        <v>55</v>
      </c>
      <c r="F8" s="82">
        <v>1</v>
      </c>
      <c r="G8" s="63"/>
      <c r="H8" s="63">
        <f t="shared" si="0"/>
        <v>0</v>
      </c>
      <c r="I8" s="63"/>
      <c r="J8" s="63">
        <f t="shared" si="1"/>
        <v>0</v>
      </c>
      <c r="K8" s="63">
        <v>1248900</v>
      </c>
      <c r="L8" s="63">
        <f t="shared" si="2"/>
        <v>1248900</v>
      </c>
      <c r="M8" s="63">
        <f t="shared" si="3"/>
        <v>1248900</v>
      </c>
      <c r="N8" s="58">
        <f t="shared" si="4"/>
        <v>1248900</v>
      </c>
      <c r="O8" s="83"/>
    </row>
    <row r="9" spans="1:15" ht="30" customHeight="1">
      <c r="A9" s="63" t="s">
        <v>64</v>
      </c>
      <c r="B9" s="63" t="s">
        <v>85</v>
      </c>
      <c r="C9" s="79" t="s">
        <v>86</v>
      </c>
      <c r="D9" s="79"/>
      <c r="E9" s="84" t="s">
        <v>55</v>
      </c>
      <c r="F9" s="82">
        <v>1</v>
      </c>
      <c r="G9" s="63"/>
      <c r="H9" s="63">
        <f t="shared" si="0"/>
        <v>0</v>
      </c>
      <c r="I9" s="63"/>
      <c r="J9" s="63">
        <f t="shared" si="1"/>
        <v>0</v>
      </c>
      <c r="K9" s="63">
        <v>1165700</v>
      </c>
      <c r="L9" s="63">
        <f t="shared" si="2"/>
        <v>1165700</v>
      </c>
      <c r="M9" s="63">
        <f t="shared" si="3"/>
        <v>1165700</v>
      </c>
      <c r="N9" s="58">
        <f t="shared" si="4"/>
        <v>1165700</v>
      </c>
      <c r="O9" s="83"/>
    </row>
    <row r="10" spans="1:15" ht="30" customHeight="1">
      <c r="A10" s="63" t="s">
        <v>64</v>
      </c>
      <c r="B10" s="63" t="s">
        <v>83</v>
      </c>
      <c r="C10" s="79" t="s">
        <v>87</v>
      </c>
      <c r="D10" s="79"/>
      <c r="E10" s="84" t="s">
        <v>55</v>
      </c>
      <c r="F10" s="82">
        <v>1</v>
      </c>
      <c r="G10" s="63">
        <v>83300</v>
      </c>
      <c r="H10" s="63">
        <f t="shared" si="0"/>
        <v>83300</v>
      </c>
      <c r="I10" s="63">
        <v>333000</v>
      </c>
      <c r="J10" s="63">
        <f t="shared" si="1"/>
        <v>333000</v>
      </c>
      <c r="K10" s="63"/>
      <c r="L10" s="63">
        <f t="shared" si="2"/>
        <v>0</v>
      </c>
      <c r="M10" s="63">
        <f t="shared" si="3"/>
        <v>416300</v>
      </c>
      <c r="N10" s="58">
        <f t="shared" si="4"/>
        <v>416300</v>
      </c>
      <c r="O10" s="83"/>
    </row>
    <row r="11" spans="1:15" ht="30" customHeight="1">
      <c r="A11" s="63" t="s">
        <v>64</v>
      </c>
      <c r="B11" s="63" t="s">
        <v>85</v>
      </c>
      <c r="C11" s="79" t="s">
        <v>88</v>
      </c>
      <c r="D11" s="79"/>
      <c r="E11" s="84" t="s">
        <v>79</v>
      </c>
      <c r="F11" s="82">
        <v>6</v>
      </c>
      <c r="G11" s="63"/>
      <c r="H11" s="63">
        <f t="shared" si="0"/>
        <v>0</v>
      </c>
      <c r="I11" s="63"/>
      <c r="J11" s="63">
        <f t="shared" si="1"/>
        <v>0</v>
      </c>
      <c r="K11" s="63">
        <v>208200</v>
      </c>
      <c r="L11" s="63">
        <f t="shared" si="2"/>
        <v>1249200</v>
      </c>
      <c r="M11" s="63">
        <f t="shared" si="3"/>
        <v>208200</v>
      </c>
      <c r="N11" s="58">
        <f t="shared" si="4"/>
        <v>1249200</v>
      </c>
      <c r="O11" s="83"/>
    </row>
    <row r="12" spans="1:15" ht="30" customHeight="1">
      <c r="A12" s="63"/>
      <c r="B12" s="63"/>
      <c r="C12" s="79" t="s">
        <v>89</v>
      </c>
      <c r="D12" s="79"/>
      <c r="E12" s="84" t="s">
        <v>79</v>
      </c>
      <c r="F12" s="82">
        <v>6</v>
      </c>
      <c r="G12" s="63"/>
      <c r="H12" s="63">
        <f t="shared" si="0"/>
        <v>0</v>
      </c>
      <c r="I12" s="63"/>
      <c r="J12" s="63">
        <f t="shared" si="1"/>
        <v>0</v>
      </c>
      <c r="K12" s="63">
        <v>66600</v>
      </c>
      <c r="L12" s="63">
        <f t="shared" si="2"/>
        <v>399600</v>
      </c>
      <c r="M12" s="63">
        <f t="shared" si="3"/>
        <v>66600</v>
      </c>
      <c r="N12" s="58">
        <f t="shared" si="4"/>
        <v>399600</v>
      </c>
      <c r="O12" s="83"/>
    </row>
    <row r="13" spans="1:15" ht="30" customHeight="1">
      <c r="A13" s="63" t="s">
        <v>64</v>
      </c>
      <c r="B13" s="63" t="s">
        <v>90</v>
      </c>
      <c r="C13" s="79" t="s">
        <v>91</v>
      </c>
      <c r="D13" s="79"/>
      <c r="E13" s="81" t="s">
        <v>82</v>
      </c>
      <c r="F13" s="90">
        <v>632</v>
      </c>
      <c r="G13" s="63">
        <v>3700</v>
      </c>
      <c r="H13" s="63">
        <f t="shared" si="0"/>
        <v>2338400</v>
      </c>
      <c r="I13" s="63"/>
      <c r="J13" s="63">
        <f t="shared" si="1"/>
        <v>0</v>
      </c>
      <c r="K13" s="63"/>
      <c r="L13" s="63">
        <f t="shared" si="2"/>
        <v>0</v>
      </c>
      <c r="M13" s="63">
        <f t="shared" si="3"/>
        <v>3700</v>
      </c>
      <c r="N13" s="58">
        <f t="shared" si="4"/>
        <v>2338400</v>
      </c>
      <c r="O13" s="83"/>
    </row>
    <row r="14" spans="1:15" ht="30" customHeight="1">
      <c r="A14" s="63" t="s">
        <v>64</v>
      </c>
      <c r="B14" s="63" t="s">
        <v>92</v>
      </c>
      <c r="C14" s="79" t="s">
        <v>93</v>
      </c>
      <c r="D14" s="79"/>
      <c r="E14" s="81" t="s">
        <v>82</v>
      </c>
      <c r="F14" s="90">
        <v>632</v>
      </c>
      <c r="G14" s="63"/>
      <c r="H14" s="63">
        <f t="shared" si="0"/>
        <v>0</v>
      </c>
      <c r="I14" s="63"/>
      <c r="J14" s="63">
        <f t="shared" si="1"/>
        <v>0</v>
      </c>
      <c r="K14" s="63">
        <v>3100</v>
      </c>
      <c r="L14" s="63">
        <f t="shared" si="2"/>
        <v>1959200</v>
      </c>
      <c r="M14" s="63">
        <f t="shared" si="3"/>
        <v>3100</v>
      </c>
      <c r="N14" s="58">
        <f t="shared" si="4"/>
        <v>1959200</v>
      </c>
      <c r="O14" s="83"/>
    </row>
    <row r="15" spans="1:15" ht="30" customHeight="1">
      <c r="A15" s="63"/>
      <c r="B15" s="63"/>
      <c r="C15" s="79" t="s">
        <v>94</v>
      </c>
      <c r="D15" s="79" t="s">
        <v>95</v>
      </c>
      <c r="E15" s="84" t="s">
        <v>55</v>
      </c>
      <c r="F15" s="90">
        <v>1</v>
      </c>
      <c r="G15" s="63"/>
      <c r="H15" s="63">
        <f t="shared" si="0"/>
        <v>0</v>
      </c>
      <c r="I15" s="63"/>
      <c r="J15" s="63">
        <f t="shared" si="1"/>
        <v>0</v>
      </c>
      <c r="K15" s="63">
        <v>1248900</v>
      </c>
      <c r="L15" s="63">
        <f t="shared" si="2"/>
        <v>1248900</v>
      </c>
      <c r="M15" s="63">
        <f t="shared" si="3"/>
        <v>1248900</v>
      </c>
      <c r="N15" s="58">
        <f t="shared" si="4"/>
        <v>1248900</v>
      </c>
      <c r="O15" s="83"/>
    </row>
    <row r="16" spans="1:15" ht="30" customHeight="1">
      <c r="A16" s="63"/>
      <c r="B16" s="63"/>
      <c r="C16" s="79" t="s">
        <v>96</v>
      </c>
      <c r="D16" s="79" t="s">
        <v>97</v>
      </c>
      <c r="E16" s="84" t="s">
        <v>55</v>
      </c>
      <c r="F16" s="82">
        <v>1</v>
      </c>
      <c r="G16" s="63"/>
      <c r="H16" s="63">
        <f t="shared" si="0"/>
        <v>0</v>
      </c>
      <c r="I16" s="63"/>
      <c r="J16" s="63">
        <f t="shared" si="1"/>
        <v>0</v>
      </c>
      <c r="K16" s="63">
        <v>3247200</v>
      </c>
      <c r="L16" s="63">
        <f t="shared" si="2"/>
        <v>3247200</v>
      </c>
      <c r="M16" s="63">
        <f t="shared" si="3"/>
        <v>3247200</v>
      </c>
      <c r="N16" s="58">
        <f t="shared" si="4"/>
        <v>3247200</v>
      </c>
      <c r="O16" s="83"/>
    </row>
    <row r="17" spans="1:15" ht="30" customHeight="1">
      <c r="A17" s="63" t="s">
        <v>64</v>
      </c>
      <c r="B17" s="63" t="s">
        <v>98</v>
      </c>
      <c r="C17" s="79" t="s">
        <v>99</v>
      </c>
      <c r="D17" s="79" t="s">
        <v>100</v>
      </c>
      <c r="E17" s="81" t="s">
        <v>82</v>
      </c>
      <c r="F17" s="90">
        <v>632</v>
      </c>
      <c r="G17" s="63"/>
      <c r="H17" s="63">
        <f t="shared" si="0"/>
        <v>0</v>
      </c>
      <c r="I17" s="63">
        <v>2300</v>
      </c>
      <c r="J17" s="63">
        <f t="shared" si="1"/>
        <v>1453600</v>
      </c>
      <c r="K17" s="63"/>
      <c r="L17" s="63">
        <f t="shared" si="2"/>
        <v>0</v>
      </c>
      <c r="M17" s="63">
        <f t="shared" si="3"/>
        <v>2300</v>
      </c>
      <c r="N17" s="58">
        <f t="shared" si="4"/>
        <v>1453600</v>
      </c>
      <c r="O17" s="83"/>
    </row>
    <row r="18" spans="1:15" ht="30" customHeight="1">
      <c r="A18" s="63" t="s">
        <v>64</v>
      </c>
      <c r="B18" s="63" t="s">
        <v>101</v>
      </c>
      <c r="C18" s="79" t="s">
        <v>102</v>
      </c>
      <c r="D18" s="79"/>
      <c r="E18" s="81" t="s">
        <v>77</v>
      </c>
      <c r="F18" s="82">
        <v>1</v>
      </c>
      <c r="G18" s="63"/>
      <c r="H18" s="63">
        <f t="shared" si="0"/>
        <v>0</v>
      </c>
      <c r="I18" s="63"/>
      <c r="J18" s="63">
        <f t="shared" si="1"/>
        <v>0</v>
      </c>
      <c r="K18" s="63">
        <v>249800</v>
      </c>
      <c r="L18" s="63">
        <f t="shared" si="2"/>
        <v>249800</v>
      </c>
      <c r="M18" s="63">
        <f t="shared" si="3"/>
        <v>249800</v>
      </c>
      <c r="N18" s="58">
        <f t="shared" si="4"/>
        <v>249800</v>
      </c>
      <c r="O18" s="83"/>
    </row>
    <row r="19" spans="1:15" ht="30" customHeight="1">
      <c r="A19" s="63"/>
      <c r="B19" s="63"/>
      <c r="C19" s="79" t="s">
        <v>103</v>
      </c>
      <c r="D19" s="79"/>
      <c r="E19" s="84" t="s">
        <v>55</v>
      </c>
      <c r="F19" s="82">
        <v>1</v>
      </c>
      <c r="G19" s="63"/>
      <c r="H19" s="63">
        <f t="shared" si="0"/>
        <v>0</v>
      </c>
      <c r="I19" s="63"/>
      <c r="J19" s="63">
        <f t="shared" si="1"/>
        <v>0</v>
      </c>
      <c r="K19" s="63">
        <v>1498700</v>
      </c>
      <c r="L19" s="63">
        <f t="shared" si="2"/>
        <v>1498700</v>
      </c>
      <c r="M19" s="63">
        <f t="shared" si="3"/>
        <v>1498700</v>
      </c>
      <c r="N19" s="58">
        <f t="shared" si="4"/>
        <v>1498700</v>
      </c>
      <c r="O19" s="83"/>
    </row>
    <row r="20" spans="1:15" s="93" customFormat="1" ht="30" customHeight="1">
      <c r="A20" s="68"/>
      <c r="B20" s="68"/>
      <c r="C20" s="91" t="s">
        <v>104</v>
      </c>
      <c r="D20" s="91"/>
      <c r="E20" s="92" t="s">
        <v>82</v>
      </c>
      <c r="F20" s="90">
        <v>632</v>
      </c>
      <c r="G20" s="63"/>
      <c r="H20" s="68">
        <f t="shared" si="0"/>
        <v>0</v>
      </c>
      <c r="I20" s="68">
        <v>5400</v>
      </c>
      <c r="J20" s="68">
        <f t="shared" si="1"/>
        <v>3412800</v>
      </c>
      <c r="K20" s="63">
        <v>1200</v>
      </c>
      <c r="L20" s="63">
        <f t="shared" si="2"/>
        <v>758400</v>
      </c>
      <c r="M20" s="63">
        <f t="shared" si="3"/>
        <v>6600</v>
      </c>
      <c r="N20" s="58">
        <f t="shared" si="4"/>
        <v>4171200</v>
      </c>
      <c r="O20" s="83"/>
    </row>
    <row r="21" spans="1:15" s="93" customFormat="1" ht="30" customHeight="1">
      <c r="A21" s="68"/>
      <c r="B21" s="68"/>
      <c r="C21" s="94" t="s">
        <v>105</v>
      </c>
      <c r="D21" s="94"/>
      <c r="E21" s="95" t="s">
        <v>82</v>
      </c>
      <c r="F21" s="90">
        <v>632</v>
      </c>
      <c r="G21" s="68">
        <v>1000</v>
      </c>
      <c r="H21" s="68">
        <f t="shared" si="0"/>
        <v>632000</v>
      </c>
      <c r="I21" s="68">
        <v>1500</v>
      </c>
      <c r="J21" s="68">
        <f t="shared" si="1"/>
        <v>948000</v>
      </c>
      <c r="K21" s="68"/>
      <c r="L21" s="63">
        <f t="shared" si="2"/>
        <v>0</v>
      </c>
      <c r="M21" s="68">
        <f t="shared" si="3"/>
        <v>2500</v>
      </c>
      <c r="N21" s="58">
        <f t="shared" si="4"/>
        <v>1580000</v>
      </c>
      <c r="O21" s="83"/>
    </row>
    <row r="22" spans="1:15" ht="30" customHeight="1">
      <c r="A22" s="63"/>
      <c r="B22" s="63"/>
      <c r="C22" s="94" t="s">
        <v>106</v>
      </c>
      <c r="D22" s="94"/>
      <c r="E22" s="95" t="s">
        <v>82</v>
      </c>
      <c r="F22" s="90">
        <v>632</v>
      </c>
      <c r="G22" s="68">
        <v>1000</v>
      </c>
      <c r="H22" s="68">
        <f t="shared" si="0"/>
        <v>632000</v>
      </c>
      <c r="I22" s="68">
        <v>1500</v>
      </c>
      <c r="J22" s="68">
        <f t="shared" si="1"/>
        <v>948000</v>
      </c>
      <c r="K22" s="68"/>
      <c r="L22" s="63">
        <f t="shared" si="2"/>
        <v>0</v>
      </c>
      <c r="M22" s="68">
        <f t="shared" si="3"/>
        <v>2500</v>
      </c>
      <c r="N22" s="58">
        <f t="shared" si="4"/>
        <v>1580000</v>
      </c>
      <c r="O22" s="83"/>
    </row>
    <row r="23" spans="1:15" ht="30" customHeight="1">
      <c r="A23" s="63"/>
      <c r="B23" s="63"/>
      <c r="C23" s="94" t="s">
        <v>107</v>
      </c>
      <c r="D23" s="94" t="s">
        <v>108</v>
      </c>
      <c r="E23" s="96" t="s">
        <v>109</v>
      </c>
      <c r="F23" s="97">
        <v>10</v>
      </c>
      <c r="G23" s="68">
        <v>45800</v>
      </c>
      <c r="H23" s="68">
        <f t="shared" si="0"/>
        <v>458000</v>
      </c>
      <c r="I23" s="68">
        <v>54100</v>
      </c>
      <c r="J23" s="68">
        <f t="shared" si="1"/>
        <v>541000</v>
      </c>
      <c r="K23" s="68"/>
      <c r="L23" s="63">
        <f t="shared" si="2"/>
        <v>0</v>
      </c>
      <c r="M23" s="68">
        <f t="shared" si="3"/>
        <v>99900</v>
      </c>
      <c r="N23" s="58">
        <f t="shared" si="4"/>
        <v>999000</v>
      </c>
      <c r="O23" s="83"/>
    </row>
    <row r="24" spans="1:15" ht="30" customHeight="1">
      <c r="A24" s="63"/>
      <c r="B24" s="63"/>
      <c r="C24" s="94" t="s">
        <v>110</v>
      </c>
      <c r="D24" s="94" t="s">
        <v>111</v>
      </c>
      <c r="E24" s="95" t="s">
        <v>82</v>
      </c>
      <c r="F24" s="97">
        <v>1273</v>
      </c>
      <c r="G24" s="68">
        <v>7100</v>
      </c>
      <c r="H24" s="68">
        <f t="shared" si="0"/>
        <v>9038300</v>
      </c>
      <c r="I24" s="68">
        <v>7500</v>
      </c>
      <c r="J24" s="68">
        <f t="shared" si="1"/>
        <v>9547500</v>
      </c>
      <c r="K24" s="68">
        <v>800</v>
      </c>
      <c r="L24" s="63">
        <f t="shared" si="2"/>
        <v>1018400</v>
      </c>
      <c r="M24" s="68">
        <f t="shared" si="3"/>
        <v>15400</v>
      </c>
      <c r="N24" s="58">
        <f t="shared" si="4"/>
        <v>19604200</v>
      </c>
      <c r="O24" s="83"/>
    </row>
    <row r="25" spans="1:15" ht="30" customHeight="1">
      <c r="A25" s="63"/>
      <c r="B25" s="63"/>
      <c r="C25" s="94" t="s">
        <v>112</v>
      </c>
      <c r="D25" s="94"/>
      <c r="E25" s="95" t="s">
        <v>82</v>
      </c>
      <c r="F25" s="97">
        <v>366</v>
      </c>
      <c r="G25" s="68">
        <v>2900</v>
      </c>
      <c r="H25" s="68">
        <f t="shared" si="0"/>
        <v>1061400</v>
      </c>
      <c r="I25" s="68">
        <v>2100</v>
      </c>
      <c r="J25" s="68">
        <f t="shared" si="1"/>
        <v>768600</v>
      </c>
      <c r="K25" s="68"/>
      <c r="L25" s="63">
        <f t="shared" si="2"/>
        <v>0</v>
      </c>
      <c r="M25" s="68">
        <f t="shared" si="3"/>
        <v>5000</v>
      </c>
      <c r="N25" s="58">
        <f t="shared" si="4"/>
        <v>1830000</v>
      </c>
      <c r="O25" s="83"/>
    </row>
    <row r="26" spans="1:15" ht="30" customHeight="1">
      <c r="A26" s="63"/>
      <c r="B26" s="63"/>
      <c r="C26" s="91" t="s">
        <v>113</v>
      </c>
      <c r="D26" s="98" t="s">
        <v>114</v>
      </c>
      <c r="E26" s="92" t="s">
        <v>82</v>
      </c>
      <c r="F26" s="97">
        <v>1273</v>
      </c>
      <c r="G26" s="68">
        <v>1700</v>
      </c>
      <c r="H26" s="68">
        <f t="shared" si="0"/>
        <v>2164100</v>
      </c>
      <c r="I26" s="68">
        <v>2100</v>
      </c>
      <c r="J26" s="68">
        <f t="shared" si="1"/>
        <v>2673300</v>
      </c>
      <c r="K26" s="63"/>
      <c r="L26" s="63">
        <f t="shared" si="2"/>
        <v>0</v>
      </c>
      <c r="M26" s="63">
        <f t="shared" si="3"/>
        <v>3800</v>
      </c>
      <c r="N26" s="58">
        <f t="shared" si="4"/>
        <v>4837400</v>
      </c>
      <c r="O26" s="99"/>
    </row>
    <row r="27" spans="1:15" ht="30" customHeight="1">
      <c r="A27" s="63"/>
      <c r="B27" s="63"/>
      <c r="C27" s="91" t="s">
        <v>115</v>
      </c>
      <c r="D27" s="91"/>
      <c r="E27" s="92" t="s">
        <v>82</v>
      </c>
      <c r="F27" s="97">
        <v>632</v>
      </c>
      <c r="G27" s="68"/>
      <c r="H27" s="68">
        <f t="shared" si="0"/>
        <v>0</v>
      </c>
      <c r="I27" s="68">
        <v>400</v>
      </c>
      <c r="J27" s="68">
        <f t="shared" si="1"/>
        <v>252800</v>
      </c>
      <c r="K27" s="63"/>
      <c r="L27" s="63">
        <f t="shared" si="2"/>
        <v>0</v>
      </c>
      <c r="M27" s="63">
        <f t="shared" si="3"/>
        <v>400</v>
      </c>
      <c r="N27" s="58">
        <f t="shared" si="4"/>
        <v>252800</v>
      </c>
      <c r="O27" s="83"/>
    </row>
    <row r="28" spans="1:15" ht="30" customHeight="1">
      <c r="A28" s="63"/>
      <c r="B28" s="63"/>
      <c r="C28" s="91" t="s">
        <v>116</v>
      </c>
      <c r="D28" s="91" t="s">
        <v>117</v>
      </c>
      <c r="E28" s="92" t="s">
        <v>82</v>
      </c>
      <c r="F28" s="97">
        <v>632</v>
      </c>
      <c r="G28" s="68"/>
      <c r="H28" s="68">
        <f t="shared" si="0"/>
        <v>0</v>
      </c>
      <c r="I28" s="68">
        <v>1700</v>
      </c>
      <c r="J28" s="68">
        <f t="shared" si="1"/>
        <v>1074400</v>
      </c>
      <c r="K28" s="63"/>
      <c r="L28" s="63">
        <f t="shared" si="2"/>
        <v>0</v>
      </c>
      <c r="M28" s="63">
        <f t="shared" si="3"/>
        <v>1700</v>
      </c>
      <c r="N28" s="58">
        <f t="shared" si="4"/>
        <v>1074400</v>
      </c>
      <c r="O28" s="83"/>
    </row>
    <row r="29" spans="1:15" ht="30" customHeight="1">
      <c r="A29" s="63"/>
      <c r="B29" s="63"/>
      <c r="C29" s="91" t="s">
        <v>118</v>
      </c>
      <c r="D29" s="91"/>
      <c r="E29" s="92" t="s">
        <v>77</v>
      </c>
      <c r="F29" s="90">
        <v>12</v>
      </c>
      <c r="G29" s="63"/>
      <c r="H29" s="63">
        <f t="shared" si="0"/>
        <v>0</v>
      </c>
      <c r="I29" s="63"/>
      <c r="J29" s="63"/>
      <c r="K29" s="63">
        <v>166500</v>
      </c>
      <c r="L29" s="63">
        <f t="shared" si="2"/>
        <v>1998000</v>
      </c>
      <c r="M29" s="63">
        <f t="shared" si="3"/>
        <v>166500</v>
      </c>
      <c r="N29" s="58">
        <f t="shared" si="4"/>
        <v>1998000</v>
      </c>
      <c r="O29" s="83"/>
    </row>
    <row r="30" spans="1:15" ht="30" customHeight="1">
      <c r="A30" s="63"/>
      <c r="B30" s="63"/>
      <c r="C30" s="91"/>
      <c r="D30" s="91"/>
      <c r="E30" s="92"/>
      <c r="F30" s="90"/>
      <c r="G30" s="63"/>
      <c r="H30" s="63"/>
      <c r="I30" s="63"/>
      <c r="J30" s="63"/>
      <c r="K30" s="63"/>
      <c r="L30" s="63">
        <f t="shared" si="2"/>
        <v>0</v>
      </c>
      <c r="M30" s="63">
        <f t="shared" si="3"/>
        <v>0</v>
      </c>
      <c r="N30" s="58">
        <f t="shared" si="4"/>
        <v>0</v>
      </c>
      <c r="O30" s="83"/>
    </row>
    <row r="31" spans="1:15" ht="30" customHeight="1">
      <c r="A31" s="63"/>
      <c r="B31" s="63"/>
      <c r="C31" s="91"/>
      <c r="D31" s="91"/>
      <c r="E31" s="92"/>
      <c r="F31" s="90"/>
      <c r="G31" s="63"/>
      <c r="H31" s="63"/>
      <c r="I31" s="63"/>
      <c r="J31" s="63"/>
      <c r="K31" s="63"/>
      <c r="L31" s="63">
        <f t="shared" si="2"/>
        <v>0</v>
      </c>
      <c r="M31" s="63">
        <f t="shared" si="3"/>
        <v>0</v>
      </c>
      <c r="N31" s="58">
        <f t="shared" si="4"/>
        <v>0</v>
      </c>
      <c r="O31" s="83"/>
    </row>
    <row r="32" spans="1:15" ht="30" customHeight="1">
      <c r="A32" s="63"/>
      <c r="B32" s="63"/>
      <c r="C32" s="91"/>
      <c r="D32" s="91"/>
      <c r="E32" s="92"/>
      <c r="F32" s="90"/>
      <c r="G32" s="63"/>
      <c r="H32" s="63"/>
      <c r="I32" s="63"/>
      <c r="J32" s="63"/>
      <c r="K32" s="63"/>
      <c r="L32" s="63"/>
      <c r="M32" s="63"/>
      <c r="N32" s="58"/>
      <c r="O32" s="83"/>
    </row>
    <row r="33" spans="1:15" ht="30" customHeight="1">
      <c r="A33" s="63"/>
      <c r="B33" s="63"/>
      <c r="C33" s="91"/>
      <c r="D33" s="91"/>
      <c r="E33" s="92"/>
      <c r="F33" s="90"/>
      <c r="G33" s="63"/>
      <c r="H33" s="63"/>
      <c r="I33" s="63"/>
      <c r="J33" s="63"/>
      <c r="K33" s="63"/>
      <c r="L33" s="63"/>
      <c r="M33" s="63"/>
      <c r="N33" s="58"/>
      <c r="O33" s="83"/>
    </row>
    <row r="34" spans="1:15" ht="30" customHeight="1">
      <c r="A34" s="63"/>
      <c r="B34" s="63"/>
      <c r="C34" s="91"/>
      <c r="D34" s="91"/>
      <c r="E34" s="92"/>
      <c r="F34" s="90"/>
      <c r="G34" s="63"/>
      <c r="H34" s="63"/>
      <c r="I34" s="63"/>
      <c r="J34" s="63"/>
      <c r="K34" s="63"/>
      <c r="L34" s="63"/>
      <c r="M34" s="63"/>
      <c r="N34" s="58"/>
      <c r="O34" s="83"/>
    </row>
    <row r="35" spans="1:15" ht="30" customHeight="1">
      <c r="A35" s="63"/>
      <c r="B35" s="63"/>
      <c r="C35" s="91"/>
      <c r="D35" s="91"/>
      <c r="E35" s="92"/>
      <c r="F35" s="90"/>
      <c r="G35" s="63"/>
      <c r="H35" s="63"/>
      <c r="I35" s="63"/>
      <c r="J35" s="63"/>
      <c r="K35" s="63"/>
      <c r="L35" s="63"/>
      <c r="M35" s="63"/>
      <c r="N35" s="58"/>
      <c r="O35" s="83"/>
    </row>
    <row r="36" spans="1:15" ht="30" customHeight="1">
      <c r="A36" s="63"/>
      <c r="B36" s="63"/>
      <c r="C36" s="91"/>
      <c r="D36" s="91"/>
      <c r="E36" s="92"/>
      <c r="F36" s="90"/>
      <c r="G36" s="63"/>
      <c r="H36" s="63"/>
      <c r="I36" s="63"/>
      <c r="J36" s="63"/>
      <c r="K36" s="63"/>
      <c r="L36" s="63"/>
      <c r="M36" s="63"/>
      <c r="N36" s="58"/>
      <c r="O36" s="83"/>
    </row>
    <row r="37" spans="1:15" ht="30" customHeight="1">
      <c r="A37" s="63"/>
      <c r="B37" s="63"/>
      <c r="C37" s="91"/>
      <c r="D37" s="91"/>
      <c r="E37" s="92"/>
      <c r="F37" s="90"/>
      <c r="G37" s="63"/>
      <c r="H37" s="63"/>
      <c r="I37" s="63"/>
      <c r="J37" s="63"/>
      <c r="K37" s="63"/>
      <c r="L37" s="63"/>
      <c r="M37" s="63"/>
      <c r="N37" s="58"/>
      <c r="O37" s="83"/>
    </row>
    <row r="38" spans="1:15" ht="30" customHeight="1">
      <c r="A38" s="63"/>
      <c r="B38" s="63"/>
      <c r="C38" s="91"/>
      <c r="D38" s="91"/>
      <c r="E38" s="92"/>
      <c r="F38" s="90"/>
      <c r="G38" s="63"/>
      <c r="H38" s="63"/>
      <c r="I38" s="63"/>
      <c r="J38" s="63"/>
      <c r="K38" s="63"/>
      <c r="L38" s="63"/>
      <c r="M38" s="63"/>
      <c r="N38" s="58"/>
      <c r="O38" s="83"/>
    </row>
    <row r="39" spans="1:15" ht="30" customHeight="1">
      <c r="A39" s="63"/>
      <c r="B39" s="63"/>
      <c r="C39" s="91"/>
      <c r="D39" s="91"/>
      <c r="E39" s="92"/>
      <c r="F39" s="90"/>
      <c r="G39" s="63"/>
      <c r="H39" s="63"/>
      <c r="I39" s="63"/>
      <c r="J39" s="63"/>
      <c r="K39" s="63"/>
      <c r="L39" s="63"/>
      <c r="M39" s="63"/>
      <c r="N39" s="58"/>
      <c r="O39" s="83"/>
    </row>
    <row r="40" spans="1:15" ht="30" customHeight="1">
      <c r="A40" s="63"/>
      <c r="B40" s="63"/>
      <c r="C40" s="91"/>
      <c r="D40" s="91"/>
      <c r="E40" s="92"/>
      <c r="F40" s="90"/>
      <c r="G40" s="63"/>
      <c r="H40" s="63"/>
      <c r="I40" s="63"/>
      <c r="J40" s="63"/>
      <c r="K40" s="63"/>
      <c r="L40" s="63"/>
      <c r="M40" s="63"/>
      <c r="N40" s="58"/>
      <c r="O40" s="83"/>
    </row>
    <row r="41" spans="1:15" ht="30" customHeight="1">
      <c r="A41" s="63"/>
      <c r="B41" s="63"/>
      <c r="C41" s="91"/>
      <c r="D41" s="91"/>
      <c r="E41" s="92"/>
      <c r="F41" s="90"/>
      <c r="G41" s="63"/>
      <c r="H41" s="63"/>
      <c r="I41" s="63"/>
      <c r="J41" s="63"/>
      <c r="K41" s="63"/>
      <c r="L41" s="63"/>
      <c r="M41" s="63"/>
      <c r="N41" s="58"/>
      <c r="O41" s="83"/>
    </row>
    <row r="42" spans="1:15" ht="30" customHeight="1">
      <c r="A42" s="63"/>
      <c r="B42" s="63"/>
      <c r="C42" s="91"/>
      <c r="D42" s="91"/>
      <c r="E42" s="92"/>
      <c r="F42" s="90"/>
      <c r="G42" s="63"/>
      <c r="H42" s="63"/>
      <c r="I42" s="63"/>
      <c r="J42" s="63"/>
      <c r="K42" s="63"/>
      <c r="L42" s="63"/>
      <c r="M42" s="63"/>
      <c r="N42" s="58"/>
      <c r="O42" s="83"/>
    </row>
    <row r="43" spans="1:15" ht="30" customHeight="1">
      <c r="A43" s="63"/>
      <c r="B43" s="63"/>
      <c r="C43" s="91"/>
      <c r="D43" s="91"/>
      <c r="E43" s="92"/>
      <c r="F43" s="90"/>
      <c r="G43" s="63"/>
      <c r="H43" s="63"/>
      <c r="I43" s="63"/>
      <c r="J43" s="63"/>
      <c r="K43" s="63"/>
      <c r="L43" s="63"/>
      <c r="M43" s="63"/>
      <c r="N43" s="58"/>
      <c r="O43" s="83"/>
    </row>
    <row r="44" spans="1:15" ht="30" customHeight="1">
      <c r="A44" s="63"/>
      <c r="B44" s="63"/>
      <c r="C44" s="91"/>
      <c r="D44" s="91"/>
      <c r="E44" s="92"/>
      <c r="F44" s="90"/>
      <c r="G44" s="63"/>
      <c r="H44" s="63"/>
      <c r="I44" s="63"/>
      <c r="J44" s="63"/>
      <c r="K44" s="63"/>
      <c r="L44" s="63"/>
      <c r="M44" s="63"/>
      <c r="N44" s="58"/>
      <c r="O44" s="83"/>
    </row>
    <row r="45" spans="1:15" ht="30" customHeight="1">
      <c r="A45" s="63"/>
      <c r="B45" s="63"/>
      <c r="C45" s="91"/>
      <c r="D45" s="91"/>
      <c r="E45" s="92"/>
      <c r="F45" s="90"/>
      <c r="G45" s="63"/>
      <c r="H45" s="63"/>
      <c r="I45" s="63"/>
      <c r="J45" s="63"/>
      <c r="K45" s="63"/>
      <c r="L45" s="63"/>
      <c r="M45" s="63"/>
      <c r="N45" s="58"/>
      <c r="O45" s="83"/>
    </row>
    <row r="46" spans="1:15" ht="30" customHeight="1">
      <c r="A46" s="63"/>
      <c r="B46" s="63"/>
      <c r="C46" s="91"/>
      <c r="D46" s="91"/>
      <c r="E46" s="92"/>
      <c r="F46" s="90"/>
      <c r="G46" s="63"/>
      <c r="H46" s="63"/>
      <c r="I46" s="63"/>
      <c r="J46" s="63"/>
      <c r="K46" s="63"/>
      <c r="L46" s="63"/>
      <c r="M46" s="63"/>
      <c r="N46" s="58"/>
      <c r="O46" s="83"/>
    </row>
    <row r="47" spans="1:15" ht="30" customHeight="1">
      <c r="A47" s="63"/>
      <c r="B47" s="63"/>
      <c r="C47" s="91"/>
      <c r="D47" s="91"/>
      <c r="E47" s="92"/>
      <c r="F47" s="90"/>
      <c r="G47" s="63"/>
      <c r="H47" s="63"/>
      <c r="I47" s="63"/>
      <c r="J47" s="63"/>
      <c r="K47" s="63"/>
      <c r="L47" s="63"/>
      <c r="M47" s="63"/>
      <c r="N47" s="58"/>
      <c r="O47" s="83"/>
    </row>
    <row r="48" spans="1:15" ht="30" customHeight="1">
      <c r="A48" s="63"/>
      <c r="B48" s="63"/>
      <c r="C48" s="91"/>
      <c r="D48" s="91"/>
      <c r="E48" s="92"/>
      <c r="F48" s="90"/>
      <c r="G48" s="63"/>
      <c r="H48" s="63"/>
      <c r="I48" s="63"/>
      <c r="J48" s="63"/>
      <c r="K48" s="63"/>
      <c r="L48" s="63"/>
      <c r="M48" s="63"/>
      <c r="N48" s="58"/>
      <c r="O48" s="83"/>
    </row>
    <row r="49" spans="1:15" ht="30" customHeight="1">
      <c r="A49" s="63"/>
      <c r="B49" s="63"/>
      <c r="C49" s="91"/>
      <c r="D49" s="91"/>
      <c r="E49" s="92"/>
      <c r="F49" s="90"/>
      <c r="G49" s="63"/>
      <c r="H49" s="63"/>
      <c r="I49" s="63"/>
      <c r="J49" s="63"/>
      <c r="K49" s="63"/>
      <c r="L49" s="63"/>
      <c r="M49" s="63"/>
      <c r="N49" s="58"/>
      <c r="O49" s="83"/>
    </row>
    <row r="50" spans="1:15" ht="30" customHeight="1">
      <c r="A50" s="63"/>
      <c r="B50" s="63"/>
      <c r="C50" s="91"/>
      <c r="D50" s="91"/>
      <c r="E50" s="92"/>
      <c r="F50" s="90"/>
      <c r="G50" s="63"/>
      <c r="H50" s="63"/>
      <c r="I50" s="63"/>
      <c r="J50" s="63"/>
      <c r="K50" s="63"/>
      <c r="L50" s="63"/>
      <c r="M50" s="63"/>
      <c r="N50" s="58"/>
      <c r="O50" s="83"/>
    </row>
    <row r="51" spans="1:15" ht="30" customHeight="1">
      <c r="A51" s="63"/>
      <c r="B51" s="63"/>
      <c r="C51" s="100" t="s">
        <v>119</v>
      </c>
      <c r="D51" s="63"/>
      <c r="E51" s="89"/>
      <c r="F51" s="63"/>
      <c r="G51" s="63"/>
      <c r="H51" s="63">
        <f>SUM(H5:H38)</f>
        <v>17202500</v>
      </c>
      <c r="I51" s="63"/>
      <c r="J51" s="63">
        <f>SUM(J5:J38)</f>
        <v>22726800</v>
      </c>
      <c r="K51" s="63"/>
      <c r="L51" s="63">
        <f>SUM(L5:L38)</f>
        <v>25236900</v>
      </c>
      <c r="M51" s="63"/>
      <c r="N51" s="58">
        <f>SUM(N5:N46)</f>
        <v>65166200</v>
      </c>
      <c r="O51" s="83"/>
    </row>
    <row r="52" spans="1:15" ht="30" customHeight="1">
      <c r="A52" s="63"/>
      <c r="B52" s="63"/>
      <c r="C52" s="77" t="s">
        <v>120</v>
      </c>
      <c r="D52" s="77"/>
      <c r="E52" s="78"/>
      <c r="F52" s="77"/>
      <c r="G52" s="77"/>
      <c r="H52" s="77"/>
      <c r="I52" s="77"/>
      <c r="J52" s="77"/>
      <c r="K52" s="77"/>
      <c r="L52" s="77"/>
      <c r="M52" s="77"/>
      <c r="N52" s="77"/>
      <c r="O52" s="78"/>
    </row>
    <row r="53" spans="1:15" ht="30" customHeight="1">
      <c r="A53" s="63"/>
      <c r="B53" s="63"/>
      <c r="C53" s="91" t="s">
        <v>121</v>
      </c>
      <c r="D53" s="91"/>
      <c r="E53" s="101" t="s">
        <v>122</v>
      </c>
      <c r="F53" s="97">
        <v>44</v>
      </c>
      <c r="G53" s="68"/>
      <c r="H53" s="68">
        <f t="shared" ref="H53:H60" si="5">F53*G53</f>
        <v>0</v>
      </c>
      <c r="I53" s="68">
        <v>124900</v>
      </c>
      <c r="J53" s="68">
        <f t="shared" ref="J53:J59" si="6">F53*I53</f>
        <v>5495600</v>
      </c>
      <c r="K53" s="63">
        <v>50000</v>
      </c>
      <c r="L53" s="63">
        <f t="shared" ref="L53:L60" si="7">F53*K53</f>
        <v>2200000</v>
      </c>
      <c r="M53" s="63">
        <f t="shared" ref="M53:N60" si="8">+G53+I53+K53</f>
        <v>174900</v>
      </c>
      <c r="N53" s="58">
        <f t="shared" si="8"/>
        <v>7695600</v>
      </c>
      <c r="O53" s="83"/>
    </row>
    <row r="54" spans="1:15" ht="30" customHeight="1">
      <c r="A54" s="63"/>
      <c r="B54" s="63"/>
      <c r="C54" s="98" t="s">
        <v>123</v>
      </c>
      <c r="D54" s="91"/>
      <c r="E54" s="92" t="s">
        <v>124</v>
      </c>
      <c r="F54" s="97">
        <v>264</v>
      </c>
      <c r="G54" s="68">
        <v>50000</v>
      </c>
      <c r="H54" s="68">
        <f t="shared" si="5"/>
        <v>13200000</v>
      </c>
      <c r="I54" s="68">
        <v>25000</v>
      </c>
      <c r="J54" s="68">
        <f t="shared" si="6"/>
        <v>6600000</v>
      </c>
      <c r="K54" s="63">
        <v>16700</v>
      </c>
      <c r="L54" s="63">
        <f t="shared" si="7"/>
        <v>4408800</v>
      </c>
      <c r="M54" s="63">
        <f t="shared" si="8"/>
        <v>91700</v>
      </c>
      <c r="N54" s="58">
        <f t="shared" si="8"/>
        <v>24208800</v>
      </c>
      <c r="O54" s="83"/>
    </row>
    <row r="55" spans="1:15" ht="30" customHeight="1">
      <c r="A55" s="63"/>
      <c r="B55" s="63"/>
      <c r="C55" s="91" t="s">
        <v>125</v>
      </c>
      <c r="D55" s="91"/>
      <c r="E55" s="101" t="s">
        <v>122</v>
      </c>
      <c r="F55" s="97">
        <v>44</v>
      </c>
      <c r="G55" s="68">
        <v>41600</v>
      </c>
      <c r="H55" s="68">
        <f t="shared" si="5"/>
        <v>1830400</v>
      </c>
      <c r="I55" s="68">
        <v>183200</v>
      </c>
      <c r="J55" s="68">
        <f t="shared" si="6"/>
        <v>8060800</v>
      </c>
      <c r="K55" s="63">
        <v>66600</v>
      </c>
      <c r="L55" s="63">
        <f t="shared" si="7"/>
        <v>2930400</v>
      </c>
      <c r="M55" s="63">
        <f t="shared" si="8"/>
        <v>291400</v>
      </c>
      <c r="N55" s="58">
        <f t="shared" si="8"/>
        <v>12821600</v>
      </c>
      <c r="O55" s="83"/>
    </row>
    <row r="56" spans="1:15" ht="30" customHeight="1">
      <c r="A56" s="63"/>
      <c r="B56" s="63"/>
      <c r="C56" s="91" t="s">
        <v>126</v>
      </c>
      <c r="D56" s="91" t="s">
        <v>127</v>
      </c>
      <c r="E56" s="92" t="s">
        <v>124</v>
      </c>
      <c r="F56" s="97">
        <v>264</v>
      </c>
      <c r="G56" s="68">
        <v>15000</v>
      </c>
      <c r="H56" s="68">
        <f t="shared" si="5"/>
        <v>3960000</v>
      </c>
      <c r="I56" s="68">
        <v>6700</v>
      </c>
      <c r="J56" s="68">
        <f t="shared" si="6"/>
        <v>1768800</v>
      </c>
      <c r="K56" s="63">
        <v>3300</v>
      </c>
      <c r="L56" s="63">
        <f t="shared" si="7"/>
        <v>871200</v>
      </c>
      <c r="M56" s="63">
        <f t="shared" si="8"/>
        <v>25000</v>
      </c>
      <c r="N56" s="58">
        <f t="shared" si="8"/>
        <v>6600000</v>
      </c>
      <c r="O56" s="83"/>
    </row>
    <row r="57" spans="1:15" ht="30" customHeight="1">
      <c r="A57" s="63"/>
      <c r="B57" s="63"/>
      <c r="C57" s="91" t="s">
        <v>128</v>
      </c>
      <c r="D57" s="91"/>
      <c r="E57" s="101" t="s">
        <v>122</v>
      </c>
      <c r="F57" s="97">
        <v>44</v>
      </c>
      <c r="G57" s="68">
        <v>99900</v>
      </c>
      <c r="H57" s="68">
        <f t="shared" si="5"/>
        <v>4395600</v>
      </c>
      <c r="I57" s="68">
        <v>74900</v>
      </c>
      <c r="J57" s="68">
        <f t="shared" si="6"/>
        <v>3295600</v>
      </c>
      <c r="K57" s="63">
        <v>16700</v>
      </c>
      <c r="L57" s="63">
        <f t="shared" si="7"/>
        <v>734800</v>
      </c>
      <c r="M57" s="63">
        <f t="shared" si="8"/>
        <v>191500</v>
      </c>
      <c r="N57" s="58">
        <f t="shared" si="8"/>
        <v>8426000</v>
      </c>
      <c r="O57" s="83"/>
    </row>
    <row r="58" spans="1:15" ht="30" customHeight="1">
      <c r="A58" s="63"/>
      <c r="B58" s="63"/>
      <c r="C58" s="91" t="s">
        <v>129</v>
      </c>
      <c r="D58" s="91"/>
      <c r="E58" s="101" t="s">
        <v>55</v>
      </c>
      <c r="F58" s="97">
        <v>1</v>
      </c>
      <c r="G58" s="68"/>
      <c r="H58" s="68">
        <f t="shared" si="5"/>
        <v>0</v>
      </c>
      <c r="I58" s="68">
        <v>1665200</v>
      </c>
      <c r="J58" s="68">
        <f t="shared" si="6"/>
        <v>1665200</v>
      </c>
      <c r="K58" s="63">
        <v>6660900</v>
      </c>
      <c r="L58" s="63">
        <f t="shared" si="7"/>
        <v>6660900</v>
      </c>
      <c r="M58" s="63">
        <f t="shared" si="8"/>
        <v>8326100</v>
      </c>
      <c r="N58" s="58">
        <f t="shared" si="8"/>
        <v>8326100</v>
      </c>
      <c r="O58" s="83"/>
    </row>
    <row r="59" spans="1:15" ht="30" customHeight="1">
      <c r="A59" s="63"/>
      <c r="B59" s="63"/>
      <c r="C59" s="91" t="s">
        <v>130</v>
      </c>
      <c r="D59" s="91"/>
      <c r="E59" s="101" t="s">
        <v>55</v>
      </c>
      <c r="F59" s="97">
        <v>44</v>
      </c>
      <c r="G59" s="68"/>
      <c r="H59" s="68">
        <f t="shared" si="5"/>
        <v>0</v>
      </c>
      <c r="I59" s="68">
        <v>74900</v>
      </c>
      <c r="J59" s="68">
        <f t="shared" si="6"/>
        <v>3295600</v>
      </c>
      <c r="K59" s="63">
        <v>50000</v>
      </c>
      <c r="L59" s="63">
        <f t="shared" si="7"/>
        <v>2200000</v>
      </c>
      <c r="M59" s="63">
        <f t="shared" si="8"/>
        <v>124900</v>
      </c>
      <c r="N59" s="58">
        <f t="shared" si="8"/>
        <v>5495600</v>
      </c>
      <c r="O59" s="83"/>
    </row>
    <row r="60" spans="1:15" ht="30" customHeight="1">
      <c r="A60" s="63"/>
      <c r="B60" s="63"/>
      <c r="C60" s="91" t="s">
        <v>131</v>
      </c>
      <c r="D60" s="91"/>
      <c r="E60" s="101" t="s">
        <v>55</v>
      </c>
      <c r="F60" s="97">
        <v>1</v>
      </c>
      <c r="G60" s="68"/>
      <c r="H60" s="68">
        <f t="shared" si="5"/>
        <v>0</v>
      </c>
      <c r="I60" s="68"/>
      <c r="J60" s="68"/>
      <c r="K60" s="63">
        <v>3746700</v>
      </c>
      <c r="L60" s="63">
        <f t="shared" si="7"/>
        <v>3746700</v>
      </c>
      <c r="M60" s="63">
        <f t="shared" si="8"/>
        <v>3746700</v>
      </c>
      <c r="N60" s="58">
        <f t="shared" si="8"/>
        <v>3746700</v>
      </c>
      <c r="O60" s="83"/>
    </row>
    <row r="61" spans="1:15" ht="30" customHeight="1">
      <c r="A61" s="63"/>
      <c r="B61" s="63"/>
      <c r="C61" s="100"/>
      <c r="D61" s="63"/>
      <c r="E61" s="89"/>
      <c r="F61" s="63"/>
      <c r="G61" s="63"/>
      <c r="H61" s="63"/>
      <c r="I61" s="63"/>
      <c r="J61" s="63"/>
      <c r="K61" s="63"/>
      <c r="L61" s="63"/>
      <c r="M61" s="63"/>
      <c r="N61" s="58"/>
      <c r="O61" s="83"/>
    </row>
    <row r="62" spans="1:15" ht="30" customHeight="1">
      <c r="A62" s="63"/>
      <c r="B62" s="63"/>
      <c r="C62" s="100"/>
      <c r="D62" s="63"/>
      <c r="E62" s="89"/>
      <c r="F62" s="63"/>
      <c r="G62" s="63"/>
      <c r="H62" s="63"/>
      <c r="I62" s="63"/>
      <c r="J62" s="63"/>
      <c r="K62" s="63"/>
      <c r="L62" s="63"/>
      <c r="M62" s="63"/>
      <c r="N62" s="58"/>
      <c r="O62" s="83"/>
    </row>
    <row r="63" spans="1:15" ht="30" customHeight="1">
      <c r="A63" s="63"/>
      <c r="B63" s="63"/>
      <c r="C63" s="100"/>
      <c r="D63" s="63"/>
      <c r="E63" s="89"/>
      <c r="F63" s="63"/>
      <c r="G63" s="63"/>
      <c r="H63" s="63"/>
      <c r="I63" s="63"/>
      <c r="J63" s="63"/>
      <c r="K63" s="63"/>
      <c r="L63" s="63"/>
      <c r="M63" s="63"/>
      <c r="N63" s="58"/>
      <c r="O63" s="83"/>
    </row>
    <row r="64" spans="1:15" ht="30" customHeight="1">
      <c r="A64" s="63"/>
      <c r="B64" s="63"/>
      <c r="C64" s="100"/>
      <c r="D64" s="63"/>
      <c r="E64" s="89"/>
      <c r="F64" s="63"/>
      <c r="G64" s="63"/>
      <c r="H64" s="63"/>
      <c r="I64" s="63"/>
      <c r="J64" s="63"/>
      <c r="K64" s="63"/>
      <c r="L64" s="63"/>
      <c r="M64" s="63"/>
      <c r="N64" s="58"/>
      <c r="O64" s="83"/>
    </row>
    <row r="65" spans="1:15" ht="30" customHeight="1">
      <c r="A65" s="63"/>
      <c r="B65" s="63"/>
      <c r="C65" s="100"/>
      <c r="D65" s="63"/>
      <c r="E65" s="89"/>
      <c r="F65" s="63"/>
      <c r="G65" s="63"/>
      <c r="H65" s="63"/>
      <c r="I65" s="63"/>
      <c r="J65" s="63"/>
      <c r="K65" s="63"/>
      <c r="L65" s="63"/>
      <c r="M65" s="63"/>
      <c r="N65" s="58"/>
      <c r="O65" s="83"/>
    </row>
    <row r="66" spans="1:15" ht="30" customHeight="1">
      <c r="A66" s="63"/>
      <c r="B66" s="63"/>
      <c r="C66" s="100"/>
      <c r="D66" s="63"/>
      <c r="E66" s="89"/>
      <c r="F66" s="63"/>
      <c r="G66" s="63"/>
      <c r="H66" s="63"/>
      <c r="I66" s="63"/>
      <c r="J66" s="63"/>
      <c r="K66" s="63"/>
      <c r="L66" s="63"/>
      <c r="M66" s="63"/>
      <c r="N66" s="58"/>
      <c r="O66" s="83"/>
    </row>
    <row r="67" spans="1:15" ht="30" customHeight="1">
      <c r="A67" s="63"/>
      <c r="B67" s="63"/>
      <c r="C67" s="100"/>
      <c r="D67" s="63"/>
      <c r="E67" s="89"/>
      <c r="F67" s="63"/>
      <c r="G67" s="63"/>
      <c r="H67" s="63"/>
      <c r="I67" s="63"/>
      <c r="J67" s="63"/>
      <c r="K67" s="63"/>
      <c r="L67" s="63"/>
      <c r="M67" s="63"/>
      <c r="N67" s="58"/>
      <c r="O67" s="83"/>
    </row>
    <row r="68" spans="1:15" ht="30" customHeight="1">
      <c r="A68" s="63"/>
      <c r="B68" s="63"/>
      <c r="C68" s="100"/>
      <c r="D68" s="63"/>
      <c r="E68" s="89"/>
      <c r="F68" s="63"/>
      <c r="G68" s="63"/>
      <c r="H68" s="63"/>
      <c r="I68" s="63"/>
      <c r="J68" s="63"/>
      <c r="K68" s="63"/>
      <c r="L68" s="63"/>
      <c r="M68" s="63"/>
      <c r="N68" s="58"/>
      <c r="O68" s="83"/>
    </row>
    <row r="69" spans="1:15" ht="30" customHeight="1">
      <c r="A69" s="63"/>
      <c r="B69" s="63"/>
      <c r="C69" s="100"/>
      <c r="D69" s="63"/>
      <c r="E69" s="89"/>
      <c r="F69" s="63"/>
      <c r="G69" s="63"/>
      <c r="H69" s="63"/>
      <c r="I69" s="63"/>
      <c r="J69" s="63"/>
      <c r="K69" s="63"/>
      <c r="L69" s="63"/>
      <c r="M69" s="63"/>
      <c r="N69" s="58"/>
      <c r="O69" s="83"/>
    </row>
    <row r="70" spans="1:15" ht="30" customHeight="1">
      <c r="A70" s="63"/>
      <c r="B70" s="63"/>
      <c r="C70" s="100"/>
      <c r="D70" s="63"/>
      <c r="E70" s="89"/>
      <c r="F70" s="63"/>
      <c r="G70" s="63"/>
      <c r="H70" s="63"/>
      <c r="I70" s="63"/>
      <c r="J70" s="63"/>
      <c r="K70" s="63"/>
      <c r="L70" s="63"/>
      <c r="M70" s="63"/>
      <c r="N70" s="58"/>
      <c r="O70" s="83"/>
    </row>
    <row r="71" spans="1:15" ht="30" customHeight="1">
      <c r="A71" s="63"/>
      <c r="B71" s="63"/>
      <c r="C71" s="100"/>
      <c r="D71" s="63"/>
      <c r="E71" s="89"/>
      <c r="F71" s="63"/>
      <c r="G71" s="63"/>
      <c r="H71" s="63"/>
      <c r="I71" s="63"/>
      <c r="J71" s="63"/>
      <c r="K71" s="63"/>
      <c r="L71" s="63"/>
      <c r="M71" s="63"/>
      <c r="N71" s="58"/>
      <c r="O71" s="83"/>
    </row>
    <row r="72" spans="1:15" ht="30" customHeight="1">
      <c r="A72" s="63"/>
      <c r="B72" s="63"/>
      <c r="C72" s="100"/>
      <c r="D72" s="63"/>
      <c r="E72" s="89"/>
      <c r="F72" s="63"/>
      <c r="G72" s="63"/>
      <c r="H72" s="63"/>
      <c r="I72" s="63"/>
      <c r="J72" s="63"/>
      <c r="K72" s="63"/>
      <c r="L72" s="63"/>
      <c r="M72" s="63"/>
      <c r="N72" s="58"/>
      <c r="O72" s="83"/>
    </row>
    <row r="73" spans="1:15" ht="30" customHeight="1">
      <c r="A73" s="63"/>
      <c r="B73" s="63"/>
      <c r="C73" s="100"/>
      <c r="D73" s="63"/>
      <c r="E73" s="89"/>
      <c r="F73" s="63"/>
      <c r="G73" s="63"/>
      <c r="H73" s="63"/>
      <c r="I73" s="63"/>
      <c r="J73" s="63"/>
      <c r="K73" s="63"/>
      <c r="L73" s="63"/>
      <c r="M73" s="63"/>
      <c r="N73" s="58"/>
      <c r="O73" s="83"/>
    </row>
    <row r="74" spans="1:15" ht="30" customHeight="1">
      <c r="A74" s="63"/>
      <c r="B74" s="63"/>
      <c r="C74" s="100"/>
      <c r="D74" s="63"/>
      <c r="E74" s="89"/>
      <c r="F74" s="63"/>
      <c r="G74" s="63"/>
      <c r="H74" s="63"/>
      <c r="I74" s="63"/>
      <c r="J74" s="63"/>
      <c r="K74" s="63"/>
      <c r="L74" s="63"/>
      <c r="M74" s="63"/>
      <c r="N74" s="58"/>
      <c r="O74" s="83"/>
    </row>
    <row r="75" spans="1:15" ht="30" customHeight="1">
      <c r="A75" s="63"/>
      <c r="B75" s="63"/>
      <c r="C75" s="100" t="s">
        <v>119</v>
      </c>
      <c r="D75" s="63"/>
      <c r="E75" s="89"/>
      <c r="F75" s="63"/>
      <c r="G75" s="63"/>
      <c r="H75" s="63">
        <f>SUM(H53:H74)</f>
        <v>23386000</v>
      </c>
      <c r="I75" s="63"/>
      <c r="J75" s="63">
        <f>SUM(J53:J74)</f>
        <v>30181600</v>
      </c>
      <c r="K75" s="63"/>
      <c r="L75" s="63">
        <f>SUM(L53:L74)</f>
        <v>23752800</v>
      </c>
      <c r="M75" s="63"/>
      <c r="N75" s="63">
        <f>SUM(N53:N74)</f>
        <v>77320400</v>
      </c>
      <c r="O75" s="83"/>
    </row>
    <row r="76" spans="1:15" ht="30" customHeight="1">
      <c r="A76" s="63"/>
      <c r="B76" s="63"/>
      <c r="C76" s="77" t="s">
        <v>132</v>
      </c>
      <c r="D76" s="77"/>
      <c r="E76" s="78"/>
      <c r="F76" s="77"/>
      <c r="G76" s="77"/>
      <c r="H76" s="77"/>
      <c r="I76" s="77"/>
      <c r="J76" s="77"/>
      <c r="K76" s="77"/>
      <c r="L76" s="77"/>
      <c r="M76" s="77"/>
      <c r="N76" s="77"/>
      <c r="O76" s="78"/>
    </row>
    <row r="77" spans="1:15" ht="30" customHeight="1">
      <c r="A77" s="63" t="s">
        <v>65</v>
      </c>
      <c r="B77" s="63" t="s">
        <v>133</v>
      </c>
      <c r="C77" s="102" t="s">
        <v>134</v>
      </c>
      <c r="D77" s="90" t="s">
        <v>135</v>
      </c>
      <c r="E77" s="103" t="s">
        <v>136</v>
      </c>
      <c r="F77" s="102">
        <v>98</v>
      </c>
      <c r="G77" s="102">
        <v>97400</v>
      </c>
      <c r="H77" s="102">
        <f t="shared" ref="H77:H92" si="9">F77*G77</f>
        <v>9545200</v>
      </c>
      <c r="I77" s="102"/>
      <c r="J77" s="102">
        <f>F77*I77</f>
        <v>0</v>
      </c>
      <c r="K77" s="102"/>
      <c r="L77" s="102">
        <f>F77*K77</f>
        <v>0</v>
      </c>
      <c r="M77" s="102">
        <f t="shared" ref="M77:M101" si="10">+G77+I77+K77</f>
        <v>97400</v>
      </c>
      <c r="N77" s="104">
        <f t="shared" ref="N77:N101" si="11">+H77+J77+L77</f>
        <v>9545200</v>
      </c>
      <c r="O77" s="105"/>
    </row>
    <row r="78" spans="1:15" ht="30" customHeight="1">
      <c r="A78" s="63"/>
      <c r="B78" s="63"/>
      <c r="C78" s="102" t="s">
        <v>134</v>
      </c>
      <c r="D78" s="102" t="s">
        <v>137</v>
      </c>
      <c r="E78" s="103" t="s">
        <v>136</v>
      </c>
      <c r="F78" s="102">
        <v>4</v>
      </c>
      <c r="G78" s="63">
        <v>90800</v>
      </c>
      <c r="H78" s="63">
        <f t="shared" si="9"/>
        <v>363200</v>
      </c>
      <c r="I78" s="63"/>
      <c r="J78" s="63">
        <f>F78*I78</f>
        <v>0</v>
      </c>
      <c r="K78" s="63"/>
      <c r="L78" s="63">
        <f>F78*K78</f>
        <v>0</v>
      </c>
      <c r="M78" s="102">
        <f t="shared" si="10"/>
        <v>90800</v>
      </c>
      <c r="N78" s="104">
        <f t="shared" si="11"/>
        <v>363200</v>
      </c>
      <c r="O78" s="106"/>
    </row>
    <row r="79" spans="1:15" ht="30" customHeight="1">
      <c r="A79" s="63"/>
      <c r="B79" s="63"/>
      <c r="C79" s="102" t="s">
        <v>134</v>
      </c>
      <c r="D79" s="102" t="s">
        <v>138</v>
      </c>
      <c r="E79" s="103" t="s">
        <v>136</v>
      </c>
      <c r="F79" s="102">
        <v>23</v>
      </c>
      <c r="G79" s="63">
        <v>81600</v>
      </c>
      <c r="H79" s="63">
        <f t="shared" si="9"/>
        <v>1876800</v>
      </c>
      <c r="I79" s="63"/>
      <c r="J79" s="63"/>
      <c r="K79" s="63"/>
      <c r="L79" s="63"/>
      <c r="M79" s="102">
        <f t="shared" si="10"/>
        <v>81600</v>
      </c>
      <c r="N79" s="104">
        <f t="shared" si="11"/>
        <v>1876800</v>
      </c>
      <c r="O79" s="106"/>
    </row>
    <row r="80" spans="1:15" ht="30" customHeight="1">
      <c r="A80" s="63"/>
      <c r="B80" s="63"/>
      <c r="C80" s="107" t="s">
        <v>139</v>
      </c>
      <c r="D80" s="97" t="s">
        <v>140</v>
      </c>
      <c r="E80" s="106" t="s">
        <v>141</v>
      </c>
      <c r="F80" s="107">
        <v>5</v>
      </c>
      <c r="G80" s="63">
        <v>724400</v>
      </c>
      <c r="H80" s="63">
        <f t="shared" si="9"/>
        <v>3622000</v>
      </c>
      <c r="I80" s="63"/>
      <c r="J80" s="63">
        <f t="shared" ref="J80:J89" si="12">F80*I80</f>
        <v>0</v>
      </c>
      <c r="K80" s="63"/>
      <c r="L80" s="63">
        <f t="shared" ref="L80:L91" si="13">F80*K80</f>
        <v>0</v>
      </c>
      <c r="M80" s="102">
        <f t="shared" si="10"/>
        <v>724400</v>
      </c>
      <c r="N80" s="104">
        <f t="shared" si="11"/>
        <v>3622000</v>
      </c>
      <c r="O80" s="106"/>
    </row>
    <row r="81" spans="1:15" ht="30" customHeight="1">
      <c r="A81" s="63"/>
      <c r="B81" s="63"/>
      <c r="C81" s="102" t="s">
        <v>139</v>
      </c>
      <c r="D81" s="90" t="s">
        <v>142</v>
      </c>
      <c r="E81" s="103" t="s">
        <v>141</v>
      </c>
      <c r="F81" s="102">
        <v>2</v>
      </c>
      <c r="G81" s="63">
        <v>716000</v>
      </c>
      <c r="H81" s="63">
        <f t="shared" si="9"/>
        <v>1432000</v>
      </c>
      <c r="I81" s="63"/>
      <c r="J81" s="63">
        <f t="shared" si="12"/>
        <v>0</v>
      </c>
      <c r="K81" s="63"/>
      <c r="L81" s="63">
        <f t="shared" si="13"/>
        <v>0</v>
      </c>
      <c r="M81" s="102">
        <f t="shared" si="10"/>
        <v>716000</v>
      </c>
      <c r="N81" s="104">
        <f t="shared" si="11"/>
        <v>1432000</v>
      </c>
      <c r="O81" s="108"/>
    </row>
    <row r="82" spans="1:15" ht="30" customHeight="1">
      <c r="A82" s="63"/>
      <c r="B82" s="63"/>
      <c r="C82" s="102" t="s">
        <v>139</v>
      </c>
      <c r="D82" s="90" t="s">
        <v>143</v>
      </c>
      <c r="E82" s="103" t="s">
        <v>141</v>
      </c>
      <c r="F82" s="102">
        <v>2.5103925</v>
      </c>
      <c r="G82" s="102">
        <v>707700</v>
      </c>
      <c r="H82" s="102">
        <f t="shared" si="9"/>
        <v>1776604.77225</v>
      </c>
      <c r="I82" s="102"/>
      <c r="J82" s="102">
        <f t="shared" si="12"/>
        <v>0</v>
      </c>
      <c r="K82" s="102"/>
      <c r="L82" s="102">
        <f t="shared" si="13"/>
        <v>0</v>
      </c>
      <c r="M82" s="102">
        <f t="shared" si="10"/>
        <v>707700</v>
      </c>
      <c r="N82" s="104">
        <f t="shared" si="11"/>
        <v>1776604.77225</v>
      </c>
      <c r="O82" s="108"/>
    </row>
    <row r="83" spans="1:15" ht="30" customHeight="1">
      <c r="A83" s="63" t="s">
        <v>65</v>
      </c>
      <c r="B83" s="63" t="s">
        <v>144</v>
      </c>
      <c r="C83" s="90" t="s">
        <v>145</v>
      </c>
      <c r="D83" s="90" t="s">
        <v>146</v>
      </c>
      <c r="E83" s="103" t="s">
        <v>77</v>
      </c>
      <c r="F83" s="102">
        <v>1314</v>
      </c>
      <c r="G83" s="102">
        <v>3200</v>
      </c>
      <c r="H83" s="102">
        <f t="shared" si="9"/>
        <v>4204800</v>
      </c>
      <c r="I83" s="102">
        <v>3700</v>
      </c>
      <c r="J83" s="102">
        <f t="shared" si="12"/>
        <v>4861800</v>
      </c>
      <c r="K83" s="102"/>
      <c r="L83" s="102">
        <f t="shared" si="13"/>
        <v>0</v>
      </c>
      <c r="M83" s="102">
        <f t="shared" si="10"/>
        <v>6900</v>
      </c>
      <c r="N83" s="104">
        <f t="shared" si="11"/>
        <v>9066600</v>
      </c>
      <c r="O83" s="108"/>
    </row>
    <row r="84" spans="1:15" ht="30" customHeight="1">
      <c r="A84" s="63"/>
      <c r="B84" s="63"/>
      <c r="C84" s="90" t="s">
        <v>145</v>
      </c>
      <c r="D84" s="90" t="s">
        <v>147</v>
      </c>
      <c r="E84" s="103" t="s">
        <v>77</v>
      </c>
      <c r="F84" s="102">
        <v>127</v>
      </c>
      <c r="G84" s="102">
        <v>4000</v>
      </c>
      <c r="H84" s="102">
        <f t="shared" si="9"/>
        <v>508000</v>
      </c>
      <c r="I84" s="102">
        <v>4600</v>
      </c>
      <c r="J84" s="102">
        <f t="shared" si="12"/>
        <v>584200</v>
      </c>
      <c r="K84" s="102"/>
      <c r="L84" s="102">
        <f t="shared" si="13"/>
        <v>0</v>
      </c>
      <c r="M84" s="102">
        <f t="shared" si="10"/>
        <v>8600</v>
      </c>
      <c r="N84" s="104">
        <f t="shared" si="11"/>
        <v>1092200</v>
      </c>
      <c r="O84" s="108"/>
    </row>
    <row r="85" spans="1:15" ht="30" customHeight="1">
      <c r="A85" s="63" t="s">
        <v>65</v>
      </c>
      <c r="B85" s="63" t="s">
        <v>148</v>
      </c>
      <c r="C85" s="90" t="s">
        <v>145</v>
      </c>
      <c r="D85" s="90" t="s">
        <v>149</v>
      </c>
      <c r="E85" s="103" t="s">
        <v>77</v>
      </c>
      <c r="F85" s="102">
        <v>1391</v>
      </c>
      <c r="G85" s="102">
        <v>6200</v>
      </c>
      <c r="H85" s="102">
        <f t="shared" si="9"/>
        <v>8624200</v>
      </c>
      <c r="I85" s="102">
        <v>5800</v>
      </c>
      <c r="J85" s="102">
        <f t="shared" si="12"/>
        <v>8067800</v>
      </c>
      <c r="K85" s="102"/>
      <c r="L85" s="102">
        <f t="shared" si="13"/>
        <v>0</v>
      </c>
      <c r="M85" s="102">
        <f t="shared" si="10"/>
        <v>12000</v>
      </c>
      <c r="N85" s="104">
        <f t="shared" si="11"/>
        <v>16692000</v>
      </c>
      <c r="O85" s="108"/>
    </row>
    <row r="86" spans="1:15" ht="30" customHeight="1">
      <c r="A86" s="63"/>
      <c r="B86" s="63"/>
      <c r="C86" s="107" t="s">
        <v>150</v>
      </c>
      <c r="D86" s="107" t="s">
        <v>151</v>
      </c>
      <c r="E86" s="106" t="s">
        <v>82</v>
      </c>
      <c r="F86" s="107">
        <v>171.255</v>
      </c>
      <c r="G86" s="68">
        <v>10000</v>
      </c>
      <c r="H86" s="68">
        <f t="shared" si="9"/>
        <v>1712550</v>
      </c>
      <c r="I86" s="68">
        <v>45800</v>
      </c>
      <c r="J86" s="68">
        <f t="shared" si="12"/>
        <v>7843479</v>
      </c>
      <c r="K86" s="68"/>
      <c r="L86" s="68">
        <f t="shared" si="13"/>
        <v>0</v>
      </c>
      <c r="M86" s="102">
        <f t="shared" si="10"/>
        <v>55800</v>
      </c>
      <c r="N86" s="104">
        <f t="shared" si="11"/>
        <v>9556029</v>
      </c>
      <c r="O86" s="108"/>
    </row>
    <row r="87" spans="1:15" ht="30" customHeight="1">
      <c r="A87" s="63" t="s">
        <v>65</v>
      </c>
      <c r="B87" s="63" t="s">
        <v>152</v>
      </c>
      <c r="C87" s="107" t="s">
        <v>150</v>
      </c>
      <c r="D87" s="107" t="s">
        <v>153</v>
      </c>
      <c r="E87" s="106" t="s">
        <v>136</v>
      </c>
      <c r="F87" s="107">
        <v>16.065000000000001</v>
      </c>
      <c r="G87" s="68">
        <v>15000</v>
      </c>
      <c r="H87" s="68">
        <f t="shared" si="9"/>
        <v>240975.00000000003</v>
      </c>
      <c r="I87" s="68">
        <v>50000</v>
      </c>
      <c r="J87" s="68">
        <f t="shared" si="12"/>
        <v>803250.0000000001</v>
      </c>
      <c r="K87" s="68"/>
      <c r="L87" s="68">
        <f t="shared" si="13"/>
        <v>0</v>
      </c>
      <c r="M87" s="102">
        <f t="shared" si="10"/>
        <v>65000</v>
      </c>
      <c r="N87" s="104">
        <f t="shared" si="11"/>
        <v>1044225.0000000001</v>
      </c>
      <c r="O87" s="108"/>
    </row>
    <row r="88" spans="1:15" ht="30" customHeight="1">
      <c r="A88" s="63"/>
      <c r="B88" s="63"/>
      <c r="C88" s="107" t="s">
        <v>154</v>
      </c>
      <c r="D88" s="107" t="s">
        <v>155</v>
      </c>
      <c r="E88" s="106" t="s">
        <v>82</v>
      </c>
      <c r="F88" s="107">
        <v>83.79</v>
      </c>
      <c r="G88" s="68">
        <v>1200</v>
      </c>
      <c r="H88" s="107">
        <f t="shared" si="9"/>
        <v>100548.00000000001</v>
      </c>
      <c r="I88" s="107">
        <v>6700</v>
      </c>
      <c r="J88" s="107">
        <f t="shared" si="12"/>
        <v>561393</v>
      </c>
      <c r="K88" s="107"/>
      <c r="L88" s="107">
        <f t="shared" si="13"/>
        <v>0</v>
      </c>
      <c r="M88" s="102">
        <f t="shared" si="10"/>
        <v>7900</v>
      </c>
      <c r="N88" s="104">
        <f t="shared" si="11"/>
        <v>661941</v>
      </c>
      <c r="O88" s="108"/>
    </row>
    <row r="89" spans="1:15" ht="30" customHeight="1">
      <c r="A89" s="63" t="s">
        <v>156</v>
      </c>
      <c r="B89" s="63" t="s">
        <v>157</v>
      </c>
      <c r="C89" s="107" t="s">
        <v>158</v>
      </c>
      <c r="D89" s="107" t="s">
        <v>158</v>
      </c>
      <c r="E89" s="106" t="s">
        <v>77</v>
      </c>
      <c r="F89" s="107">
        <v>40</v>
      </c>
      <c r="G89" s="68">
        <v>4200</v>
      </c>
      <c r="H89" s="68">
        <f t="shared" si="9"/>
        <v>168000</v>
      </c>
      <c r="I89" s="68">
        <v>12500</v>
      </c>
      <c r="J89" s="68">
        <f t="shared" si="12"/>
        <v>500000</v>
      </c>
      <c r="K89" s="68"/>
      <c r="L89" s="68">
        <f t="shared" si="13"/>
        <v>0</v>
      </c>
      <c r="M89" s="102">
        <f t="shared" si="10"/>
        <v>16700</v>
      </c>
      <c r="N89" s="104">
        <f t="shared" si="11"/>
        <v>668000</v>
      </c>
      <c r="O89" s="108"/>
    </row>
    <row r="90" spans="1:15" s="93" customFormat="1" ht="30" customHeight="1">
      <c r="A90" s="68"/>
      <c r="B90" s="68"/>
      <c r="C90" s="102" t="s">
        <v>159</v>
      </c>
      <c r="D90" s="102" t="s">
        <v>160</v>
      </c>
      <c r="E90" s="103" t="s">
        <v>141</v>
      </c>
      <c r="F90" s="102">
        <f>SUM(F80:F82)</f>
        <v>9.5103925</v>
      </c>
      <c r="G90" s="102">
        <v>12500</v>
      </c>
      <c r="H90" s="68">
        <f t="shared" si="9"/>
        <v>118879.90625</v>
      </c>
      <c r="I90" s="109">
        <v>433000</v>
      </c>
      <c r="J90" s="63">
        <f>TRUNC(F90*I90,0)</f>
        <v>4117999</v>
      </c>
      <c r="K90" s="109">
        <v>25000</v>
      </c>
      <c r="L90" s="63">
        <f t="shared" si="13"/>
        <v>237759.8125</v>
      </c>
      <c r="M90" s="102">
        <f t="shared" si="10"/>
        <v>470500</v>
      </c>
      <c r="N90" s="104">
        <f t="shared" si="11"/>
        <v>4474638.71875</v>
      </c>
      <c r="O90" s="83"/>
    </row>
    <row r="91" spans="1:15" s="110" customFormat="1" ht="30" customHeight="1">
      <c r="A91" s="102"/>
      <c r="B91" s="102"/>
      <c r="C91" s="102" t="s">
        <v>161</v>
      </c>
      <c r="D91" s="102" t="s">
        <v>162</v>
      </c>
      <c r="E91" s="103" t="s">
        <v>136</v>
      </c>
      <c r="F91" s="102">
        <f>+F79+F78+F77</f>
        <v>125</v>
      </c>
      <c r="G91" s="102">
        <v>1000</v>
      </c>
      <c r="H91" s="68">
        <f t="shared" si="9"/>
        <v>125000</v>
      </c>
      <c r="I91" s="109">
        <v>7500</v>
      </c>
      <c r="J91" s="63">
        <f>TRUNC(F91*I91,0)</f>
        <v>937500</v>
      </c>
      <c r="K91" s="109">
        <v>6200</v>
      </c>
      <c r="L91" s="68">
        <f t="shared" si="13"/>
        <v>775000</v>
      </c>
      <c r="M91" s="102">
        <f t="shared" si="10"/>
        <v>14700</v>
      </c>
      <c r="N91" s="104">
        <f t="shared" si="11"/>
        <v>1837500</v>
      </c>
      <c r="O91" s="89"/>
    </row>
    <row r="92" spans="1:15" ht="30" customHeight="1">
      <c r="A92" s="63"/>
      <c r="B92" s="63"/>
      <c r="C92" s="91" t="s">
        <v>163</v>
      </c>
      <c r="D92" s="91" t="s">
        <v>164</v>
      </c>
      <c r="E92" s="105" t="s">
        <v>165</v>
      </c>
      <c r="F92" s="102">
        <v>4</v>
      </c>
      <c r="G92" s="102"/>
      <c r="H92" s="68">
        <f t="shared" si="9"/>
        <v>0</v>
      </c>
      <c r="I92" s="109">
        <v>141500</v>
      </c>
      <c r="J92" s="63">
        <f>TRUNC(F92*I92,0)</f>
        <v>566000</v>
      </c>
      <c r="K92" s="68"/>
      <c r="L92" s="63">
        <f>TRUNC(F92*K92,0)</f>
        <v>0</v>
      </c>
      <c r="M92" s="102">
        <f t="shared" si="10"/>
        <v>141500</v>
      </c>
      <c r="N92" s="104">
        <f t="shared" si="11"/>
        <v>566000</v>
      </c>
      <c r="O92" s="83"/>
    </row>
    <row r="93" spans="1:15" ht="30" customHeight="1">
      <c r="A93" s="63"/>
      <c r="B93" s="63"/>
      <c r="C93" s="102" t="s">
        <v>166</v>
      </c>
      <c r="D93" s="102" t="s">
        <v>167</v>
      </c>
      <c r="E93" s="105" t="s">
        <v>168</v>
      </c>
      <c r="F93" s="102">
        <v>5</v>
      </c>
      <c r="G93" s="102"/>
      <c r="H93" s="63"/>
      <c r="I93" s="109"/>
      <c r="J93" s="63">
        <f>TRUNC(F93*I93,0)</f>
        <v>0</v>
      </c>
      <c r="K93" s="63">
        <v>582800</v>
      </c>
      <c r="L93" s="63">
        <f t="shared" ref="L93:L101" si="14">F93*K93</f>
        <v>2914000</v>
      </c>
      <c r="M93" s="102">
        <f t="shared" si="10"/>
        <v>582800</v>
      </c>
      <c r="N93" s="104">
        <f t="shared" si="11"/>
        <v>2914000</v>
      </c>
      <c r="O93" s="89"/>
    </row>
    <row r="94" spans="1:15" ht="30" customHeight="1">
      <c r="A94" s="63"/>
      <c r="B94" s="63"/>
      <c r="C94" s="102" t="s">
        <v>166</v>
      </c>
      <c r="D94" s="102" t="s">
        <v>169</v>
      </c>
      <c r="E94" s="105" t="s">
        <v>168</v>
      </c>
      <c r="F94" s="102">
        <v>3</v>
      </c>
      <c r="G94" s="63"/>
      <c r="H94" s="63"/>
      <c r="I94" s="63"/>
      <c r="J94" s="63"/>
      <c r="K94" s="63">
        <v>124900</v>
      </c>
      <c r="L94" s="63">
        <f t="shared" si="14"/>
        <v>374700</v>
      </c>
      <c r="M94" s="102">
        <f t="shared" si="10"/>
        <v>124900</v>
      </c>
      <c r="N94" s="104">
        <f t="shared" si="11"/>
        <v>374700</v>
      </c>
      <c r="O94" s="89"/>
    </row>
    <row r="95" spans="1:15" ht="30" customHeight="1">
      <c r="A95" s="63"/>
      <c r="B95" s="63"/>
      <c r="C95" s="102" t="s">
        <v>21</v>
      </c>
      <c r="D95" s="102"/>
      <c r="E95" s="105" t="s">
        <v>168</v>
      </c>
      <c r="F95" s="102">
        <v>2</v>
      </c>
      <c r="G95" s="63"/>
      <c r="H95" s="63"/>
      <c r="I95" s="63"/>
      <c r="J95" s="63"/>
      <c r="K95" s="63">
        <v>208200</v>
      </c>
      <c r="L95" s="63">
        <f t="shared" si="14"/>
        <v>416400</v>
      </c>
      <c r="M95" s="102">
        <f t="shared" si="10"/>
        <v>208200</v>
      </c>
      <c r="N95" s="104">
        <f t="shared" si="11"/>
        <v>416400</v>
      </c>
      <c r="O95" s="89"/>
    </row>
    <row r="96" spans="1:15" ht="30" customHeight="1">
      <c r="A96" s="63"/>
      <c r="B96" s="63"/>
      <c r="C96" s="90" t="s">
        <v>170</v>
      </c>
      <c r="D96" s="90" t="s">
        <v>171</v>
      </c>
      <c r="E96" s="103" t="s">
        <v>82</v>
      </c>
      <c r="F96" s="102">
        <v>823</v>
      </c>
      <c r="G96" s="102">
        <v>14200</v>
      </c>
      <c r="H96" s="102">
        <f t="shared" ref="H96:H101" si="15">F96*G96</f>
        <v>11686600</v>
      </c>
      <c r="I96" s="102">
        <v>7500</v>
      </c>
      <c r="J96" s="102">
        <f t="shared" ref="J96:J101" si="16">F96*I96</f>
        <v>6172500</v>
      </c>
      <c r="K96" s="102"/>
      <c r="L96" s="102">
        <f t="shared" si="14"/>
        <v>0</v>
      </c>
      <c r="M96" s="102">
        <f t="shared" si="10"/>
        <v>21700</v>
      </c>
      <c r="N96" s="104">
        <f t="shared" si="11"/>
        <v>17859100</v>
      </c>
      <c r="O96" s="105"/>
    </row>
    <row r="97" spans="1:15" ht="30" customHeight="1">
      <c r="A97" s="63"/>
      <c r="B97" s="63"/>
      <c r="C97" s="90" t="s">
        <v>170</v>
      </c>
      <c r="D97" s="90" t="s">
        <v>172</v>
      </c>
      <c r="E97" s="103" t="s">
        <v>82</v>
      </c>
      <c r="F97" s="102">
        <v>123</v>
      </c>
      <c r="G97" s="63">
        <v>9200</v>
      </c>
      <c r="H97" s="63">
        <f t="shared" si="15"/>
        <v>1131600</v>
      </c>
      <c r="I97" s="63">
        <v>6700</v>
      </c>
      <c r="J97" s="63">
        <f t="shared" si="16"/>
        <v>824100</v>
      </c>
      <c r="K97" s="63"/>
      <c r="L97" s="63">
        <f t="shared" si="14"/>
        <v>0</v>
      </c>
      <c r="M97" s="102">
        <f t="shared" si="10"/>
        <v>15900</v>
      </c>
      <c r="N97" s="104">
        <f t="shared" si="11"/>
        <v>1955700</v>
      </c>
      <c r="O97" s="108"/>
    </row>
    <row r="98" spans="1:15" ht="30" customHeight="1">
      <c r="A98" s="63"/>
      <c r="B98" s="63"/>
      <c r="C98" s="90" t="s">
        <v>170</v>
      </c>
      <c r="D98" s="90" t="s">
        <v>173</v>
      </c>
      <c r="E98" s="103" t="s">
        <v>82</v>
      </c>
      <c r="F98" s="102">
        <v>40</v>
      </c>
      <c r="G98" s="63">
        <v>15800</v>
      </c>
      <c r="H98" s="63">
        <f t="shared" si="15"/>
        <v>632000</v>
      </c>
      <c r="I98" s="63">
        <v>8300</v>
      </c>
      <c r="J98" s="63">
        <f t="shared" si="16"/>
        <v>332000</v>
      </c>
      <c r="K98" s="63"/>
      <c r="L98" s="63">
        <f t="shared" si="14"/>
        <v>0</v>
      </c>
      <c r="M98" s="102">
        <f t="shared" si="10"/>
        <v>24100</v>
      </c>
      <c r="N98" s="104">
        <f t="shared" si="11"/>
        <v>964000</v>
      </c>
      <c r="O98" s="108"/>
    </row>
    <row r="99" spans="1:15" ht="30" customHeight="1">
      <c r="A99" s="63"/>
      <c r="B99" s="63"/>
      <c r="C99" s="107" t="s">
        <v>174</v>
      </c>
      <c r="D99" s="97" t="s">
        <v>175</v>
      </c>
      <c r="E99" s="106" t="s">
        <v>82</v>
      </c>
      <c r="F99" s="107">
        <v>200</v>
      </c>
      <c r="G99" s="63">
        <v>2900</v>
      </c>
      <c r="H99" s="63">
        <f t="shared" si="15"/>
        <v>580000</v>
      </c>
      <c r="I99" s="63">
        <v>2900</v>
      </c>
      <c r="J99" s="63">
        <f t="shared" si="16"/>
        <v>580000</v>
      </c>
      <c r="K99" s="63"/>
      <c r="L99" s="63">
        <f t="shared" si="14"/>
        <v>0</v>
      </c>
      <c r="M99" s="102">
        <f t="shared" si="10"/>
        <v>5800</v>
      </c>
      <c r="N99" s="104">
        <f t="shared" si="11"/>
        <v>1160000</v>
      </c>
      <c r="O99" s="108"/>
    </row>
    <row r="100" spans="1:15" ht="30" customHeight="1">
      <c r="A100" s="63"/>
      <c r="B100" s="63"/>
      <c r="C100" s="102" t="s">
        <v>176</v>
      </c>
      <c r="D100" s="90" t="s">
        <v>177</v>
      </c>
      <c r="E100" s="103" t="s">
        <v>82</v>
      </c>
      <c r="F100" s="102">
        <v>29</v>
      </c>
      <c r="G100" s="63">
        <v>8300</v>
      </c>
      <c r="H100" s="63">
        <f t="shared" si="15"/>
        <v>240700</v>
      </c>
      <c r="I100" s="63">
        <v>5800</v>
      </c>
      <c r="J100" s="63">
        <f t="shared" si="16"/>
        <v>168200</v>
      </c>
      <c r="K100" s="63"/>
      <c r="L100" s="63">
        <f t="shared" si="14"/>
        <v>0</v>
      </c>
      <c r="M100" s="102">
        <f t="shared" si="10"/>
        <v>14100</v>
      </c>
      <c r="N100" s="104">
        <f t="shared" si="11"/>
        <v>408900</v>
      </c>
      <c r="O100" s="108"/>
    </row>
    <row r="101" spans="1:15" ht="30" customHeight="1">
      <c r="A101" s="63"/>
      <c r="B101" s="63"/>
      <c r="C101" s="102" t="s">
        <v>178</v>
      </c>
      <c r="D101" s="90" t="s">
        <v>179</v>
      </c>
      <c r="E101" s="103" t="s">
        <v>82</v>
      </c>
      <c r="F101" s="102">
        <v>118</v>
      </c>
      <c r="G101" s="63">
        <v>23300</v>
      </c>
      <c r="H101" s="63">
        <f t="shared" si="15"/>
        <v>2749400</v>
      </c>
      <c r="I101" s="63">
        <v>6700</v>
      </c>
      <c r="J101" s="63">
        <f t="shared" si="16"/>
        <v>790600</v>
      </c>
      <c r="K101" s="63"/>
      <c r="L101" s="63">
        <f t="shared" si="14"/>
        <v>0</v>
      </c>
      <c r="M101" s="102">
        <f t="shared" si="10"/>
        <v>30000</v>
      </c>
      <c r="N101" s="104">
        <f t="shared" si="11"/>
        <v>3540000</v>
      </c>
      <c r="O101" s="108"/>
    </row>
    <row r="102" spans="1:15" ht="30" customHeight="1">
      <c r="A102" s="63"/>
      <c r="B102" s="63"/>
      <c r="C102" s="102"/>
      <c r="D102" s="102"/>
      <c r="E102" s="105"/>
      <c r="F102" s="102"/>
      <c r="G102" s="63"/>
      <c r="H102" s="63"/>
      <c r="I102" s="63"/>
      <c r="J102" s="63"/>
      <c r="K102" s="63"/>
      <c r="L102" s="63"/>
      <c r="M102" s="102"/>
      <c r="N102" s="104"/>
      <c r="O102" s="108"/>
    </row>
    <row r="103" spans="1:15" ht="30" customHeight="1">
      <c r="A103" s="63"/>
      <c r="B103" s="63"/>
      <c r="C103" s="102"/>
      <c r="D103" s="102"/>
      <c r="E103" s="105"/>
      <c r="F103" s="102"/>
      <c r="G103" s="63"/>
      <c r="H103" s="63"/>
      <c r="I103" s="63"/>
      <c r="J103" s="63"/>
      <c r="K103" s="63"/>
      <c r="L103" s="63"/>
      <c r="M103" s="102"/>
      <c r="N103" s="104"/>
      <c r="O103" s="108"/>
    </row>
    <row r="104" spans="1:15" ht="30" customHeight="1">
      <c r="A104" s="63"/>
      <c r="B104" s="63"/>
      <c r="C104" s="102"/>
      <c r="D104" s="102"/>
      <c r="E104" s="105"/>
      <c r="F104" s="102"/>
      <c r="G104" s="63"/>
      <c r="H104" s="63"/>
      <c r="I104" s="63"/>
      <c r="J104" s="63"/>
      <c r="K104" s="63"/>
      <c r="L104" s="63"/>
      <c r="M104" s="102"/>
      <c r="N104" s="104"/>
      <c r="O104" s="108"/>
    </row>
    <row r="105" spans="1:15" ht="30" customHeight="1">
      <c r="A105" s="63"/>
      <c r="B105" s="63"/>
      <c r="C105" s="102"/>
      <c r="D105" s="102"/>
      <c r="E105" s="105"/>
      <c r="F105" s="102"/>
      <c r="G105" s="63"/>
      <c r="H105" s="63"/>
      <c r="I105" s="63"/>
      <c r="J105" s="63"/>
      <c r="K105" s="63"/>
      <c r="L105" s="63"/>
      <c r="M105" s="102"/>
      <c r="N105" s="104"/>
      <c r="O105" s="108"/>
    </row>
    <row r="106" spans="1:15" ht="30" customHeight="1">
      <c r="A106" s="63"/>
      <c r="B106" s="63"/>
      <c r="C106" s="102"/>
      <c r="D106" s="102"/>
      <c r="E106" s="105"/>
      <c r="F106" s="102"/>
      <c r="G106" s="63"/>
      <c r="H106" s="63"/>
      <c r="I106" s="63"/>
      <c r="J106" s="63"/>
      <c r="K106" s="63"/>
      <c r="L106" s="63"/>
      <c r="M106" s="102"/>
      <c r="N106" s="104"/>
      <c r="O106" s="108"/>
    </row>
    <row r="107" spans="1:15" ht="30" customHeight="1">
      <c r="A107" s="63"/>
      <c r="B107" s="63"/>
      <c r="C107" s="102"/>
      <c r="D107" s="102"/>
      <c r="E107" s="105"/>
      <c r="F107" s="102"/>
      <c r="G107" s="63"/>
      <c r="H107" s="63"/>
      <c r="I107" s="63"/>
      <c r="J107" s="63"/>
      <c r="K107" s="63"/>
      <c r="L107" s="63"/>
      <c r="M107" s="102"/>
      <c r="N107" s="104"/>
      <c r="O107" s="108"/>
    </row>
    <row r="108" spans="1:15" ht="30" customHeight="1">
      <c r="A108" s="63"/>
      <c r="B108" s="63"/>
      <c r="C108" s="102"/>
      <c r="D108" s="102"/>
      <c r="E108" s="105"/>
      <c r="F108" s="102"/>
      <c r="G108" s="63"/>
      <c r="H108" s="63"/>
      <c r="I108" s="63"/>
      <c r="J108" s="63"/>
      <c r="K108" s="63"/>
      <c r="L108" s="63"/>
      <c r="M108" s="102"/>
      <c r="N108" s="104"/>
      <c r="O108" s="108"/>
    </row>
    <row r="109" spans="1:15" ht="30" customHeight="1">
      <c r="A109" s="63"/>
      <c r="B109" s="63"/>
      <c r="C109" s="102"/>
      <c r="D109" s="102"/>
      <c r="E109" s="105"/>
      <c r="F109" s="102"/>
      <c r="G109" s="63"/>
      <c r="H109" s="63"/>
      <c r="I109" s="63"/>
      <c r="J109" s="63"/>
      <c r="K109" s="63"/>
      <c r="L109" s="63"/>
      <c r="M109" s="102"/>
      <c r="N109" s="104"/>
      <c r="O109" s="108"/>
    </row>
    <row r="110" spans="1:15" ht="30" customHeight="1">
      <c r="A110" s="63"/>
      <c r="B110" s="63"/>
      <c r="C110" s="102"/>
      <c r="D110" s="102"/>
      <c r="E110" s="105"/>
      <c r="F110" s="102"/>
      <c r="G110" s="63"/>
      <c r="H110" s="63"/>
      <c r="I110" s="63"/>
      <c r="J110" s="63"/>
      <c r="K110" s="63"/>
      <c r="L110" s="63"/>
      <c r="M110" s="102"/>
      <c r="N110" s="104"/>
      <c r="O110" s="108"/>
    </row>
    <row r="111" spans="1:15" ht="30" customHeight="1">
      <c r="A111" s="63"/>
      <c r="B111" s="63"/>
      <c r="C111" s="102"/>
      <c r="D111" s="102"/>
      <c r="E111" s="105"/>
      <c r="F111" s="102"/>
      <c r="G111" s="63"/>
      <c r="H111" s="63"/>
      <c r="I111" s="63"/>
      <c r="J111" s="63"/>
      <c r="K111" s="63"/>
      <c r="L111" s="63"/>
      <c r="M111" s="102"/>
      <c r="N111" s="104"/>
      <c r="O111" s="108"/>
    </row>
    <row r="112" spans="1:15" ht="30" customHeight="1">
      <c r="A112" s="63"/>
      <c r="B112" s="63"/>
      <c r="C112" s="102"/>
      <c r="D112" s="102"/>
      <c r="E112" s="105"/>
      <c r="F112" s="102"/>
      <c r="G112" s="63"/>
      <c r="H112" s="63"/>
      <c r="I112" s="63"/>
      <c r="J112" s="63"/>
      <c r="K112" s="63"/>
      <c r="L112" s="63"/>
      <c r="M112" s="102"/>
      <c r="N112" s="104"/>
      <c r="O112" s="108"/>
    </row>
    <row r="113" spans="1:15" ht="30" customHeight="1">
      <c r="A113" s="63"/>
      <c r="B113" s="63"/>
      <c r="C113" s="102"/>
      <c r="D113" s="102"/>
      <c r="E113" s="105"/>
      <c r="F113" s="102"/>
      <c r="G113" s="63"/>
      <c r="H113" s="63"/>
      <c r="I113" s="63"/>
      <c r="J113" s="63"/>
      <c r="K113" s="63"/>
      <c r="L113" s="63"/>
      <c r="M113" s="102"/>
      <c r="N113" s="104"/>
      <c r="O113" s="108"/>
    </row>
    <row r="114" spans="1:15" ht="30" customHeight="1">
      <c r="A114" s="63"/>
      <c r="B114" s="63"/>
      <c r="C114" s="102"/>
      <c r="D114" s="102"/>
      <c r="E114" s="105"/>
      <c r="F114" s="102"/>
      <c r="G114" s="63"/>
      <c r="H114" s="63"/>
      <c r="I114" s="63"/>
      <c r="J114" s="63"/>
      <c r="K114" s="63"/>
      <c r="L114" s="63"/>
      <c r="M114" s="102"/>
      <c r="N114" s="104"/>
      <c r="O114" s="108"/>
    </row>
    <row r="115" spans="1:15" ht="30" customHeight="1">
      <c r="A115" s="63"/>
      <c r="B115" s="63"/>
      <c r="C115" s="102"/>
      <c r="D115" s="102"/>
      <c r="E115" s="105"/>
      <c r="F115" s="102"/>
      <c r="G115" s="63"/>
      <c r="H115" s="63"/>
      <c r="I115" s="63"/>
      <c r="J115" s="63"/>
      <c r="K115" s="63"/>
      <c r="L115" s="63"/>
      <c r="M115" s="102"/>
      <c r="N115" s="104"/>
      <c r="O115" s="108"/>
    </row>
    <row r="116" spans="1:15" ht="30" customHeight="1">
      <c r="A116" s="63"/>
      <c r="B116" s="63"/>
      <c r="C116" s="102"/>
      <c r="D116" s="102"/>
      <c r="E116" s="105"/>
      <c r="F116" s="102"/>
      <c r="G116" s="63"/>
      <c r="H116" s="63"/>
      <c r="I116" s="63"/>
      <c r="J116" s="63"/>
      <c r="K116" s="63"/>
      <c r="L116" s="63"/>
      <c r="M116" s="102"/>
      <c r="N116" s="104"/>
      <c r="O116" s="108"/>
    </row>
    <row r="117" spans="1:15" ht="30" customHeight="1">
      <c r="A117" s="63"/>
      <c r="B117" s="63"/>
      <c r="C117" s="102"/>
      <c r="D117" s="102"/>
      <c r="E117" s="105"/>
      <c r="F117" s="102"/>
      <c r="G117" s="63"/>
      <c r="H117" s="63"/>
      <c r="I117" s="63"/>
      <c r="J117" s="63"/>
      <c r="K117" s="63"/>
      <c r="L117" s="63"/>
      <c r="M117" s="102"/>
      <c r="N117" s="104"/>
      <c r="O117" s="108"/>
    </row>
    <row r="118" spans="1:15" ht="30" customHeight="1">
      <c r="A118" s="63"/>
      <c r="B118" s="63"/>
      <c r="C118" s="102"/>
      <c r="D118" s="102"/>
      <c r="E118" s="105"/>
      <c r="F118" s="102"/>
      <c r="G118" s="63"/>
      <c r="H118" s="63"/>
      <c r="I118" s="63"/>
      <c r="J118" s="63"/>
      <c r="K118" s="63"/>
      <c r="L118" s="63"/>
      <c r="M118" s="102"/>
      <c r="N118" s="104"/>
      <c r="O118" s="108"/>
    </row>
    <row r="119" spans="1:15" ht="30" customHeight="1">
      <c r="A119" s="63"/>
      <c r="B119" s="63"/>
      <c r="C119" s="102"/>
      <c r="D119" s="102"/>
      <c r="E119" s="105"/>
      <c r="F119" s="102"/>
      <c r="G119" s="63"/>
      <c r="H119" s="63"/>
      <c r="I119" s="63"/>
      <c r="J119" s="63"/>
      <c r="K119" s="63"/>
      <c r="L119" s="63"/>
      <c r="M119" s="102"/>
      <c r="N119" s="104"/>
      <c r="O119" s="89"/>
    </row>
    <row r="120" spans="1:15" ht="30" customHeight="1">
      <c r="A120" s="63"/>
      <c r="B120" s="63"/>
      <c r="C120" s="102"/>
      <c r="D120" s="102"/>
      <c r="E120" s="105"/>
      <c r="F120" s="102"/>
      <c r="G120" s="63"/>
      <c r="H120" s="63"/>
      <c r="I120" s="63"/>
      <c r="J120" s="63"/>
      <c r="K120" s="63"/>
      <c r="L120" s="63"/>
      <c r="M120" s="102"/>
      <c r="N120" s="104"/>
      <c r="O120" s="89"/>
    </row>
    <row r="121" spans="1:15" ht="30" customHeight="1">
      <c r="A121" s="63"/>
      <c r="B121" s="63"/>
      <c r="C121" s="102"/>
      <c r="D121" s="102"/>
      <c r="E121" s="105"/>
      <c r="F121" s="102"/>
      <c r="G121" s="63"/>
      <c r="H121" s="63"/>
      <c r="I121" s="63"/>
      <c r="J121" s="63"/>
      <c r="K121" s="63"/>
      <c r="L121" s="63"/>
      <c r="M121" s="102"/>
      <c r="N121" s="104"/>
      <c r="O121" s="89"/>
    </row>
    <row r="122" spans="1:15" ht="30" customHeight="1">
      <c r="A122" s="63"/>
      <c r="B122" s="63"/>
      <c r="C122" s="102"/>
      <c r="D122" s="102"/>
      <c r="E122" s="105"/>
      <c r="F122" s="102"/>
      <c r="G122" s="63"/>
      <c r="H122" s="63"/>
      <c r="I122" s="63"/>
      <c r="J122" s="63"/>
      <c r="K122" s="63"/>
      <c r="L122" s="63"/>
      <c r="M122" s="102"/>
      <c r="N122" s="104"/>
      <c r="O122" s="89"/>
    </row>
    <row r="123" spans="1:15" ht="30" customHeight="1">
      <c r="A123" s="63"/>
      <c r="B123" s="63"/>
      <c r="C123" s="100" t="s">
        <v>119</v>
      </c>
      <c r="D123" s="102"/>
      <c r="E123" s="105"/>
      <c r="F123" s="102"/>
      <c r="G123" s="102"/>
      <c r="H123" s="63">
        <f>SUM(H77:H122)</f>
        <v>51439057.6785</v>
      </c>
      <c r="I123" s="102"/>
      <c r="J123" s="63">
        <f>SUM(J77:J122)</f>
        <v>37710821</v>
      </c>
      <c r="K123" s="102"/>
      <c r="L123" s="63">
        <f>SUM(L77:L122)</f>
        <v>4717859.8125</v>
      </c>
      <c r="M123" s="63">
        <f>K123+I123+G123</f>
        <v>0</v>
      </c>
      <c r="N123" s="58">
        <f>SUM(N77:N122)</f>
        <v>93867738.491</v>
      </c>
      <c r="O123" s="83"/>
    </row>
    <row r="124" spans="1:15" ht="30" customHeight="1">
      <c r="A124" s="63"/>
      <c r="B124" s="63"/>
      <c r="C124" s="77" t="s">
        <v>180</v>
      </c>
      <c r="D124" s="77"/>
      <c r="E124" s="78"/>
      <c r="F124" s="77"/>
      <c r="G124" s="77"/>
      <c r="H124" s="77"/>
      <c r="I124" s="77"/>
      <c r="J124" s="77"/>
      <c r="K124" s="77"/>
      <c r="L124" s="77"/>
      <c r="M124" s="77"/>
      <c r="N124" s="77"/>
      <c r="O124" s="78"/>
    </row>
    <row r="125" spans="1:15" ht="30" customHeight="1">
      <c r="A125" s="63"/>
      <c r="B125" s="63"/>
      <c r="C125" s="97" t="s">
        <v>181</v>
      </c>
      <c r="D125" s="97" t="s">
        <v>182</v>
      </c>
      <c r="E125" s="106" t="s">
        <v>141</v>
      </c>
      <c r="F125" s="107">
        <v>0.62979839999999998</v>
      </c>
      <c r="G125" s="63">
        <v>1084100</v>
      </c>
      <c r="H125" s="63">
        <f t="shared" ref="H125:H156" si="17">F125*G125</f>
        <v>682764.4454399999</v>
      </c>
      <c r="I125" s="63"/>
      <c r="J125" s="63">
        <f t="shared" ref="J125:J158" si="18">TRUNC(F125*I125,0)</f>
        <v>0</v>
      </c>
      <c r="K125" s="63"/>
      <c r="L125" s="63">
        <f t="shared" ref="L125:L156" si="19">F125*K125</f>
        <v>0</v>
      </c>
      <c r="M125" s="102">
        <f t="shared" ref="M125:M158" si="20">+G125+I125+K125</f>
        <v>1084100</v>
      </c>
      <c r="N125" s="104">
        <f t="shared" ref="N125:N158" si="21">+H125+J125+L125</f>
        <v>682764.4454399999</v>
      </c>
      <c r="O125" s="108"/>
    </row>
    <row r="126" spans="1:15" ht="30" customHeight="1">
      <c r="A126" s="63"/>
      <c r="B126" s="63"/>
      <c r="C126" s="97" t="s">
        <v>181</v>
      </c>
      <c r="D126" s="97" t="s">
        <v>183</v>
      </c>
      <c r="E126" s="106" t="s">
        <v>141</v>
      </c>
      <c r="F126" s="107">
        <v>0.52395000000000003</v>
      </c>
      <c r="G126" s="63">
        <v>1084100</v>
      </c>
      <c r="H126" s="63">
        <f t="shared" si="17"/>
        <v>568014.1950000001</v>
      </c>
      <c r="I126" s="63"/>
      <c r="J126" s="63">
        <f t="shared" si="18"/>
        <v>0</v>
      </c>
      <c r="K126" s="63"/>
      <c r="L126" s="63">
        <f t="shared" si="19"/>
        <v>0</v>
      </c>
      <c r="M126" s="102">
        <f t="shared" si="20"/>
        <v>1084100</v>
      </c>
      <c r="N126" s="104">
        <f t="shared" si="21"/>
        <v>568014.1950000001</v>
      </c>
      <c r="O126" s="108"/>
    </row>
    <row r="127" spans="1:15" ht="30" customHeight="1">
      <c r="A127" s="63"/>
      <c r="B127" s="63"/>
      <c r="C127" s="97" t="s">
        <v>181</v>
      </c>
      <c r="D127" s="97" t="s">
        <v>184</v>
      </c>
      <c r="E127" s="106" t="s">
        <v>141</v>
      </c>
      <c r="F127" s="107">
        <v>1.0119957749999999</v>
      </c>
      <c r="G127" s="63">
        <v>1084100</v>
      </c>
      <c r="H127" s="63">
        <f t="shared" si="17"/>
        <v>1097104.6196774999</v>
      </c>
      <c r="I127" s="63"/>
      <c r="J127" s="63">
        <f t="shared" si="18"/>
        <v>0</v>
      </c>
      <c r="K127" s="63"/>
      <c r="L127" s="63">
        <f t="shared" si="19"/>
        <v>0</v>
      </c>
      <c r="M127" s="102">
        <f t="shared" si="20"/>
        <v>1084100</v>
      </c>
      <c r="N127" s="104">
        <f t="shared" si="21"/>
        <v>1097104.6196774999</v>
      </c>
      <c r="O127" s="108"/>
    </row>
    <row r="128" spans="1:15" ht="30" customHeight="1">
      <c r="A128" s="63"/>
      <c r="B128" s="63"/>
      <c r="C128" s="97" t="s">
        <v>181</v>
      </c>
      <c r="D128" s="97" t="s">
        <v>185</v>
      </c>
      <c r="E128" s="106" t="s">
        <v>141</v>
      </c>
      <c r="F128" s="107">
        <v>0.62781600000000004</v>
      </c>
      <c r="G128" s="63">
        <v>1084100</v>
      </c>
      <c r="H128" s="63">
        <f t="shared" si="17"/>
        <v>680615.3256000001</v>
      </c>
      <c r="I128" s="63"/>
      <c r="J128" s="63">
        <f t="shared" si="18"/>
        <v>0</v>
      </c>
      <c r="K128" s="63"/>
      <c r="L128" s="63">
        <f t="shared" si="19"/>
        <v>0</v>
      </c>
      <c r="M128" s="102">
        <f t="shared" si="20"/>
        <v>1084100</v>
      </c>
      <c r="N128" s="104">
        <f t="shared" si="21"/>
        <v>680615.3256000001</v>
      </c>
      <c r="O128" s="108"/>
    </row>
    <row r="129" spans="1:15" ht="30" customHeight="1">
      <c r="A129" s="63"/>
      <c r="B129" s="63"/>
      <c r="C129" s="97" t="s">
        <v>186</v>
      </c>
      <c r="D129" s="97" t="s">
        <v>187</v>
      </c>
      <c r="E129" s="106" t="s">
        <v>141</v>
      </c>
      <c r="F129" s="107">
        <v>9.0311760000000003</v>
      </c>
      <c r="G129" s="63">
        <v>1145300</v>
      </c>
      <c r="H129" s="63">
        <f t="shared" si="17"/>
        <v>10343405.8728</v>
      </c>
      <c r="I129" s="63"/>
      <c r="J129" s="63">
        <f t="shared" si="18"/>
        <v>0</v>
      </c>
      <c r="K129" s="63"/>
      <c r="L129" s="63">
        <f t="shared" si="19"/>
        <v>0</v>
      </c>
      <c r="M129" s="102">
        <f t="shared" si="20"/>
        <v>1145300</v>
      </c>
      <c r="N129" s="104">
        <f t="shared" si="21"/>
        <v>10343405.8728</v>
      </c>
      <c r="O129" s="108"/>
    </row>
    <row r="130" spans="1:15" ht="30" customHeight="1">
      <c r="A130" s="63"/>
      <c r="B130" s="63"/>
      <c r="C130" s="97" t="s">
        <v>181</v>
      </c>
      <c r="D130" s="97" t="s">
        <v>188</v>
      </c>
      <c r="E130" s="106" t="s">
        <v>141</v>
      </c>
      <c r="F130" s="107">
        <v>9.8593866000000006</v>
      </c>
      <c r="G130" s="63">
        <v>1084100</v>
      </c>
      <c r="H130" s="63">
        <f t="shared" si="17"/>
        <v>10688561.01306</v>
      </c>
      <c r="I130" s="63"/>
      <c r="J130" s="63">
        <f t="shared" si="18"/>
        <v>0</v>
      </c>
      <c r="K130" s="63"/>
      <c r="L130" s="63">
        <f t="shared" si="19"/>
        <v>0</v>
      </c>
      <c r="M130" s="102">
        <f t="shared" si="20"/>
        <v>1084100</v>
      </c>
      <c r="N130" s="104">
        <f t="shared" si="21"/>
        <v>10688561.01306</v>
      </c>
      <c r="O130" s="108"/>
    </row>
    <row r="131" spans="1:15" ht="30" customHeight="1">
      <c r="A131" s="63"/>
      <c r="B131" s="63"/>
      <c r="C131" s="97" t="s">
        <v>181</v>
      </c>
      <c r="D131" s="97" t="s">
        <v>189</v>
      </c>
      <c r="E131" s="106" t="s">
        <v>141</v>
      </c>
      <c r="F131" s="107">
        <v>3.1467681000000001</v>
      </c>
      <c r="G131" s="63">
        <v>1084100</v>
      </c>
      <c r="H131" s="63">
        <f t="shared" si="17"/>
        <v>3411411.29721</v>
      </c>
      <c r="I131" s="63"/>
      <c r="J131" s="63">
        <f t="shared" si="18"/>
        <v>0</v>
      </c>
      <c r="K131" s="63"/>
      <c r="L131" s="63">
        <f t="shared" si="19"/>
        <v>0</v>
      </c>
      <c r="M131" s="102">
        <f t="shared" si="20"/>
        <v>1084100</v>
      </c>
      <c r="N131" s="104">
        <f t="shared" si="21"/>
        <v>3411411.29721</v>
      </c>
      <c r="O131" s="108"/>
    </row>
    <row r="132" spans="1:15" ht="30" customHeight="1">
      <c r="A132" s="63"/>
      <c r="B132" s="63"/>
      <c r="C132" s="97" t="s">
        <v>186</v>
      </c>
      <c r="D132" s="97" t="s">
        <v>190</v>
      </c>
      <c r="E132" s="106" t="s">
        <v>141</v>
      </c>
      <c r="F132" s="107">
        <v>2.60568</v>
      </c>
      <c r="G132" s="63">
        <v>1145300</v>
      </c>
      <c r="H132" s="63">
        <f t="shared" si="17"/>
        <v>2984285.304</v>
      </c>
      <c r="I132" s="63"/>
      <c r="J132" s="63">
        <f t="shared" si="18"/>
        <v>0</v>
      </c>
      <c r="K132" s="63"/>
      <c r="L132" s="63">
        <f t="shared" si="19"/>
        <v>0</v>
      </c>
      <c r="M132" s="102">
        <f t="shared" si="20"/>
        <v>1145300</v>
      </c>
      <c r="N132" s="104">
        <f t="shared" si="21"/>
        <v>2984285.304</v>
      </c>
      <c r="O132" s="108"/>
    </row>
    <row r="133" spans="1:15" ht="30" customHeight="1">
      <c r="A133" s="63"/>
      <c r="B133" s="63"/>
      <c r="C133" s="97" t="s">
        <v>191</v>
      </c>
      <c r="D133" s="97" t="s">
        <v>192</v>
      </c>
      <c r="E133" s="106" t="s">
        <v>141</v>
      </c>
      <c r="F133" s="107">
        <v>0.1435623</v>
      </c>
      <c r="G133" s="63">
        <v>1005400</v>
      </c>
      <c r="H133" s="63">
        <f t="shared" si="17"/>
        <v>144337.53642</v>
      </c>
      <c r="I133" s="63"/>
      <c r="J133" s="63">
        <f t="shared" si="18"/>
        <v>0</v>
      </c>
      <c r="K133" s="63"/>
      <c r="L133" s="63">
        <f t="shared" si="19"/>
        <v>0</v>
      </c>
      <c r="M133" s="102">
        <f t="shared" si="20"/>
        <v>1005400</v>
      </c>
      <c r="N133" s="104">
        <f t="shared" si="21"/>
        <v>144337.53642</v>
      </c>
      <c r="O133" s="108"/>
    </row>
    <row r="134" spans="1:15" ht="30" customHeight="1">
      <c r="A134" s="63"/>
      <c r="B134" s="63"/>
      <c r="C134" s="97" t="s">
        <v>193</v>
      </c>
      <c r="D134" s="97" t="s">
        <v>194</v>
      </c>
      <c r="E134" s="106" t="s">
        <v>141</v>
      </c>
      <c r="F134" s="107">
        <v>2.6666631432000001</v>
      </c>
      <c r="G134" s="63">
        <v>918000</v>
      </c>
      <c r="H134" s="63">
        <f t="shared" si="17"/>
        <v>2447996.7654576</v>
      </c>
      <c r="I134" s="63"/>
      <c r="J134" s="63">
        <f t="shared" si="18"/>
        <v>0</v>
      </c>
      <c r="K134" s="63"/>
      <c r="L134" s="63">
        <f t="shared" si="19"/>
        <v>0</v>
      </c>
      <c r="M134" s="102">
        <f t="shared" si="20"/>
        <v>918000</v>
      </c>
      <c r="N134" s="104">
        <f t="shared" si="21"/>
        <v>2447996.7654576</v>
      </c>
      <c r="O134" s="108"/>
    </row>
    <row r="135" spans="1:15" ht="30" customHeight="1">
      <c r="A135" s="63"/>
      <c r="B135" s="63"/>
      <c r="C135" s="97" t="s">
        <v>193</v>
      </c>
      <c r="D135" s="97" t="s">
        <v>195</v>
      </c>
      <c r="E135" s="106" t="s">
        <v>141</v>
      </c>
      <c r="F135" s="107">
        <v>1.4831631359999999</v>
      </c>
      <c r="G135" s="63">
        <v>918000</v>
      </c>
      <c r="H135" s="63">
        <f t="shared" si="17"/>
        <v>1361543.7588479999</v>
      </c>
      <c r="I135" s="63"/>
      <c r="J135" s="63">
        <f t="shared" si="18"/>
        <v>0</v>
      </c>
      <c r="K135" s="63"/>
      <c r="L135" s="63">
        <f t="shared" si="19"/>
        <v>0</v>
      </c>
      <c r="M135" s="102">
        <f t="shared" si="20"/>
        <v>918000</v>
      </c>
      <c r="N135" s="104">
        <f t="shared" si="21"/>
        <v>1361543.7588479999</v>
      </c>
      <c r="O135" s="108"/>
    </row>
    <row r="136" spans="1:15" ht="30" customHeight="1">
      <c r="A136" s="63"/>
      <c r="B136" s="63"/>
      <c r="C136" s="97" t="s">
        <v>193</v>
      </c>
      <c r="D136" s="97" t="s">
        <v>196</v>
      </c>
      <c r="E136" s="106" t="s">
        <v>141</v>
      </c>
      <c r="F136" s="107">
        <v>0.51993900000000004</v>
      </c>
      <c r="G136" s="63">
        <v>918000</v>
      </c>
      <c r="H136" s="63">
        <f t="shared" si="17"/>
        <v>477304.00200000004</v>
      </c>
      <c r="I136" s="63"/>
      <c r="J136" s="63">
        <f t="shared" si="18"/>
        <v>0</v>
      </c>
      <c r="K136" s="63"/>
      <c r="L136" s="63">
        <f t="shared" si="19"/>
        <v>0</v>
      </c>
      <c r="M136" s="102">
        <f t="shared" si="20"/>
        <v>918000</v>
      </c>
      <c r="N136" s="104">
        <f t="shared" si="21"/>
        <v>477304.00200000004</v>
      </c>
      <c r="O136" s="108"/>
    </row>
    <row r="137" spans="1:15" ht="30" customHeight="1">
      <c r="A137" s="63"/>
      <c r="B137" s="63"/>
      <c r="C137" s="97" t="s">
        <v>193</v>
      </c>
      <c r="D137" s="97" t="s">
        <v>197</v>
      </c>
      <c r="E137" s="106" t="s">
        <v>141</v>
      </c>
      <c r="F137" s="107">
        <v>0.1782648</v>
      </c>
      <c r="G137" s="63">
        <v>918000</v>
      </c>
      <c r="H137" s="63">
        <f t="shared" si="17"/>
        <v>163647.0864</v>
      </c>
      <c r="I137" s="63"/>
      <c r="J137" s="63">
        <f t="shared" si="18"/>
        <v>0</v>
      </c>
      <c r="K137" s="63"/>
      <c r="L137" s="63">
        <f t="shared" si="19"/>
        <v>0</v>
      </c>
      <c r="M137" s="102">
        <f t="shared" si="20"/>
        <v>918000</v>
      </c>
      <c r="N137" s="104">
        <f t="shared" si="21"/>
        <v>163647.0864</v>
      </c>
      <c r="O137" s="108"/>
    </row>
    <row r="138" spans="1:15" ht="30" customHeight="1">
      <c r="A138" s="63"/>
      <c r="B138" s="63"/>
      <c r="C138" s="97" t="s">
        <v>193</v>
      </c>
      <c r="D138" s="97" t="s">
        <v>198</v>
      </c>
      <c r="E138" s="106" t="s">
        <v>141</v>
      </c>
      <c r="F138" s="107">
        <v>1.1984148288000001</v>
      </c>
      <c r="G138" s="63">
        <v>918000</v>
      </c>
      <c r="H138" s="63">
        <f t="shared" si="17"/>
        <v>1100144.8128384</v>
      </c>
      <c r="I138" s="63"/>
      <c r="J138" s="63">
        <f t="shared" si="18"/>
        <v>0</v>
      </c>
      <c r="K138" s="63"/>
      <c r="L138" s="63">
        <f t="shared" si="19"/>
        <v>0</v>
      </c>
      <c r="M138" s="102">
        <f t="shared" si="20"/>
        <v>918000</v>
      </c>
      <c r="N138" s="104">
        <f t="shared" si="21"/>
        <v>1100144.8128384</v>
      </c>
      <c r="O138" s="108"/>
    </row>
    <row r="139" spans="1:15" ht="30" customHeight="1">
      <c r="A139" s="63"/>
      <c r="B139" s="63"/>
      <c r="C139" s="97" t="s">
        <v>193</v>
      </c>
      <c r="D139" s="97" t="s">
        <v>199</v>
      </c>
      <c r="E139" s="106" t="s">
        <v>141</v>
      </c>
      <c r="F139" s="107">
        <v>1.0621165338</v>
      </c>
      <c r="G139" s="63">
        <v>918000</v>
      </c>
      <c r="H139" s="63">
        <f t="shared" si="17"/>
        <v>975022.9780284</v>
      </c>
      <c r="I139" s="63"/>
      <c r="J139" s="63">
        <f t="shared" si="18"/>
        <v>0</v>
      </c>
      <c r="K139" s="63"/>
      <c r="L139" s="63">
        <f t="shared" si="19"/>
        <v>0</v>
      </c>
      <c r="M139" s="102">
        <f t="shared" si="20"/>
        <v>918000</v>
      </c>
      <c r="N139" s="104">
        <f t="shared" si="21"/>
        <v>975022.9780284</v>
      </c>
      <c r="O139" s="108"/>
    </row>
    <row r="140" spans="1:15" ht="30" customHeight="1">
      <c r="A140" s="63"/>
      <c r="B140" s="63"/>
      <c r="C140" s="97" t="s">
        <v>193</v>
      </c>
      <c r="D140" s="97" t="s">
        <v>200</v>
      </c>
      <c r="E140" s="106" t="s">
        <v>141</v>
      </c>
      <c r="F140" s="107">
        <v>0.5347944</v>
      </c>
      <c r="G140" s="63">
        <v>918000</v>
      </c>
      <c r="H140" s="63">
        <f t="shared" si="17"/>
        <v>490941.25920000003</v>
      </c>
      <c r="I140" s="63"/>
      <c r="J140" s="63">
        <f t="shared" si="18"/>
        <v>0</v>
      </c>
      <c r="K140" s="63"/>
      <c r="L140" s="63">
        <f t="shared" si="19"/>
        <v>0</v>
      </c>
      <c r="M140" s="102">
        <f t="shared" si="20"/>
        <v>918000</v>
      </c>
      <c r="N140" s="104">
        <f t="shared" si="21"/>
        <v>490941.25920000003</v>
      </c>
      <c r="O140" s="108"/>
    </row>
    <row r="141" spans="1:15" ht="30" customHeight="1">
      <c r="A141" s="63"/>
      <c r="B141" s="63"/>
      <c r="C141" s="97" t="s">
        <v>193</v>
      </c>
      <c r="D141" s="97" t="s">
        <v>201</v>
      </c>
      <c r="E141" s="106" t="s">
        <v>141</v>
      </c>
      <c r="F141" s="107">
        <v>0.19411055999999999</v>
      </c>
      <c r="G141" s="63">
        <v>918000</v>
      </c>
      <c r="H141" s="63">
        <f t="shared" si="17"/>
        <v>178193.49407999997</v>
      </c>
      <c r="I141" s="63"/>
      <c r="J141" s="63">
        <f t="shared" si="18"/>
        <v>0</v>
      </c>
      <c r="K141" s="63"/>
      <c r="L141" s="63">
        <f t="shared" si="19"/>
        <v>0</v>
      </c>
      <c r="M141" s="102">
        <f t="shared" si="20"/>
        <v>918000</v>
      </c>
      <c r="N141" s="104">
        <f t="shared" si="21"/>
        <v>178193.49407999997</v>
      </c>
      <c r="O141" s="108"/>
    </row>
    <row r="142" spans="1:15" ht="30" customHeight="1">
      <c r="A142" s="63"/>
      <c r="B142" s="63"/>
      <c r="C142" s="97" t="s">
        <v>193</v>
      </c>
      <c r="D142" s="97" t="s">
        <v>202</v>
      </c>
      <c r="E142" s="106" t="s">
        <v>141</v>
      </c>
      <c r="F142" s="107">
        <v>1.39535634</v>
      </c>
      <c r="G142" s="63">
        <v>918000</v>
      </c>
      <c r="H142" s="63">
        <f t="shared" si="17"/>
        <v>1280937.1201199999</v>
      </c>
      <c r="I142" s="63"/>
      <c r="J142" s="63">
        <f t="shared" si="18"/>
        <v>0</v>
      </c>
      <c r="K142" s="63"/>
      <c r="L142" s="63">
        <f t="shared" si="19"/>
        <v>0</v>
      </c>
      <c r="M142" s="102">
        <f t="shared" si="20"/>
        <v>918000</v>
      </c>
      <c r="N142" s="104">
        <f t="shared" si="21"/>
        <v>1280937.1201199999</v>
      </c>
      <c r="O142" s="108"/>
    </row>
    <row r="143" spans="1:15" ht="30" customHeight="1">
      <c r="A143" s="63"/>
      <c r="B143" s="63"/>
      <c r="C143" s="97" t="s">
        <v>203</v>
      </c>
      <c r="D143" s="97" t="s">
        <v>204</v>
      </c>
      <c r="E143" s="106" t="s">
        <v>77</v>
      </c>
      <c r="F143" s="107">
        <v>4480</v>
      </c>
      <c r="G143" s="63">
        <v>700</v>
      </c>
      <c r="H143" s="63">
        <f t="shared" si="17"/>
        <v>3136000</v>
      </c>
      <c r="I143" s="63"/>
      <c r="J143" s="63">
        <f t="shared" si="18"/>
        <v>0</v>
      </c>
      <c r="K143" s="63"/>
      <c r="L143" s="63">
        <f t="shared" si="19"/>
        <v>0</v>
      </c>
      <c r="M143" s="102">
        <f t="shared" si="20"/>
        <v>700</v>
      </c>
      <c r="N143" s="104">
        <f t="shared" si="21"/>
        <v>3136000</v>
      </c>
      <c r="O143" s="108"/>
    </row>
    <row r="144" spans="1:15" ht="30" customHeight="1">
      <c r="A144" s="63"/>
      <c r="B144" s="63"/>
      <c r="C144" s="97" t="s">
        <v>205</v>
      </c>
      <c r="D144" s="97" t="s">
        <v>206</v>
      </c>
      <c r="E144" s="106" t="s">
        <v>77</v>
      </c>
      <c r="F144" s="107">
        <v>196</v>
      </c>
      <c r="G144" s="63">
        <v>12200</v>
      </c>
      <c r="H144" s="63">
        <f t="shared" si="17"/>
        <v>2391200</v>
      </c>
      <c r="I144" s="63">
        <v>16700</v>
      </c>
      <c r="J144" s="63">
        <f t="shared" si="18"/>
        <v>3273200</v>
      </c>
      <c r="K144" s="63"/>
      <c r="L144" s="63">
        <f t="shared" si="19"/>
        <v>0</v>
      </c>
      <c r="M144" s="102">
        <f t="shared" si="20"/>
        <v>28900</v>
      </c>
      <c r="N144" s="104">
        <f t="shared" si="21"/>
        <v>5664400</v>
      </c>
      <c r="O144" s="108"/>
    </row>
    <row r="145" spans="1:15" ht="30" customHeight="1">
      <c r="A145" s="63"/>
      <c r="B145" s="63"/>
      <c r="C145" s="97" t="s">
        <v>207</v>
      </c>
      <c r="D145" s="97" t="s">
        <v>208</v>
      </c>
      <c r="E145" s="106" t="s">
        <v>77</v>
      </c>
      <c r="F145" s="107">
        <v>69</v>
      </c>
      <c r="G145" s="63">
        <v>500</v>
      </c>
      <c r="H145" s="63">
        <f t="shared" si="17"/>
        <v>34500</v>
      </c>
      <c r="I145" s="63">
        <v>1200</v>
      </c>
      <c r="J145" s="63">
        <f t="shared" si="18"/>
        <v>82800</v>
      </c>
      <c r="K145" s="63"/>
      <c r="L145" s="63">
        <f t="shared" si="19"/>
        <v>0</v>
      </c>
      <c r="M145" s="102">
        <f t="shared" si="20"/>
        <v>1700</v>
      </c>
      <c r="N145" s="104">
        <f t="shared" si="21"/>
        <v>117300</v>
      </c>
      <c r="O145" s="108"/>
    </row>
    <row r="146" spans="1:15" ht="30" customHeight="1">
      <c r="A146" s="63"/>
      <c r="B146" s="63"/>
      <c r="C146" s="97" t="s">
        <v>209</v>
      </c>
      <c r="D146" s="97" t="s">
        <v>210</v>
      </c>
      <c r="E146" s="106" t="s">
        <v>82</v>
      </c>
      <c r="F146" s="107">
        <v>283.29000000000002</v>
      </c>
      <c r="G146" s="63">
        <v>22700</v>
      </c>
      <c r="H146" s="63">
        <f t="shared" si="17"/>
        <v>6430683</v>
      </c>
      <c r="I146" s="63">
        <v>6700</v>
      </c>
      <c r="J146" s="63">
        <f t="shared" si="18"/>
        <v>1898043</v>
      </c>
      <c r="K146" s="63">
        <v>1300</v>
      </c>
      <c r="L146" s="63">
        <f t="shared" si="19"/>
        <v>368277</v>
      </c>
      <c r="M146" s="102">
        <f t="shared" si="20"/>
        <v>30700</v>
      </c>
      <c r="N146" s="104">
        <f t="shared" si="21"/>
        <v>8697003</v>
      </c>
      <c r="O146" s="108"/>
    </row>
    <row r="147" spans="1:15" ht="30" customHeight="1">
      <c r="A147" s="63"/>
      <c r="B147" s="63"/>
      <c r="C147" s="97" t="s">
        <v>211</v>
      </c>
      <c r="D147" s="97" t="s">
        <v>212</v>
      </c>
      <c r="E147" s="106" t="s">
        <v>77</v>
      </c>
      <c r="F147" s="107">
        <v>1125</v>
      </c>
      <c r="G147" s="63">
        <v>500</v>
      </c>
      <c r="H147" s="63">
        <f t="shared" si="17"/>
        <v>562500</v>
      </c>
      <c r="I147" s="63">
        <v>700</v>
      </c>
      <c r="J147" s="63">
        <f t="shared" si="18"/>
        <v>787500</v>
      </c>
      <c r="K147" s="63"/>
      <c r="L147" s="63">
        <f t="shared" si="19"/>
        <v>0</v>
      </c>
      <c r="M147" s="102">
        <f t="shared" si="20"/>
        <v>1200</v>
      </c>
      <c r="N147" s="104">
        <f t="shared" si="21"/>
        <v>1350000</v>
      </c>
      <c r="O147" s="108"/>
    </row>
    <row r="148" spans="1:15" ht="30" customHeight="1">
      <c r="A148" s="63"/>
      <c r="B148" s="63"/>
      <c r="C148" s="107" t="s">
        <v>154</v>
      </c>
      <c r="D148" s="107" t="s">
        <v>213</v>
      </c>
      <c r="E148" s="106" t="s">
        <v>82</v>
      </c>
      <c r="F148" s="107">
        <v>8.1348749999999992</v>
      </c>
      <c r="G148" s="63"/>
      <c r="H148" s="63">
        <f t="shared" si="17"/>
        <v>0</v>
      </c>
      <c r="I148" s="63">
        <v>12500</v>
      </c>
      <c r="J148" s="63">
        <f t="shared" si="18"/>
        <v>101685</v>
      </c>
      <c r="K148" s="63"/>
      <c r="L148" s="63">
        <f t="shared" si="19"/>
        <v>0</v>
      </c>
      <c r="M148" s="102">
        <f t="shared" si="20"/>
        <v>12500</v>
      </c>
      <c r="N148" s="104">
        <f t="shared" si="21"/>
        <v>101685</v>
      </c>
      <c r="O148" s="108"/>
    </row>
    <row r="149" spans="1:15" ht="30" customHeight="1">
      <c r="A149" s="63"/>
      <c r="B149" s="63"/>
      <c r="C149" s="97" t="s">
        <v>214</v>
      </c>
      <c r="D149" s="97" t="s">
        <v>215</v>
      </c>
      <c r="E149" s="106" t="s">
        <v>216</v>
      </c>
      <c r="F149" s="107">
        <v>55.534500000000001</v>
      </c>
      <c r="G149" s="63">
        <v>7100</v>
      </c>
      <c r="H149" s="63">
        <f t="shared" si="17"/>
        <v>394294.95</v>
      </c>
      <c r="I149" s="63">
        <v>2100</v>
      </c>
      <c r="J149" s="63">
        <f t="shared" si="18"/>
        <v>116622</v>
      </c>
      <c r="K149" s="63"/>
      <c r="L149" s="63">
        <f t="shared" si="19"/>
        <v>0</v>
      </c>
      <c r="M149" s="102">
        <f t="shared" si="20"/>
        <v>9200</v>
      </c>
      <c r="N149" s="104">
        <f t="shared" si="21"/>
        <v>510916.95</v>
      </c>
      <c r="O149" s="108"/>
    </row>
    <row r="150" spans="1:15" ht="30" customHeight="1">
      <c r="A150" s="63"/>
      <c r="B150" s="63"/>
      <c r="C150" s="107" t="s">
        <v>217</v>
      </c>
      <c r="D150" s="107" t="s">
        <v>218</v>
      </c>
      <c r="E150" s="106" t="s">
        <v>82</v>
      </c>
      <c r="F150" s="107">
        <v>769.81436175000101</v>
      </c>
      <c r="G150" s="63">
        <v>2200</v>
      </c>
      <c r="H150" s="63">
        <f t="shared" si="17"/>
        <v>1693591.5958500023</v>
      </c>
      <c r="I150" s="63">
        <v>1700</v>
      </c>
      <c r="J150" s="63">
        <f t="shared" si="18"/>
        <v>1308684</v>
      </c>
      <c r="K150" s="63">
        <v>400</v>
      </c>
      <c r="L150" s="63">
        <f t="shared" si="19"/>
        <v>307925.7447000004</v>
      </c>
      <c r="M150" s="102">
        <f t="shared" si="20"/>
        <v>4300</v>
      </c>
      <c r="N150" s="104">
        <f t="shared" si="21"/>
        <v>3310201.3405500026</v>
      </c>
      <c r="O150" s="108"/>
    </row>
    <row r="151" spans="1:15" ht="30" customHeight="1">
      <c r="A151" s="63"/>
      <c r="B151" s="63"/>
      <c r="C151" s="107" t="s">
        <v>219</v>
      </c>
      <c r="D151" s="97" t="s">
        <v>220</v>
      </c>
      <c r="E151" s="106" t="s">
        <v>82</v>
      </c>
      <c r="F151" s="107">
        <v>769.81436175000101</v>
      </c>
      <c r="G151" s="63">
        <v>13100</v>
      </c>
      <c r="H151" s="63">
        <f t="shared" si="17"/>
        <v>10084568.138925014</v>
      </c>
      <c r="I151" s="63">
        <v>5000</v>
      </c>
      <c r="J151" s="63">
        <f t="shared" si="18"/>
        <v>3849071</v>
      </c>
      <c r="K151" s="63">
        <v>1700</v>
      </c>
      <c r="L151" s="63">
        <f t="shared" si="19"/>
        <v>1308684.4149750017</v>
      </c>
      <c r="M151" s="102">
        <f t="shared" si="20"/>
        <v>19800</v>
      </c>
      <c r="N151" s="104">
        <f t="shared" si="21"/>
        <v>15242323.553900016</v>
      </c>
      <c r="O151" s="108"/>
    </row>
    <row r="152" spans="1:15" ht="30" customHeight="1">
      <c r="A152" s="63"/>
      <c r="B152" s="63"/>
      <c r="C152" s="107" t="s">
        <v>221</v>
      </c>
      <c r="D152" s="107" t="s">
        <v>222</v>
      </c>
      <c r="E152" s="106" t="s">
        <v>141</v>
      </c>
      <c r="F152" s="107">
        <v>36.8129559168</v>
      </c>
      <c r="G152" s="63"/>
      <c r="H152" s="63">
        <f t="shared" si="17"/>
        <v>0</v>
      </c>
      <c r="I152" s="63">
        <v>287300</v>
      </c>
      <c r="J152" s="63">
        <f t="shared" si="18"/>
        <v>10576362</v>
      </c>
      <c r="K152" s="63"/>
      <c r="L152" s="63">
        <f t="shared" si="19"/>
        <v>0</v>
      </c>
      <c r="M152" s="102">
        <f t="shared" si="20"/>
        <v>287300</v>
      </c>
      <c r="N152" s="104">
        <f t="shared" si="21"/>
        <v>10576362</v>
      </c>
      <c r="O152" s="108"/>
    </row>
    <row r="153" spans="1:15" ht="30" customHeight="1">
      <c r="A153" s="63"/>
      <c r="B153" s="63"/>
      <c r="C153" s="107" t="s">
        <v>223</v>
      </c>
      <c r="D153" s="107" t="s">
        <v>224</v>
      </c>
      <c r="E153" s="106" t="s">
        <v>141</v>
      </c>
      <c r="F153" s="107">
        <v>36.8129559168</v>
      </c>
      <c r="G153" s="63"/>
      <c r="H153" s="63">
        <f t="shared" si="17"/>
        <v>0</v>
      </c>
      <c r="I153" s="63">
        <v>249800</v>
      </c>
      <c r="J153" s="63">
        <f t="shared" si="18"/>
        <v>9195876</v>
      </c>
      <c r="K153" s="63"/>
      <c r="L153" s="63">
        <f t="shared" si="19"/>
        <v>0</v>
      </c>
      <c r="M153" s="102">
        <f t="shared" si="20"/>
        <v>249800</v>
      </c>
      <c r="N153" s="104">
        <f t="shared" si="21"/>
        <v>9195876</v>
      </c>
      <c r="O153" s="108"/>
    </row>
    <row r="154" spans="1:15" ht="30" customHeight="1">
      <c r="A154" s="63"/>
      <c r="B154" s="63"/>
      <c r="C154" s="107" t="s">
        <v>163</v>
      </c>
      <c r="D154" s="107" t="s">
        <v>164</v>
      </c>
      <c r="E154" s="106" t="s">
        <v>141</v>
      </c>
      <c r="F154" s="107">
        <v>36.8129559168</v>
      </c>
      <c r="G154" s="63"/>
      <c r="H154" s="63">
        <f t="shared" si="17"/>
        <v>0</v>
      </c>
      <c r="I154" s="63">
        <v>18300</v>
      </c>
      <c r="J154" s="63">
        <f t="shared" si="18"/>
        <v>673677</v>
      </c>
      <c r="K154" s="63"/>
      <c r="L154" s="63">
        <f t="shared" si="19"/>
        <v>0</v>
      </c>
      <c r="M154" s="102">
        <f t="shared" si="20"/>
        <v>18300</v>
      </c>
      <c r="N154" s="104">
        <f t="shared" si="21"/>
        <v>673677</v>
      </c>
      <c r="O154" s="108"/>
    </row>
    <row r="155" spans="1:15" ht="30" customHeight="1">
      <c r="A155" s="63"/>
      <c r="B155" s="63"/>
      <c r="C155" s="107" t="s">
        <v>166</v>
      </c>
      <c r="D155" s="107" t="s">
        <v>225</v>
      </c>
      <c r="E155" s="108" t="s">
        <v>168</v>
      </c>
      <c r="F155" s="107">
        <v>2</v>
      </c>
      <c r="G155" s="63"/>
      <c r="H155" s="63">
        <f t="shared" si="17"/>
        <v>0</v>
      </c>
      <c r="I155" s="63"/>
      <c r="J155" s="63">
        <f t="shared" si="18"/>
        <v>0</v>
      </c>
      <c r="K155" s="63">
        <v>666100</v>
      </c>
      <c r="L155" s="63">
        <f t="shared" si="19"/>
        <v>1332200</v>
      </c>
      <c r="M155" s="102">
        <f t="shared" si="20"/>
        <v>666100</v>
      </c>
      <c r="N155" s="104">
        <f t="shared" si="21"/>
        <v>1332200</v>
      </c>
      <c r="O155" s="108"/>
    </row>
    <row r="156" spans="1:15" ht="30" customHeight="1">
      <c r="A156" s="63"/>
      <c r="B156" s="63"/>
      <c r="C156" s="107" t="s">
        <v>166</v>
      </c>
      <c r="D156" s="107" t="s">
        <v>226</v>
      </c>
      <c r="E156" s="108" t="s">
        <v>168</v>
      </c>
      <c r="F156" s="107">
        <v>2</v>
      </c>
      <c r="G156" s="63"/>
      <c r="H156" s="63">
        <f t="shared" si="17"/>
        <v>0</v>
      </c>
      <c r="I156" s="63"/>
      <c r="J156" s="63">
        <f t="shared" si="18"/>
        <v>0</v>
      </c>
      <c r="K156" s="63">
        <v>666100</v>
      </c>
      <c r="L156" s="63">
        <f t="shared" si="19"/>
        <v>1332200</v>
      </c>
      <c r="M156" s="102">
        <f t="shared" si="20"/>
        <v>666100</v>
      </c>
      <c r="N156" s="104">
        <f t="shared" si="21"/>
        <v>1332200</v>
      </c>
      <c r="O156" s="108"/>
    </row>
    <row r="157" spans="1:15" ht="30" customHeight="1">
      <c r="A157" s="63"/>
      <c r="B157" s="63"/>
      <c r="C157" s="107" t="s">
        <v>166</v>
      </c>
      <c r="D157" s="107" t="s">
        <v>227</v>
      </c>
      <c r="E157" s="108" t="s">
        <v>168</v>
      </c>
      <c r="F157" s="107">
        <v>3</v>
      </c>
      <c r="G157" s="63"/>
      <c r="H157" s="63">
        <f t="shared" ref="H157:H188" si="22">F157*G157</f>
        <v>0</v>
      </c>
      <c r="I157" s="63"/>
      <c r="J157" s="63">
        <f t="shared" si="18"/>
        <v>0</v>
      </c>
      <c r="K157" s="63">
        <v>291400</v>
      </c>
      <c r="L157" s="63">
        <f t="shared" ref="L157:L188" si="23">F157*K157</f>
        <v>874200</v>
      </c>
      <c r="M157" s="102">
        <f t="shared" si="20"/>
        <v>291400</v>
      </c>
      <c r="N157" s="104">
        <f t="shared" si="21"/>
        <v>874200</v>
      </c>
      <c r="O157" s="108"/>
    </row>
    <row r="158" spans="1:15" ht="30" customHeight="1">
      <c r="A158" s="63"/>
      <c r="B158" s="63"/>
      <c r="C158" s="107" t="s">
        <v>21</v>
      </c>
      <c r="D158" s="107"/>
      <c r="E158" s="108" t="s">
        <v>168</v>
      </c>
      <c r="F158" s="107">
        <v>3</v>
      </c>
      <c r="G158" s="63"/>
      <c r="H158" s="63">
        <f t="shared" si="22"/>
        <v>0</v>
      </c>
      <c r="I158" s="63"/>
      <c r="J158" s="63">
        <f t="shared" si="18"/>
        <v>0</v>
      </c>
      <c r="K158" s="63">
        <v>374700</v>
      </c>
      <c r="L158" s="63">
        <f t="shared" si="23"/>
        <v>1124100</v>
      </c>
      <c r="M158" s="102">
        <f t="shared" si="20"/>
        <v>374700</v>
      </c>
      <c r="N158" s="104">
        <f t="shared" si="21"/>
        <v>1124100</v>
      </c>
      <c r="O158" s="108"/>
    </row>
    <row r="159" spans="1:15" ht="30" customHeight="1">
      <c r="A159" s="63"/>
      <c r="B159" s="63"/>
      <c r="C159" s="111" t="s">
        <v>228</v>
      </c>
      <c r="D159" s="107"/>
      <c r="E159" s="108"/>
      <c r="F159" s="107"/>
      <c r="G159" s="63"/>
      <c r="H159" s="63">
        <f t="shared" si="22"/>
        <v>0</v>
      </c>
      <c r="I159" s="63"/>
      <c r="J159" s="63"/>
      <c r="K159" s="63"/>
      <c r="L159" s="63">
        <f t="shared" si="23"/>
        <v>0</v>
      </c>
      <c r="M159" s="102"/>
      <c r="N159" s="104"/>
      <c r="O159" s="108"/>
    </row>
    <row r="160" spans="1:15" ht="30" customHeight="1">
      <c r="A160" s="63"/>
      <c r="B160" s="63"/>
      <c r="C160" s="97" t="s">
        <v>229</v>
      </c>
      <c r="D160" s="107" t="s">
        <v>230</v>
      </c>
      <c r="E160" s="106" t="s">
        <v>141</v>
      </c>
      <c r="F160" s="107">
        <v>0.28248000000000001</v>
      </c>
      <c r="G160" s="63">
        <v>1005400</v>
      </c>
      <c r="H160" s="63">
        <f t="shared" si="22"/>
        <v>284005.392</v>
      </c>
      <c r="I160" s="63"/>
      <c r="J160" s="63">
        <f t="shared" ref="J160:J172" si="24">I160*F160</f>
        <v>0</v>
      </c>
      <c r="K160" s="63"/>
      <c r="L160" s="63">
        <f t="shared" si="23"/>
        <v>0</v>
      </c>
      <c r="M160" s="102">
        <f t="shared" ref="M160:M172" si="25">G160+I160+K160</f>
        <v>1005400</v>
      </c>
      <c r="N160" s="104">
        <f t="shared" ref="N160:N172" si="26">M160*F160</f>
        <v>284005.392</v>
      </c>
      <c r="O160" s="108"/>
    </row>
    <row r="161" spans="1:15" ht="30" customHeight="1">
      <c r="A161" s="63"/>
      <c r="B161" s="63"/>
      <c r="C161" s="97" t="s">
        <v>229</v>
      </c>
      <c r="D161" s="107" t="s">
        <v>231</v>
      </c>
      <c r="E161" s="106" t="s">
        <v>141</v>
      </c>
      <c r="F161" s="107">
        <v>0.28697400000000001</v>
      </c>
      <c r="G161" s="63">
        <v>1005400</v>
      </c>
      <c r="H161" s="63">
        <f t="shared" si="22"/>
        <v>288523.6596</v>
      </c>
      <c r="I161" s="63"/>
      <c r="J161" s="63">
        <f t="shared" si="24"/>
        <v>0</v>
      </c>
      <c r="K161" s="63"/>
      <c r="L161" s="63">
        <f t="shared" si="23"/>
        <v>0</v>
      </c>
      <c r="M161" s="102">
        <f t="shared" si="25"/>
        <v>1005400</v>
      </c>
      <c r="N161" s="104">
        <f t="shared" si="26"/>
        <v>288523.6596</v>
      </c>
      <c r="O161" s="108"/>
    </row>
    <row r="162" spans="1:15" ht="30" customHeight="1">
      <c r="A162" s="63"/>
      <c r="B162" s="63"/>
      <c r="C162" s="97" t="s">
        <v>229</v>
      </c>
      <c r="D162" s="97" t="s">
        <v>232</v>
      </c>
      <c r="E162" s="106" t="s">
        <v>141</v>
      </c>
      <c r="F162" s="107">
        <v>3.0712818305699998</v>
      </c>
      <c r="G162" s="63">
        <v>918000</v>
      </c>
      <c r="H162" s="63">
        <f t="shared" si="22"/>
        <v>2819436.7204632596</v>
      </c>
      <c r="I162" s="63"/>
      <c r="J162" s="63">
        <f t="shared" si="24"/>
        <v>0</v>
      </c>
      <c r="K162" s="63"/>
      <c r="L162" s="63">
        <f t="shared" si="23"/>
        <v>0</v>
      </c>
      <c r="M162" s="102">
        <f t="shared" si="25"/>
        <v>918000</v>
      </c>
      <c r="N162" s="104">
        <f t="shared" si="26"/>
        <v>2819436.7204632596</v>
      </c>
      <c r="O162" s="108"/>
    </row>
    <row r="163" spans="1:15" ht="30" customHeight="1">
      <c r="A163" s="63"/>
      <c r="B163" s="63"/>
      <c r="C163" s="97" t="s">
        <v>193</v>
      </c>
      <c r="D163" s="97" t="s">
        <v>233</v>
      </c>
      <c r="E163" s="106" t="s">
        <v>141</v>
      </c>
      <c r="F163" s="107">
        <v>0.55936240199999998</v>
      </c>
      <c r="G163" s="63">
        <v>918000</v>
      </c>
      <c r="H163" s="63">
        <f t="shared" si="22"/>
        <v>513494.685036</v>
      </c>
      <c r="I163" s="63"/>
      <c r="J163" s="63">
        <f t="shared" si="24"/>
        <v>0</v>
      </c>
      <c r="K163" s="63"/>
      <c r="L163" s="63">
        <f t="shared" si="23"/>
        <v>0</v>
      </c>
      <c r="M163" s="102">
        <f t="shared" si="25"/>
        <v>918000</v>
      </c>
      <c r="N163" s="104">
        <f t="shared" si="26"/>
        <v>513494.685036</v>
      </c>
      <c r="O163" s="108"/>
    </row>
    <row r="164" spans="1:15" ht="30" customHeight="1">
      <c r="A164" s="63"/>
      <c r="B164" s="63"/>
      <c r="C164" s="97" t="s">
        <v>193</v>
      </c>
      <c r="D164" s="97" t="s">
        <v>195</v>
      </c>
      <c r="E164" s="106" t="s">
        <v>141</v>
      </c>
      <c r="F164" s="107">
        <v>3.8560430592000001</v>
      </c>
      <c r="G164" s="63">
        <v>918000</v>
      </c>
      <c r="H164" s="63">
        <f t="shared" si="22"/>
        <v>3539847.5283456002</v>
      </c>
      <c r="I164" s="63"/>
      <c r="J164" s="63">
        <f t="shared" si="24"/>
        <v>0</v>
      </c>
      <c r="K164" s="63"/>
      <c r="L164" s="63">
        <f t="shared" si="23"/>
        <v>0</v>
      </c>
      <c r="M164" s="102">
        <f t="shared" si="25"/>
        <v>918000</v>
      </c>
      <c r="N164" s="104">
        <f t="shared" si="26"/>
        <v>3539847.5283456002</v>
      </c>
      <c r="O164" s="108"/>
    </row>
    <row r="165" spans="1:15" ht="30" customHeight="1">
      <c r="A165" s="63"/>
      <c r="B165" s="63"/>
      <c r="C165" s="97" t="s">
        <v>203</v>
      </c>
      <c r="D165" s="97" t="s">
        <v>204</v>
      </c>
      <c r="E165" s="106" t="s">
        <v>77</v>
      </c>
      <c r="F165" s="107">
        <v>156</v>
      </c>
      <c r="G165" s="63">
        <v>700</v>
      </c>
      <c r="H165" s="63">
        <f t="shared" si="22"/>
        <v>109200</v>
      </c>
      <c r="I165" s="63"/>
      <c r="J165" s="63">
        <f t="shared" si="24"/>
        <v>0</v>
      </c>
      <c r="K165" s="63"/>
      <c r="L165" s="63">
        <f t="shared" si="23"/>
        <v>0</v>
      </c>
      <c r="M165" s="102">
        <f t="shared" si="25"/>
        <v>700</v>
      </c>
      <c r="N165" s="104">
        <f t="shared" si="26"/>
        <v>109200</v>
      </c>
      <c r="O165" s="108"/>
    </row>
    <row r="166" spans="1:15" ht="30" customHeight="1">
      <c r="A166" s="63"/>
      <c r="B166" s="63"/>
      <c r="C166" s="107" t="s">
        <v>217</v>
      </c>
      <c r="D166" s="107" t="s">
        <v>218</v>
      </c>
      <c r="E166" s="106" t="s">
        <v>82</v>
      </c>
      <c r="F166" s="107">
        <v>279.152942</v>
      </c>
      <c r="G166" s="63">
        <v>2200</v>
      </c>
      <c r="H166" s="63">
        <f t="shared" si="22"/>
        <v>614136.4724</v>
      </c>
      <c r="I166" s="63">
        <v>1700</v>
      </c>
      <c r="J166" s="63">
        <f t="shared" si="24"/>
        <v>474560.0014</v>
      </c>
      <c r="K166" s="63">
        <v>400</v>
      </c>
      <c r="L166" s="63">
        <f t="shared" si="23"/>
        <v>111661.1768</v>
      </c>
      <c r="M166" s="102">
        <f t="shared" si="25"/>
        <v>4300</v>
      </c>
      <c r="N166" s="104">
        <f t="shared" si="26"/>
        <v>1200357.6506</v>
      </c>
      <c r="O166" s="108"/>
    </row>
    <row r="167" spans="1:15" ht="30" customHeight="1">
      <c r="A167" s="63"/>
      <c r="B167" s="63"/>
      <c r="C167" s="107" t="s">
        <v>221</v>
      </c>
      <c r="D167" s="107" t="s">
        <v>222</v>
      </c>
      <c r="E167" s="106" t="s">
        <v>141</v>
      </c>
      <c r="F167" s="107">
        <v>8.0561412917700004</v>
      </c>
      <c r="G167" s="63"/>
      <c r="H167" s="63">
        <f t="shared" si="22"/>
        <v>0</v>
      </c>
      <c r="I167" s="63">
        <v>749300</v>
      </c>
      <c r="J167" s="63">
        <f t="shared" si="24"/>
        <v>6036466.669923262</v>
      </c>
      <c r="K167" s="63"/>
      <c r="L167" s="63">
        <f t="shared" si="23"/>
        <v>0</v>
      </c>
      <c r="M167" s="102">
        <f t="shared" si="25"/>
        <v>749300</v>
      </c>
      <c r="N167" s="104">
        <f t="shared" si="26"/>
        <v>6036466.669923262</v>
      </c>
      <c r="O167" s="108"/>
    </row>
    <row r="168" spans="1:15" ht="30" customHeight="1">
      <c r="A168" s="63"/>
      <c r="B168" s="63"/>
      <c r="C168" s="107" t="s">
        <v>223</v>
      </c>
      <c r="D168" s="107" t="s">
        <v>222</v>
      </c>
      <c r="E168" s="106" t="s">
        <v>141</v>
      </c>
      <c r="F168" s="107">
        <v>8.0561412917700004</v>
      </c>
      <c r="G168" s="63"/>
      <c r="H168" s="63">
        <f t="shared" si="22"/>
        <v>0</v>
      </c>
      <c r="I168" s="63">
        <v>541200</v>
      </c>
      <c r="J168" s="63">
        <f t="shared" si="24"/>
        <v>4359983.667105924</v>
      </c>
      <c r="K168" s="63"/>
      <c r="L168" s="63">
        <f t="shared" si="23"/>
        <v>0</v>
      </c>
      <c r="M168" s="102">
        <f t="shared" si="25"/>
        <v>541200</v>
      </c>
      <c r="N168" s="104">
        <f t="shared" si="26"/>
        <v>4359983.667105924</v>
      </c>
      <c r="O168" s="108"/>
    </row>
    <row r="169" spans="1:15" ht="30" customHeight="1">
      <c r="A169" s="63"/>
      <c r="B169" s="63"/>
      <c r="C169" s="107" t="s">
        <v>163</v>
      </c>
      <c r="D169" s="107" t="s">
        <v>164</v>
      </c>
      <c r="E169" s="106" t="s">
        <v>141</v>
      </c>
      <c r="F169" s="107">
        <v>8.0561412917700004</v>
      </c>
      <c r="G169" s="63"/>
      <c r="H169" s="63">
        <f t="shared" si="22"/>
        <v>0</v>
      </c>
      <c r="I169" s="63">
        <v>18300</v>
      </c>
      <c r="J169" s="63">
        <f t="shared" si="24"/>
        <v>147427.385639391</v>
      </c>
      <c r="K169" s="63"/>
      <c r="L169" s="63">
        <f t="shared" si="23"/>
        <v>0</v>
      </c>
      <c r="M169" s="102">
        <f t="shared" si="25"/>
        <v>18300</v>
      </c>
      <c r="N169" s="104">
        <f t="shared" si="26"/>
        <v>147427.385639391</v>
      </c>
      <c r="O169" s="108"/>
    </row>
    <row r="170" spans="1:15" ht="30" customHeight="1">
      <c r="A170" s="63"/>
      <c r="B170" s="63"/>
      <c r="C170" s="107" t="s">
        <v>166</v>
      </c>
      <c r="D170" s="107" t="s">
        <v>234</v>
      </c>
      <c r="E170" s="108" t="s">
        <v>168</v>
      </c>
      <c r="F170" s="107">
        <v>2</v>
      </c>
      <c r="G170" s="63"/>
      <c r="H170" s="63">
        <f t="shared" si="22"/>
        <v>0</v>
      </c>
      <c r="I170" s="63"/>
      <c r="J170" s="63">
        <f t="shared" si="24"/>
        <v>0</v>
      </c>
      <c r="K170" s="63">
        <v>666100</v>
      </c>
      <c r="L170" s="63">
        <f t="shared" si="23"/>
        <v>1332200</v>
      </c>
      <c r="M170" s="102">
        <f t="shared" si="25"/>
        <v>666100</v>
      </c>
      <c r="N170" s="104">
        <f t="shared" si="26"/>
        <v>1332200</v>
      </c>
      <c r="O170" s="108"/>
    </row>
    <row r="171" spans="1:15" ht="30" customHeight="1">
      <c r="A171" s="63"/>
      <c r="B171" s="63"/>
      <c r="C171" s="107" t="s">
        <v>166</v>
      </c>
      <c r="D171" s="107" t="s">
        <v>227</v>
      </c>
      <c r="E171" s="108" t="s">
        <v>168</v>
      </c>
      <c r="F171" s="107">
        <v>2</v>
      </c>
      <c r="G171" s="63"/>
      <c r="H171" s="63">
        <f t="shared" si="22"/>
        <v>0</v>
      </c>
      <c r="I171" s="63"/>
      <c r="J171" s="63">
        <f t="shared" si="24"/>
        <v>0</v>
      </c>
      <c r="K171" s="63">
        <v>291400</v>
      </c>
      <c r="L171" s="63">
        <f t="shared" si="23"/>
        <v>582800</v>
      </c>
      <c r="M171" s="102">
        <f t="shared" si="25"/>
        <v>291400</v>
      </c>
      <c r="N171" s="104">
        <f t="shared" si="26"/>
        <v>582800</v>
      </c>
      <c r="O171" s="108"/>
    </row>
    <row r="172" spans="1:15" ht="30" customHeight="1">
      <c r="A172" s="63"/>
      <c r="B172" s="63"/>
      <c r="C172" s="107" t="s">
        <v>21</v>
      </c>
      <c r="D172" s="107"/>
      <c r="E172" s="108" t="s">
        <v>168</v>
      </c>
      <c r="F172" s="107">
        <v>2</v>
      </c>
      <c r="G172" s="63"/>
      <c r="H172" s="63">
        <f t="shared" si="22"/>
        <v>0</v>
      </c>
      <c r="I172" s="63"/>
      <c r="J172" s="63">
        <f t="shared" si="24"/>
        <v>0</v>
      </c>
      <c r="K172" s="63">
        <v>374700</v>
      </c>
      <c r="L172" s="63">
        <f t="shared" si="23"/>
        <v>749400</v>
      </c>
      <c r="M172" s="102">
        <f t="shared" si="25"/>
        <v>374700</v>
      </c>
      <c r="N172" s="104">
        <f t="shared" si="26"/>
        <v>749400</v>
      </c>
      <c r="O172" s="108"/>
    </row>
    <row r="173" spans="1:15" ht="30" customHeight="1">
      <c r="A173" s="63"/>
      <c r="B173" s="63"/>
      <c r="C173" s="111" t="s">
        <v>235</v>
      </c>
      <c r="D173" s="107"/>
      <c r="E173" s="108"/>
      <c r="F173" s="107"/>
      <c r="G173" s="63"/>
      <c r="H173" s="63">
        <f t="shared" si="22"/>
        <v>0</v>
      </c>
      <c r="I173" s="63"/>
      <c r="J173" s="63"/>
      <c r="K173" s="63"/>
      <c r="L173" s="63">
        <f t="shared" si="23"/>
        <v>0</v>
      </c>
      <c r="M173" s="102"/>
      <c r="N173" s="104"/>
      <c r="O173" s="108"/>
    </row>
    <row r="174" spans="1:15" ht="30" customHeight="1">
      <c r="A174" s="63"/>
      <c r="B174" s="63"/>
      <c r="C174" s="97" t="s">
        <v>193</v>
      </c>
      <c r="D174" s="97" t="s">
        <v>233</v>
      </c>
      <c r="E174" s="106" t="s">
        <v>141</v>
      </c>
      <c r="F174" s="107">
        <v>1.4685800849999999</v>
      </c>
      <c r="G174" s="63">
        <v>918000</v>
      </c>
      <c r="H174" s="63">
        <f t="shared" si="22"/>
        <v>1348156.51803</v>
      </c>
      <c r="I174" s="63"/>
      <c r="J174" s="63">
        <f t="shared" ref="J174:J188" si="27">I174*F174</f>
        <v>0</v>
      </c>
      <c r="K174" s="63"/>
      <c r="L174" s="63">
        <f t="shared" si="23"/>
        <v>0</v>
      </c>
      <c r="M174" s="102">
        <f t="shared" ref="M174:M185" si="28">G174+I174+K174</f>
        <v>918000</v>
      </c>
      <c r="N174" s="104">
        <f t="shared" ref="N174:N185" si="29">M174*F174</f>
        <v>1348156.51803</v>
      </c>
      <c r="O174" s="108"/>
    </row>
    <row r="175" spans="1:15" ht="30" customHeight="1">
      <c r="A175" s="63"/>
      <c r="B175" s="63"/>
      <c r="C175" s="97" t="s">
        <v>205</v>
      </c>
      <c r="D175" s="97" t="s">
        <v>236</v>
      </c>
      <c r="E175" s="106" t="s">
        <v>77</v>
      </c>
      <c r="F175" s="107">
        <v>502</v>
      </c>
      <c r="G175" s="63">
        <v>2700</v>
      </c>
      <c r="H175" s="63">
        <f t="shared" si="22"/>
        <v>1355400</v>
      </c>
      <c r="I175" s="63">
        <v>3700</v>
      </c>
      <c r="J175" s="63">
        <f t="shared" si="27"/>
        <v>1857400</v>
      </c>
      <c r="K175" s="63"/>
      <c r="L175" s="63">
        <f t="shared" si="23"/>
        <v>0</v>
      </c>
      <c r="M175" s="102">
        <f t="shared" si="28"/>
        <v>6400</v>
      </c>
      <c r="N175" s="104">
        <f t="shared" si="29"/>
        <v>3212800</v>
      </c>
      <c r="O175" s="108"/>
    </row>
    <row r="176" spans="1:15" ht="30" customHeight="1">
      <c r="A176" s="63"/>
      <c r="B176" s="63"/>
      <c r="C176" s="107" t="s">
        <v>154</v>
      </c>
      <c r="D176" s="107" t="s">
        <v>213</v>
      </c>
      <c r="E176" s="106" t="s">
        <v>82</v>
      </c>
      <c r="F176" s="107">
        <v>29.652000000000001</v>
      </c>
      <c r="G176" s="63"/>
      <c r="H176" s="63">
        <f t="shared" si="22"/>
        <v>0</v>
      </c>
      <c r="I176" s="63">
        <v>12500</v>
      </c>
      <c r="J176" s="63">
        <f t="shared" si="27"/>
        <v>370650</v>
      </c>
      <c r="K176" s="63"/>
      <c r="L176" s="63">
        <f t="shared" si="23"/>
        <v>0</v>
      </c>
      <c r="M176" s="102">
        <f t="shared" si="28"/>
        <v>12500</v>
      </c>
      <c r="N176" s="104">
        <f t="shared" si="29"/>
        <v>370650</v>
      </c>
      <c r="O176" s="108"/>
    </row>
    <row r="177" spans="1:15" ht="30" customHeight="1">
      <c r="A177" s="63"/>
      <c r="B177" s="63"/>
      <c r="C177" s="97" t="s">
        <v>214</v>
      </c>
      <c r="D177" s="97" t="s">
        <v>237</v>
      </c>
      <c r="E177" s="106" t="s">
        <v>216</v>
      </c>
      <c r="F177" s="107">
        <v>177.91200000000001</v>
      </c>
      <c r="G177" s="63">
        <v>7100</v>
      </c>
      <c r="H177" s="63">
        <f t="shared" si="22"/>
        <v>1263175.2</v>
      </c>
      <c r="I177" s="63">
        <v>2100</v>
      </c>
      <c r="J177" s="63">
        <f t="shared" si="27"/>
        <v>373615.2</v>
      </c>
      <c r="K177" s="63"/>
      <c r="L177" s="63">
        <f t="shared" si="23"/>
        <v>0</v>
      </c>
      <c r="M177" s="102">
        <f t="shared" si="28"/>
        <v>9200</v>
      </c>
      <c r="N177" s="104">
        <f t="shared" si="29"/>
        <v>1636790.4000000001</v>
      </c>
      <c r="O177" s="108"/>
    </row>
    <row r="178" spans="1:15" ht="30" customHeight="1">
      <c r="A178" s="63"/>
      <c r="B178" s="63"/>
      <c r="C178" s="107" t="s">
        <v>217</v>
      </c>
      <c r="D178" s="107" t="s">
        <v>218</v>
      </c>
      <c r="E178" s="106" t="s">
        <v>82</v>
      </c>
      <c r="F178" s="107">
        <v>31.140374999999999</v>
      </c>
      <c r="G178" s="63">
        <v>2200</v>
      </c>
      <c r="H178" s="63">
        <f t="shared" si="22"/>
        <v>68508.825</v>
      </c>
      <c r="I178" s="63">
        <v>1700</v>
      </c>
      <c r="J178" s="63">
        <f t="shared" si="27"/>
        <v>52938.6375</v>
      </c>
      <c r="K178" s="63">
        <v>400</v>
      </c>
      <c r="L178" s="63">
        <f t="shared" si="23"/>
        <v>12456.15</v>
      </c>
      <c r="M178" s="102">
        <f t="shared" si="28"/>
        <v>4300</v>
      </c>
      <c r="N178" s="104">
        <f t="shared" si="29"/>
        <v>133903.6125</v>
      </c>
      <c r="O178" s="108"/>
    </row>
    <row r="179" spans="1:15" ht="30" customHeight="1">
      <c r="A179" s="63"/>
      <c r="B179" s="63"/>
      <c r="C179" s="107" t="s">
        <v>219</v>
      </c>
      <c r="D179" s="97" t="s">
        <v>220</v>
      </c>
      <c r="E179" s="106" t="s">
        <v>82</v>
      </c>
      <c r="F179" s="107">
        <v>31.140374999999999</v>
      </c>
      <c r="G179" s="63">
        <v>13100</v>
      </c>
      <c r="H179" s="63">
        <f t="shared" si="22"/>
        <v>407938.9125</v>
      </c>
      <c r="I179" s="63">
        <v>5000</v>
      </c>
      <c r="J179" s="63">
        <f t="shared" si="27"/>
        <v>155701.875</v>
      </c>
      <c r="K179" s="63">
        <v>1700</v>
      </c>
      <c r="L179" s="63">
        <f t="shared" si="23"/>
        <v>52938.6375</v>
      </c>
      <c r="M179" s="102">
        <f t="shared" si="28"/>
        <v>19800</v>
      </c>
      <c r="N179" s="104">
        <f t="shared" si="29"/>
        <v>616579.4249999999</v>
      </c>
      <c r="O179" s="108"/>
    </row>
    <row r="180" spans="1:15" ht="30" customHeight="1">
      <c r="A180" s="63"/>
      <c r="B180" s="63"/>
      <c r="C180" s="107" t="s">
        <v>221</v>
      </c>
      <c r="D180" s="107" t="s">
        <v>222</v>
      </c>
      <c r="E180" s="106" t="s">
        <v>141</v>
      </c>
      <c r="F180" s="107">
        <v>1.4685800849999999</v>
      </c>
      <c r="G180" s="63"/>
      <c r="H180" s="63">
        <f t="shared" si="22"/>
        <v>0</v>
      </c>
      <c r="I180" s="63">
        <v>291400</v>
      </c>
      <c r="J180" s="63">
        <f t="shared" si="27"/>
        <v>427944.23676899995</v>
      </c>
      <c r="K180" s="63"/>
      <c r="L180" s="63">
        <f t="shared" si="23"/>
        <v>0</v>
      </c>
      <c r="M180" s="102">
        <f t="shared" si="28"/>
        <v>291400</v>
      </c>
      <c r="N180" s="104">
        <f t="shared" si="29"/>
        <v>427944.23676899995</v>
      </c>
      <c r="O180" s="108"/>
    </row>
    <row r="181" spans="1:15" ht="30" customHeight="1">
      <c r="A181" s="63"/>
      <c r="B181" s="63"/>
      <c r="C181" s="107" t="s">
        <v>223</v>
      </c>
      <c r="D181" s="107" t="s">
        <v>222</v>
      </c>
      <c r="E181" s="106" t="s">
        <v>141</v>
      </c>
      <c r="F181" s="107">
        <v>1.4685800849999999</v>
      </c>
      <c r="G181" s="63"/>
      <c r="H181" s="63">
        <f t="shared" si="22"/>
        <v>0</v>
      </c>
      <c r="I181" s="63">
        <v>1082400</v>
      </c>
      <c r="J181" s="63">
        <f t="shared" si="27"/>
        <v>1589591.0840039998</v>
      </c>
      <c r="K181" s="63"/>
      <c r="L181" s="63">
        <f t="shared" si="23"/>
        <v>0</v>
      </c>
      <c r="M181" s="102">
        <f t="shared" si="28"/>
        <v>1082400</v>
      </c>
      <c r="N181" s="104">
        <f t="shared" si="29"/>
        <v>1589591.0840039998</v>
      </c>
      <c r="O181" s="108"/>
    </row>
    <row r="182" spans="1:15" ht="30" customHeight="1">
      <c r="A182" s="63"/>
      <c r="B182" s="63"/>
      <c r="C182" s="107" t="s">
        <v>163</v>
      </c>
      <c r="D182" s="107" t="s">
        <v>164</v>
      </c>
      <c r="E182" s="106" t="s">
        <v>141</v>
      </c>
      <c r="F182" s="107">
        <v>1.4685800849999999</v>
      </c>
      <c r="G182" s="63"/>
      <c r="H182" s="63">
        <f t="shared" si="22"/>
        <v>0</v>
      </c>
      <c r="I182" s="63">
        <v>18300</v>
      </c>
      <c r="J182" s="63">
        <f t="shared" si="27"/>
        <v>26875.0155555</v>
      </c>
      <c r="K182" s="63"/>
      <c r="L182" s="63">
        <f t="shared" si="23"/>
        <v>0</v>
      </c>
      <c r="M182" s="102">
        <f t="shared" si="28"/>
        <v>18300</v>
      </c>
      <c r="N182" s="104">
        <f t="shared" si="29"/>
        <v>26875.0155555</v>
      </c>
      <c r="O182" s="108"/>
    </row>
    <row r="183" spans="1:15" ht="30" customHeight="1">
      <c r="A183" s="63"/>
      <c r="B183" s="63"/>
      <c r="C183" s="107" t="s">
        <v>166</v>
      </c>
      <c r="D183" s="107" t="s">
        <v>238</v>
      </c>
      <c r="E183" s="108" t="s">
        <v>168</v>
      </c>
      <c r="F183" s="107">
        <v>1</v>
      </c>
      <c r="G183" s="63"/>
      <c r="H183" s="63">
        <f t="shared" si="22"/>
        <v>0</v>
      </c>
      <c r="I183" s="63"/>
      <c r="J183" s="63">
        <f t="shared" si="27"/>
        <v>0</v>
      </c>
      <c r="K183" s="63">
        <v>595300</v>
      </c>
      <c r="L183" s="63">
        <f t="shared" si="23"/>
        <v>595300</v>
      </c>
      <c r="M183" s="102">
        <f t="shared" si="28"/>
        <v>595300</v>
      </c>
      <c r="N183" s="104">
        <f t="shared" si="29"/>
        <v>595300</v>
      </c>
      <c r="O183" s="108"/>
    </row>
    <row r="184" spans="1:15" ht="30" customHeight="1">
      <c r="A184" s="63"/>
      <c r="B184" s="63"/>
      <c r="C184" s="107" t="s">
        <v>166</v>
      </c>
      <c r="D184" s="107" t="s">
        <v>227</v>
      </c>
      <c r="E184" s="108" t="s">
        <v>168</v>
      </c>
      <c r="F184" s="107">
        <v>1</v>
      </c>
      <c r="G184" s="63"/>
      <c r="H184" s="63">
        <f t="shared" si="22"/>
        <v>0</v>
      </c>
      <c r="I184" s="63"/>
      <c r="J184" s="63">
        <f t="shared" si="27"/>
        <v>0</v>
      </c>
      <c r="K184" s="63">
        <v>291400</v>
      </c>
      <c r="L184" s="63">
        <f t="shared" si="23"/>
        <v>291400</v>
      </c>
      <c r="M184" s="102">
        <f t="shared" si="28"/>
        <v>291400</v>
      </c>
      <c r="N184" s="104">
        <f t="shared" si="29"/>
        <v>291400</v>
      </c>
      <c r="O184" s="108"/>
    </row>
    <row r="185" spans="1:15" ht="30" customHeight="1">
      <c r="A185" s="63"/>
      <c r="B185" s="63"/>
      <c r="C185" s="107" t="s">
        <v>21</v>
      </c>
      <c r="D185" s="107"/>
      <c r="E185" s="108" t="s">
        <v>168</v>
      </c>
      <c r="F185" s="107">
        <v>1</v>
      </c>
      <c r="G185" s="63"/>
      <c r="H185" s="63">
        <f t="shared" si="22"/>
        <v>0</v>
      </c>
      <c r="I185" s="63"/>
      <c r="J185" s="63">
        <f t="shared" si="27"/>
        <v>0</v>
      </c>
      <c r="K185" s="63">
        <v>374700</v>
      </c>
      <c r="L185" s="63">
        <f t="shared" si="23"/>
        <v>374700</v>
      </c>
      <c r="M185" s="102">
        <f t="shared" si="28"/>
        <v>374700</v>
      </c>
      <c r="N185" s="104">
        <f t="shared" si="29"/>
        <v>374700</v>
      </c>
      <c r="O185" s="108"/>
    </row>
    <row r="186" spans="1:15" ht="30" customHeight="1">
      <c r="A186" s="63"/>
      <c r="B186" s="63"/>
      <c r="C186" s="107"/>
      <c r="D186" s="107"/>
      <c r="E186" s="108"/>
      <c r="F186" s="107"/>
      <c r="G186" s="63"/>
      <c r="H186" s="63">
        <f t="shared" si="22"/>
        <v>0</v>
      </c>
      <c r="I186" s="63"/>
      <c r="J186" s="63">
        <f t="shared" si="27"/>
        <v>0</v>
      </c>
      <c r="K186" s="63"/>
      <c r="L186" s="63">
        <f t="shared" si="23"/>
        <v>0</v>
      </c>
      <c r="M186" s="102"/>
      <c r="N186" s="104"/>
      <c r="O186" s="108"/>
    </row>
    <row r="187" spans="1:15" ht="30" customHeight="1">
      <c r="A187" s="63"/>
      <c r="B187" s="63"/>
      <c r="C187" s="102"/>
      <c r="D187" s="102"/>
      <c r="E187" s="105"/>
      <c r="F187" s="102"/>
      <c r="G187" s="102"/>
      <c r="H187" s="63">
        <f t="shared" si="22"/>
        <v>0</v>
      </c>
      <c r="I187" s="109"/>
      <c r="J187" s="63">
        <f t="shared" si="27"/>
        <v>0</v>
      </c>
      <c r="K187" s="63"/>
      <c r="L187" s="63">
        <f t="shared" si="23"/>
        <v>0</v>
      </c>
      <c r="M187" s="102"/>
      <c r="N187" s="104"/>
      <c r="O187" s="83"/>
    </row>
    <row r="188" spans="1:15" ht="30" customHeight="1">
      <c r="A188" s="63"/>
      <c r="B188" s="63"/>
      <c r="C188" s="102"/>
      <c r="D188" s="102"/>
      <c r="E188" s="105"/>
      <c r="F188" s="102"/>
      <c r="G188" s="102"/>
      <c r="H188" s="63">
        <f t="shared" si="22"/>
        <v>0</v>
      </c>
      <c r="I188" s="109"/>
      <c r="J188" s="63">
        <f t="shared" si="27"/>
        <v>0</v>
      </c>
      <c r="K188" s="63"/>
      <c r="L188" s="63">
        <f t="shared" si="23"/>
        <v>0</v>
      </c>
      <c r="M188" s="102"/>
      <c r="N188" s="104"/>
      <c r="O188" s="83"/>
    </row>
    <row r="189" spans="1:15" ht="30" customHeight="1">
      <c r="A189" s="63"/>
      <c r="B189" s="63"/>
      <c r="C189" s="102"/>
      <c r="D189" s="102"/>
      <c r="E189" s="105"/>
      <c r="F189" s="102"/>
      <c r="G189" s="102"/>
      <c r="H189" s="63"/>
      <c r="I189" s="109"/>
      <c r="J189" s="63"/>
      <c r="K189" s="63"/>
      <c r="L189" s="63">
        <f t="shared" ref="L189" si="30">F189*K189</f>
        <v>0</v>
      </c>
      <c r="M189" s="102"/>
      <c r="N189" s="104"/>
      <c r="O189" s="83"/>
    </row>
    <row r="190" spans="1:15" ht="30" customHeight="1">
      <c r="A190" s="63"/>
      <c r="B190" s="63"/>
      <c r="C190" s="102"/>
      <c r="D190" s="102"/>
      <c r="E190" s="105"/>
      <c r="F190" s="102"/>
      <c r="G190" s="102"/>
      <c r="H190" s="63"/>
      <c r="I190" s="109"/>
      <c r="J190" s="63"/>
      <c r="K190" s="63"/>
      <c r="L190" s="63"/>
      <c r="M190" s="102"/>
      <c r="N190" s="104"/>
      <c r="O190" s="83"/>
    </row>
    <row r="191" spans="1:15" ht="30" customHeight="1">
      <c r="A191" s="63"/>
      <c r="B191" s="63"/>
      <c r="C191" s="102"/>
      <c r="D191" s="102"/>
      <c r="E191" s="105"/>
      <c r="F191" s="102"/>
      <c r="G191" s="102"/>
      <c r="H191" s="63"/>
      <c r="I191" s="109"/>
      <c r="J191" s="63"/>
      <c r="K191" s="63"/>
      <c r="L191" s="63"/>
      <c r="M191" s="102"/>
      <c r="N191" s="104"/>
      <c r="O191" s="83"/>
    </row>
    <row r="192" spans="1:15" ht="30" customHeight="1">
      <c r="A192" s="63"/>
      <c r="B192" s="63"/>
      <c r="C192" s="102"/>
      <c r="D192" s="102"/>
      <c r="E192" s="105"/>
      <c r="F192" s="102"/>
      <c r="G192" s="102"/>
      <c r="H192" s="63"/>
      <c r="I192" s="109"/>
      <c r="J192" s="63"/>
      <c r="K192" s="63"/>
      <c r="L192" s="63"/>
      <c r="M192" s="102"/>
      <c r="N192" s="104"/>
      <c r="O192" s="83"/>
    </row>
    <row r="193" spans="1:15" ht="30" customHeight="1">
      <c r="A193" s="63"/>
      <c r="B193" s="63"/>
      <c r="C193" s="102"/>
      <c r="D193" s="102"/>
      <c r="E193" s="105"/>
      <c r="F193" s="102"/>
      <c r="G193" s="102"/>
      <c r="H193" s="63"/>
      <c r="I193" s="109"/>
      <c r="J193" s="63"/>
      <c r="K193" s="63"/>
      <c r="L193" s="63"/>
      <c r="M193" s="102"/>
      <c r="N193" s="104"/>
      <c r="O193" s="83"/>
    </row>
    <row r="194" spans="1:15" ht="30" customHeight="1">
      <c r="A194" s="63"/>
      <c r="B194" s="63"/>
      <c r="C194" s="102"/>
      <c r="D194" s="102"/>
      <c r="E194" s="105"/>
      <c r="F194" s="102"/>
      <c r="G194" s="102"/>
      <c r="H194" s="63"/>
      <c r="I194" s="109"/>
      <c r="J194" s="63"/>
      <c r="K194" s="63"/>
      <c r="L194" s="63"/>
      <c r="M194" s="102"/>
      <c r="N194" s="104"/>
      <c r="O194" s="83"/>
    </row>
    <row r="195" spans="1:15" ht="30" customHeight="1">
      <c r="A195" s="63"/>
      <c r="B195" s="63"/>
      <c r="C195" s="100" t="s">
        <v>119</v>
      </c>
      <c r="D195" s="102"/>
      <c r="E195" s="105"/>
      <c r="F195" s="102"/>
      <c r="G195" s="102"/>
      <c r="H195" s="63">
        <f>SUM(H125:H194)</f>
        <v>76415392.48432977</v>
      </c>
      <c r="I195" s="110"/>
      <c r="J195" s="63">
        <f>SUM(J125:J194)</f>
        <v>47736673.77289708</v>
      </c>
      <c r="K195" s="102"/>
      <c r="L195" s="63">
        <f>SUM(L125:L194)</f>
        <v>10750443.123975001</v>
      </c>
      <c r="M195" s="63"/>
      <c r="N195" s="63">
        <f>SUM(N125:N194)</f>
        <v>134902509.38120186</v>
      </c>
      <c r="O195" s="83"/>
    </row>
    <row r="196" spans="1:15" ht="30" customHeight="1">
      <c r="A196" s="63"/>
      <c r="B196" s="63"/>
      <c r="C196" s="77" t="s">
        <v>239</v>
      </c>
      <c r="D196" s="77"/>
      <c r="E196" s="78"/>
      <c r="F196" s="77"/>
      <c r="G196" s="77"/>
      <c r="H196" s="77"/>
      <c r="I196" s="77"/>
      <c r="J196" s="77"/>
      <c r="K196" s="77"/>
      <c r="L196" s="77"/>
      <c r="M196" s="77"/>
      <c r="N196" s="77"/>
      <c r="O196" s="78"/>
    </row>
    <row r="197" spans="1:15" ht="30" customHeight="1">
      <c r="A197" s="63" t="s">
        <v>240</v>
      </c>
      <c r="B197" s="63" t="s">
        <v>241</v>
      </c>
      <c r="C197" s="102" t="s">
        <v>242</v>
      </c>
      <c r="D197" s="102" t="s">
        <v>243</v>
      </c>
      <c r="E197" s="105" t="s">
        <v>244</v>
      </c>
      <c r="F197" s="102">
        <v>1000</v>
      </c>
      <c r="G197" s="63">
        <v>1200</v>
      </c>
      <c r="H197" s="63">
        <f t="shared" ref="H197:H221" si="31">TRUNC(F197*G197,0)</f>
        <v>1200000</v>
      </c>
      <c r="I197" s="102">
        <v>3000</v>
      </c>
      <c r="J197" s="63">
        <f t="shared" ref="J197:J221" si="32">TRUNC(F197*I197,0)</f>
        <v>3000000</v>
      </c>
      <c r="K197" s="102"/>
      <c r="L197" s="63">
        <f>TRUNC(F197*K197,0)</f>
        <v>0</v>
      </c>
      <c r="M197" s="63">
        <f t="shared" ref="M197:M221" si="33">K197+I197+G197</f>
        <v>4200</v>
      </c>
      <c r="N197" s="58">
        <f t="shared" ref="N197:N221" si="34">+H197+J197+L197</f>
        <v>4200000</v>
      </c>
      <c r="O197" s="89"/>
    </row>
    <row r="198" spans="1:15" ht="30" customHeight="1">
      <c r="A198" s="63"/>
      <c r="B198" s="63"/>
      <c r="C198" s="102" t="s">
        <v>245</v>
      </c>
      <c r="D198" s="102" t="s">
        <v>246</v>
      </c>
      <c r="E198" s="112" t="s">
        <v>82</v>
      </c>
      <c r="F198" s="102">
        <v>361</v>
      </c>
      <c r="G198" s="63">
        <v>2100</v>
      </c>
      <c r="H198" s="63">
        <f t="shared" si="31"/>
        <v>758100</v>
      </c>
      <c r="I198" s="102">
        <v>5400</v>
      </c>
      <c r="J198" s="63">
        <f t="shared" si="32"/>
        <v>1949400</v>
      </c>
      <c r="K198" s="102"/>
      <c r="L198" s="63"/>
      <c r="M198" s="63">
        <f t="shared" si="33"/>
        <v>7500</v>
      </c>
      <c r="N198" s="58">
        <f t="shared" si="34"/>
        <v>2707500</v>
      </c>
      <c r="O198" s="89"/>
    </row>
    <row r="199" spans="1:15" ht="30" customHeight="1">
      <c r="A199" s="63"/>
      <c r="B199" s="63"/>
      <c r="C199" s="113" t="s">
        <v>247</v>
      </c>
      <c r="D199" s="114" t="s">
        <v>248</v>
      </c>
      <c r="E199" s="112" t="s">
        <v>82</v>
      </c>
      <c r="F199" s="112">
        <v>242</v>
      </c>
      <c r="G199" s="63">
        <v>1200</v>
      </c>
      <c r="H199" s="63">
        <f t="shared" si="31"/>
        <v>290400</v>
      </c>
      <c r="I199" s="63">
        <v>6700</v>
      </c>
      <c r="J199" s="63">
        <f t="shared" si="32"/>
        <v>1621400</v>
      </c>
      <c r="K199" s="63"/>
      <c r="L199" s="63"/>
      <c r="M199" s="63">
        <f t="shared" si="33"/>
        <v>7900</v>
      </c>
      <c r="N199" s="58">
        <f t="shared" si="34"/>
        <v>1911800</v>
      </c>
      <c r="O199" s="83"/>
    </row>
    <row r="200" spans="1:15" ht="30" customHeight="1">
      <c r="A200" s="63"/>
      <c r="B200" s="63"/>
      <c r="C200" s="113" t="s">
        <v>247</v>
      </c>
      <c r="D200" s="114" t="s">
        <v>249</v>
      </c>
      <c r="E200" s="103" t="s">
        <v>82</v>
      </c>
      <c r="F200" s="63">
        <v>90</v>
      </c>
      <c r="G200" s="63">
        <v>1200</v>
      </c>
      <c r="H200" s="63">
        <f t="shared" si="31"/>
        <v>108000</v>
      </c>
      <c r="I200" s="102">
        <v>7500</v>
      </c>
      <c r="J200" s="63">
        <f t="shared" si="32"/>
        <v>675000</v>
      </c>
      <c r="K200" s="102"/>
      <c r="L200" s="63">
        <f>TRUNC(F199*K200,0)</f>
        <v>0</v>
      </c>
      <c r="M200" s="63">
        <f t="shared" si="33"/>
        <v>8700</v>
      </c>
      <c r="N200" s="58">
        <f t="shared" si="34"/>
        <v>783000</v>
      </c>
      <c r="O200" s="83"/>
    </row>
    <row r="201" spans="1:15" ht="30" customHeight="1">
      <c r="A201" s="63"/>
      <c r="B201" s="63"/>
      <c r="C201" s="113" t="s">
        <v>247</v>
      </c>
      <c r="D201" s="114" t="s">
        <v>250</v>
      </c>
      <c r="E201" s="103" t="s">
        <v>82</v>
      </c>
      <c r="F201" s="63">
        <v>84</v>
      </c>
      <c r="G201" s="63">
        <v>1200</v>
      </c>
      <c r="H201" s="63">
        <f t="shared" si="31"/>
        <v>100800</v>
      </c>
      <c r="I201" s="102">
        <v>7500</v>
      </c>
      <c r="J201" s="63">
        <f t="shared" si="32"/>
        <v>630000</v>
      </c>
      <c r="K201" s="102"/>
      <c r="L201" s="63"/>
      <c r="M201" s="63">
        <f t="shared" si="33"/>
        <v>8700</v>
      </c>
      <c r="N201" s="58">
        <f t="shared" si="34"/>
        <v>730800</v>
      </c>
      <c r="O201" s="83"/>
    </row>
    <row r="202" spans="1:15" ht="30" customHeight="1">
      <c r="A202" s="63"/>
      <c r="B202" s="63"/>
      <c r="C202" s="113" t="s">
        <v>247</v>
      </c>
      <c r="D202" s="114" t="s">
        <v>251</v>
      </c>
      <c r="E202" s="103" t="s">
        <v>82</v>
      </c>
      <c r="F202" s="63">
        <v>57</v>
      </c>
      <c r="G202" s="63">
        <v>1200</v>
      </c>
      <c r="H202" s="63">
        <f t="shared" si="31"/>
        <v>68400</v>
      </c>
      <c r="I202" s="102">
        <v>6700</v>
      </c>
      <c r="J202" s="63">
        <f t="shared" si="32"/>
        <v>381900</v>
      </c>
      <c r="K202" s="102"/>
      <c r="L202" s="63"/>
      <c r="M202" s="63">
        <f t="shared" si="33"/>
        <v>7900</v>
      </c>
      <c r="N202" s="58">
        <f t="shared" si="34"/>
        <v>450300</v>
      </c>
      <c r="O202" s="83"/>
    </row>
    <row r="203" spans="1:15" ht="30" customHeight="1">
      <c r="A203" s="63"/>
      <c r="B203" s="63"/>
      <c r="C203" s="102" t="s">
        <v>252</v>
      </c>
      <c r="D203" s="102" t="s">
        <v>253</v>
      </c>
      <c r="E203" s="103" t="s">
        <v>82</v>
      </c>
      <c r="F203" s="63">
        <v>117</v>
      </c>
      <c r="G203" s="63">
        <v>7100</v>
      </c>
      <c r="H203" s="63">
        <f t="shared" si="31"/>
        <v>830700</v>
      </c>
      <c r="I203" s="102">
        <v>2900</v>
      </c>
      <c r="J203" s="63">
        <f t="shared" si="32"/>
        <v>339300</v>
      </c>
      <c r="K203" s="102"/>
      <c r="L203" s="63">
        <f>TRUNC(F203*K203,0)</f>
        <v>0</v>
      </c>
      <c r="M203" s="63">
        <f t="shared" si="33"/>
        <v>10000</v>
      </c>
      <c r="N203" s="58">
        <f t="shared" si="34"/>
        <v>1170000</v>
      </c>
      <c r="O203" s="83"/>
    </row>
    <row r="204" spans="1:15" ht="30" customHeight="1">
      <c r="A204" s="63"/>
      <c r="B204" s="63"/>
      <c r="C204" s="102" t="s">
        <v>252</v>
      </c>
      <c r="D204" s="102" t="s">
        <v>254</v>
      </c>
      <c r="E204" s="103" t="s">
        <v>82</v>
      </c>
      <c r="F204" s="63">
        <v>218</v>
      </c>
      <c r="G204" s="63">
        <v>7100</v>
      </c>
      <c r="H204" s="63">
        <f t="shared" si="31"/>
        <v>1547800</v>
      </c>
      <c r="I204" s="102">
        <v>2900</v>
      </c>
      <c r="J204" s="63">
        <f t="shared" si="32"/>
        <v>632200</v>
      </c>
      <c r="K204" s="102"/>
      <c r="L204" s="63"/>
      <c r="M204" s="63">
        <f t="shared" si="33"/>
        <v>10000</v>
      </c>
      <c r="N204" s="58">
        <f t="shared" si="34"/>
        <v>2180000</v>
      </c>
      <c r="O204" s="83"/>
    </row>
    <row r="205" spans="1:15" ht="30" customHeight="1">
      <c r="A205" s="63"/>
      <c r="B205" s="63"/>
      <c r="C205" s="113" t="s">
        <v>255</v>
      </c>
      <c r="D205" s="115" t="s">
        <v>256</v>
      </c>
      <c r="E205" s="103" t="s">
        <v>136</v>
      </c>
      <c r="F205" s="63">
        <v>21</v>
      </c>
      <c r="G205" s="63">
        <v>62400</v>
      </c>
      <c r="H205" s="63">
        <f t="shared" si="31"/>
        <v>1310400</v>
      </c>
      <c r="I205" s="102">
        <v>62400</v>
      </c>
      <c r="J205" s="63">
        <f t="shared" si="32"/>
        <v>1310400</v>
      </c>
      <c r="K205" s="102"/>
      <c r="L205" s="63">
        <f t="shared" ref="L205:L221" si="35">TRUNC(F205*K205,0)</f>
        <v>0</v>
      </c>
      <c r="M205" s="63">
        <f t="shared" si="33"/>
        <v>124800</v>
      </c>
      <c r="N205" s="58">
        <f t="shared" si="34"/>
        <v>2620800</v>
      </c>
      <c r="O205" s="83"/>
    </row>
    <row r="206" spans="1:15" ht="30" customHeight="1">
      <c r="A206" s="63"/>
      <c r="B206" s="63"/>
      <c r="C206" s="91" t="s">
        <v>257</v>
      </c>
      <c r="D206" s="98" t="s">
        <v>258</v>
      </c>
      <c r="E206" s="103" t="s">
        <v>82</v>
      </c>
      <c r="F206" s="102">
        <v>117</v>
      </c>
      <c r="G206" s="68">
        <v>2900</v>
      </c>
      <c r="H206" s="63">
        <f t="shared" si="31"/>
        <v>339300</v>
      </c>
      <c r="I206" s="68">
        <v>1200</v>
      </c>
      <c r="J206" s="63">
        <f t="shared" si="32"/>
        <v>140400</v>
      </c>
      <c r="K206" s="63"/>
      <c r="L206" s="63">
        <f t="shared" si="35"/>
        <v>0</v>
      </c>
      <c r="M206" s="63">
        <f t="shared" si="33"/>
        <v>4100</v>
      </c>
      <c r="N206" s="58">
        <f t="shared" si="34"/>
        <v>479700</v>
      </c>
      <c r="O206" s="116"/>
    </row>
    <row r="207" spans="1:15" ht="30" customHeight="1">
      <c r="A207" s="63"/>
      <c r="B207" s="63"/>
      <c r="C207" s="117" t="s">
        <v>259</v>
      </c>
      <c r="D207" s="117" t="s">
        <v>260</v>
      </c>
      <c r="E207" s="112" t="s">
        <v>82</v>
      </c>
      <c r="F207" s="63">
        <v>21</v>
      </c>
      <c r="G207" s="63">
        <v>15000</v>
      </c>
      <c r="H207" s="63">
        <f t="shared" si="31"/>
        <v>315000</v>
      </c>
      <c r="I207" s="102">
        <v>26600</v>
      </c>
      <c r="J207" s="63">
        <f t="shared" si="32"/>
        <v>558600</v>
      </c>
      <c r="K207" s="102"/>
      <c r="L207" s="63">
        <f t="shared" si="35"/>
        <v>0</v>
      </c>
      <c r="M207" s="63">
        <f t="shared" si="33"/>
        <v>41600</v>
      </c>
      <c r="N207" s="58">
        <f t="shared" si="34"/>
        <v>873600</v>
      </c>
      <c r="O207" s="83"/>
    </row>
    <row r="208" spans="1:15" ht="30" customHeight="1">
      <c r="A208" s="63"/>
      <c r="B208" s="63"/>
      <c r="C208" s="117" t="s">
        <v>261</v>
      </c>
      <c r="D208" s="117" t="s">
        <v>262</v>
      </c>
      <c r="E208" s="112" t="s">
        <v>82</v>
      </c>
      <c r="F208" s="63">
        <v>132</v>
      </c>
      <c r="G208" s="63">
        <v>12500</v>
      </c>
      <c r="H208" s="63">
        <f t="shared" si="31"/>
        <v>1650000</v>
      </c>
      <c r="I208" s="102">
        <v>26600</v>
      </c>
      <c r="J208" s="63">
        <f t="shared" si="32"/>
        <v>3511200</v>
      </c>
      <c r="K208" s="102"/>
      <c r="L208" s="63">
        <f t="shared" si="35"/>
        <v>0</v>
      </c>
      <c r="M208" s="63">
        <f t="shared" si="33"/>
        <v>39100</v>
      </c>
      <c r="N208" s="58">
        <f t="shared" si="34"/>
        <v>5161200</v>
      </c>
      <c r="O208" s="83"/>
    </row>
    <row r="209" spans="1:15" ht="30" customHeight="1">
      <c r="A209" s="63"/>
      <c r="B209" s="63"/>
      <c r="C209" s="91" t="s">
        <v>263</v>
      </c>
      <c r="D209" s="98" t="s">
        <v>264</v>
      </c>
      <c r="E209" s="112" t="s">
        <v>265</v>
      </c>
      <c r="F209" s="68">
        <v>45</v>
      </c>
      <c r="G209" s="68">
        <v>1500</v>
      </c>
      <c r="H209" s="63">
        <f t="shared" si="31"/>
        <v>67500</v>
      </c>
      <c r="I209" s="68">
        <v>2100</v>
      </c>
      <c r="J209" s="63">
        <f t="shared" si="32"/>
        <v>94500</v>
      </c>
      <c r="K209" s="102"/>
      <c r="L209" s="63">
        <f t="shared" si="35"/>
        <v>0</v>
      </c>
      <c r="M209" s="63">
        <f t="shared" si="33"/>
        <v>3600</v>
      </c>
      <c r="N209" s="58">
        <f t="shared" si="34"/>
        <v>162000</v>
      </c>
      <c r="O209" s="108"/>
    </row>
    <row r="210" spans="1:15" ht="30" customHeight="1">
      <c r="A210" s="63"/>
      <c r="B210" s="63"/>
      <c r="C210" s="91" t="s">
        <v>266</v>
      </c>
      <c r="D210" s="118" t="s">
        <v>267</v>
      </c>
      <c r="E210" s="119" t="s">
        <v>268</v>
      </c>
      <c r="F210" s="120">
        <v>125</v>
      </c>
      <c r="G210" s="120">
        <v>5000</v>
      </c>
      <c r="H210" s="63">
        <f t="shared" si="31"/>
        <v>625000</v>
      </c>
      <c r="I210" s="120"/>
      <c r="J210" s="63">
        <f t="shared" si="32"/>
        <v>0</v>
      </c>
      <c r="K210" s="102"/>
      <c r="L210" s="63">
        <f t="shared" si="35"/>
        <v>0</v>
      </c>
      <c r="M210" s="63">
        <f t="shared" si="33"/>
        <v>5000</v>
      </c>
      <c r="N210" s="58">
        <f t="shared" si="34"/>
        <v>625000</v>
      </c>
      <c r="O210" s="118"/>
    </row>
    <row r="211" spans="1:15" ht="30" customHeight="1">
      <c r="A211" s="63"/>
      <c r="B211" s="63"/>
      <c r="C211" s="91" t="s">
        <v>266</v>
      </c>
      <c r="D211" s="91" t="s">
        <v>269</v>
      </c>
      <c r="E211" s="89" t="s">
        <v>268</v>
      </c>
      <c r="F211" s="68">
        <v>25</v>
      </c>
      <c r="G211" s="68">
        <v>4600</v>
      </c>
      <c r="H211" s="63">
        <f t="shared" si="31"/>
        <v>115000</v>
      </c>
      <c r="I211" s="68"/>
      <c r="J211" s="63">
        <f t="shared" si="32"/>
        <v>0</v>
      </c>
      <c r="K211" s="102"/>
      <c r="L211" s="63">
        <f t="shared" si="35"/>
        <v>0</v>
      </c>
      <c r="M211" s="63">
        <f t="shared" si="33"/>
        <v>4600</v>
      </c>
      <c r="N211" s="58">
        <f t="shared" si="34"/>
        <v>115000</v>
      </c>
      <c r="O211" s="108"/>
    </row>
    <row r="212" spans="1:15" ht="30" customHeight="1">
      <c r="A212" s="63" t="s">
        <v>240</v>
      </c>
      <c r="B212" s="63" t="s">
        <v>270</v>
      </c>
      <c r="C212" s="121" t="s">
        <v>271</v>
      </c>
      <c r="D212" s="107" t="s">
        <v>272</v>
      </c>
      <c r="E212" s="112" t="s">
        <v>82</v>
      </c>
      <c r="F212" s="102">
        <v>117</v>
      </c>
      <c r="G212" s="122">
        <v>18300</v>
      </c>
      <c r="H212" s="63">
        <f t="shared" si="31"/>
        <v>2141100</v>
      </c>
      <c r="I212" s="102">
        <v>18300</v>
      </c>
      <c r="J212" s="63">
        <f t="shared" si="32"/>
        <v>2141100</v>
      </c>
      <c r="K212" s="102"/>
      <c r="L212" s="63">
        <f t="shared" si="35"/>
        <v>0</v>
      </c>
      <c r="M212" s="63">
        <f t="shared" si="33"/>
        <v>36600</v>
      </c>
      <c r="N212" s="58">
        <f t="shared" si="34"/>
        <v>4282200</v>
      </c>
      <c r="O212" s="83"/>
    </row>
    <row r="213" spans="1:15" ht="30" customHeight="1">
      <c r="A213" s="63" t="s">
        <v>240</v>
      </c>
      <c r="B213" s="63" t="s">
        <v>270</v>
      </c>
      <c r="C213" s="121" t="s">
        <v>273</v>
      </c>
      <c r="D213" s="107" t="s">
        <v>274</v>
      </c>
      <c r="E213" s="112" t="s">
        <v>82</v>
      </c>
      <c r="F213" s="102">
        <v>23</v>
      </c>
      <c r="G213" s="122">
        <v>10800</v>
      </c>
      <c r="H213" s="63">
        <f t="shared" si="31"/>
        <v>248400</v>
      </c>
      <c r="I213" s="102">
        <v>10800</v>
      </c>
      <c r="J213" s="63">
        <f t="shared" si="32"/>
        <v>248400</v>
      </c>
      <c r="K213" s="102"/>
      <c r="L213" s="63">
        <f t="shared" si="35"/>
        <v>0</v>
      </c>
      <c r="M213" s="63">
        <f t="shared" si="33"/>
        <v>21600</v>
      </c>
      <c r="N213" s="58">
        <f t="shared" si="34"/>
        <v>496800</v>
      </c>
      <c r="O213" s="83"/>
    </row>
    <row r="214" spans="1:15" ht="30" customHeight="1">
      <c r="A214" s="63"/>
      <c r="B214" s="63"/>
      <c r="C214" s="91" t="s">
        <v>275</v>
      </c>
      <c r="D214" s="123" t="s">
        <v>276</v>
      </c>
      <c r="E214" s="99" t="s">
        <v>82</v>
      </c>
      <c r="F214" s="102">
        <v>21</v>
      </c>
      <c r="G214" s="124">
        <v>3300</v>
      </c>
      <c r="H214" s="63">
        <f t="shared" si="31"/>
        <v>69300</v>
      </c>
      <c r="I214" s="102">
        <v>7500</v>
      </c>
      <c r="J214" s="63">
        <f t="shared" si="32"/>
        <v>157500</v>
      </c>
      <c r="K214" s="102"/>
      <c r="L214" s="63">
        <f t="shared" si="35"/>
        <v>0</v>
      </c>
      <c r="M214" s="63">
        <f t="shared" si="33"/>
        <v>10800</v>
      </c>
      <c r="N214" s="58">
        <f t="shared" si="34"/>
        <v>226800</v>
      </c>
      <c r="O214" s="89"/>
    </row>
    <row r="215" spans="1:15" ht="30" customHeight="1">
      <c r="A215" s="63"/>
      <c r="B215" s="63"/>
      <c r="C215" s="91" t="s">
        <v>277</v>
      </c>
      <c r="D215" s="123" t="s">
        <v>278</v>
      </c>
      <c r="E215" s="99" t="s">
        <v>82</v>
      </c>
      <c r="F215" s="102">
        <v>92</v>
      </c>
      <c r="G215" s="68">
        <v>10800</v>
      </c>
      <c r="H215" s="63">
        <f t="shared" si="31"/>
        <v>993600</v>
      </c>
      <c r="I215" s="102">
        <v>10800</v>
      </c>
      <c r="J215" s="63">
        <f t="shared" si="32"/>
        <v>993600</v>
      </c>
      <c r="K215" s="102"/>
      <c r="L215" s="63">
        <f t="shared" si="35"/>
        <v>0</v>
      </c>
      <c r="M215" s="63">
        <f t="shared" si="33"/>
        <v>21600</v>
      </c>
      <c r="N215" s="58">
        <f t="shared" si="34"/>
        <v>1987200</v>
      </c>
      <c r="O215" s="112"/>
    </row>
    <row r="216" spans="1:15" ht="30" customHeight="1">
      <c r="A216" s="63"/>
      <c r="B216" s="63"/>
      <c r="C216" s="102" t="s">
        <v>279</v>
      </c>
      <c r="D216" s="102" t="s">
        <v>280</v>
      </c>
      <c r="E216" s="112" t="s">
        <v>82</v>
      </c>
      <c r="F216" s="102">
        <v>163</v>
      </c>
      <c r="G216" s="68">
        <v>15000</v>
      </c>
      <c r="H216" s="63">
        <f t="shared" si="31"/>
        <v>2445000</v>
      </c>
      <c r="I216" s="102">
        <v>13300</v>
      </c>
      <c r="J216" s="63">
        <f t="shared" si="32"/>
        <v>2167900</v>
      </c>
      <c r="K216" s="102"/>
      <c r="L216" s="63">
        <f t="shared" si="35"/>
        <v>0</v>
      </c>
      <c r="M216" s="63">
        <f t="shared" si="33"/>
        <v>28300</v>
      </c>
      <c r="N216" s="58">
        <f t="shared" si="34"/>
        <v>4612900</v>
      </c>
      <c r="O216" s="83"/>
    </row>
    <row r="217" spans="1:15" ht="30" customHeight="1">
      <c r="A217" s="63"/>
      <c r="B217" s="63"/>
      <c r="C217" s="102" t="s">
        <v>281</v>
      </c>
      <c r="D217" s="102" t="s">
        <v>282</v>
      </c>
      <c r="E217" s="112" t="s">
        <v>124</v>
      </c>
      <c r="F217" s="102">
        <v>54</v>
      </c>
      <c r="G217" s="102">
        <v>2900</v>
      </c>
      <c r="H217" s="63">
        <f t="shared" si="31"/>
        <v>156600</v>
      </c>
      <c r="I217" s="102">
        <v>2500</v>
      </c>
      <c r="J217" s="63">
        <f t="shared" si="32"/>
        <v>135000</v>
      </c>
      <c r="K217" s="102"/>
      <c r="L217" s="63">
        <f t="shared" si="35"/>
        <v>0</v>
      </c>
      <c r="M217" s="63">
        <f t="shared" si="33"/>
        <v>5400</v>
      </c>
      <c r="N217" s="58">
        <f t="shared" si="34"/>
        <v>291600</v>
      </c>
      <c r="O217" s="83"/>
    </row>
    <row r="218" spans="1:15" ht="30" customHeight="1">
      <c r="A218" s="63"/>
      <c r="B218" s="63"/>
      <c r="C218" s="90" t="s">
        <v>283</v>
      </c>
      <c r="D218" s="102" t="s">
        <v>284</v>
      </c>
      <c r="E218" s="112" t="s">
        <v>82</v>
      </c>
      <c r="F218" s="102">
        <v>74</v>
      </c>
      <c r="G218" s="102">
        <v>3700</v>
      </c>
      <c r="H218" s="63">
        <f t="shared" si="31"/>
        <v>273800</v>
      </c>
      <c r="I218" s="102">
        <v>2100</v>
      </c>
      <c r="J218" s="63">
        <f t="shared" si="32"/>
        <v>155400</v>
      </c>
      <c r="K218" s="102"/>
      <c r="L218" s="63">
        <f t="shared" si="35"/>
        <v>0</v>
      </c>
      <c r="M218" s="63">
        <f t="shared" si="33"/>
        <v>5800</v>
      </c>
      <c r="N218" s="58">
        <f t="shared" si="34"/>
        <v>429200</v>
      </c>
      <c r="O218" s="83"/>
    </row>
    <row r="219" spans="1:15" ht="30" customHeight="1">
      <c r="A219" s="63"/>
      <c r="B219" s="63"/>
      <c r="C219" s="91" t="s">
        <v>285</v>
      </c>
      <c r="D219" s="125" t="s">
        <v>286</v>
      </c>
      <c r="E219" s="99" t="s">
        <v>82</v>
      </c>
      <c r="F219" s="102">
        <v>80</v>
      </c>
      <c r="G219" s="102">
        <v>23300</v>
      </c>
      <c r="H219" s="63">
        <f t="shared" si="31"/>
        <v>1864000</v>
      </c>
      <c r="I219" s="102">
        <v>25000</v>
      </c>
      <c r="J219" s="63">
        <f t="shared" si="32"/>
        <v>2000000</v>
      </c>
      <c r="K219" s="102"/>
      <c r="L219" s="63">
        <f t="shared" si="35"/>
        <v>0</v>
      </c>
      <c r="M219" s="63">
        <f t="shared" si="33"/>
        <v>48300</v>
      </c>
      <c r="N219" s="58">
        <f t="shared" si="34"/>
        <v>3864000</v>
      </c>
      <c r="O219" s="83"/>
    </row>
    <row r="220" spans="1:15" ht="30" customHeight="1">
      <c r="A220" s="63"/>
      <c r="B220" s="63"/>
      <c r="C220" s="102" t="s">
        <v>287</v>
      </c>
      <c r="D220" s="90" t="s">
        <v>288</v>
      </c>
      <c r="E220" s="89" t="s">
        <v>289</v>
      </c>
      <c r="F220" s="102">
        <v>250</v>
      </c>
      <c r="G220" s="63">
        <v>6700</v>
      </c>
      <c r="H220" s="63">
        <f t="shared" si="31"/>
        <v>1675000</v>
      </c>
      <c r="I220" s="102"/>
      <c r="J220" s="63">
        <f t="shared" si="32"/>
        <v>0</v>
      </c>
      <c r="K220" s="102"/>
      <c r="L220" s="63">
        <f t="shared" si="35"/>
        <v>0</v>
      </c>
      <c r="M220" s="63">
        <f t="shared" si="33"/>
        <v>6700</v>
      </c>
      <c r="N220" s="58">
        <f t="shared" si="34"/>
        <v>1675000</v>
      </c>
      <c r="O220" s="112"/>
    </row>
    <row r="221" spans="1:15" ht="30" customHeight="1">
      <c r="A221" s="63"/>
      <c r="B221" s="63"/>
      <c r="C221" s="126" t="s">
        <v>290</v>
      </c>
      <c r="D221" s="63"/>
      <c r="E221" s="112" t="s">
        <v>136</v>
      </c>
      <c r="F221" s="63">
        <v>8</v>
      </c>
      <c r="G221" s="63">
        <v>58300</v>
      </c>
      <c r="H221" s="63">
        <f t="shared" si="31"/>
        <v>466400</v>
      </c>
      <c r="I221" s="102"/>
      <c r="J221" s="63">
        <f t="shared" si="32"/>
        <v>0</v>
      </c>
      <c r="K221" s="102"/>
      <c r="L221" s="63">
        <f t="shared" si="35"/>
        <v>0</v>
      </c>
      <c r="M221" s="63">
        <f t="shared" si="33"/>
        <v>58300</v>
      </c>
      <c r="N221" s="58">
        <f t="shared" si="34"/>
        <v>466400</v>
      </c>
      <c r="O221" s="112"/>
    </row>
    <row r="222" spans="1:15" ht="30" customHeight="1">
      <c r="A222" s="63"/>
      <c r="B222" s="63"/>
      <c r="C222" s="91"/>
      <c r="D222" s="123"/>
      <c r="E222" s="99"/>
      <c r="F222" s="102"/>
      <c r="G222" s="63"/>
      <c r="H222" s="63"/>
      <c r="I222" s="102"/>
      <c r="J222" s="63"/>
      <c r="K222" s="102"/>
      <c r="L222" s="63"/>
      <c r="M222" s="63"/>
      <c r="N222" s="58"/>
      <c r="O222" s="112"/>
    </row>
    <row r="223" spans="1:15" ht="30" customHeight="1">
      <c r="A223" s="63"/>
      <c r="B223" s="63"/>
      <c r="C223" s="127"/>
      <c r="D223" s="128"/>
      <c r="E223" s="129"/>
      <c r="F223" s="130"/>
      <c r="G223" s="131"/>
      <c r="H223" s="131"/>
      <c r="I223" s="102"/>
      <c r="J223" s="131"/>
      <c r="K223" s="102"/>
      <c r="L223" s="131"/>
      <c r="M223" s="131"/>
      <c r="N223" s="132"/>
      <c r="O223" s="133"/>
    </row>
    <row r="224" spans="1:15" ht="30" customHeight="1">
      <c r="A224" s="63"/>
      <c r="B224" s="63"/>
      <c r="C224" s="127"/>
      <c r="D224" s="128"/>
      <c r="E224" s="129"/>
      <c r="F224" s="130"/>
      <c r="G224" s="131"/>
      <c r="H224" s="131"/>
      <c r="I224" s="102"/>
      <c r="J224" s="131"/>
      <c r="K224" s="102"/>
      <c r="L224" s="131"/>
      <c r="M224" s="131"/>
      <c r="N224" s="132"/>
      <c r="O224" s="133"/>
    </row>
    <row r="225" spans="1:15" ht="30" customHeight="1">
      <c r="A225" s="63"/>
      <c r="B225" s="63"/>
      <c r="C225" s="127"/>
      <c r="D225" s="128"/>
      <c r="E225" s="129"/>
      <c r="F225" s="130"/>
      <c r="G225" s="131"/>
      <c r="H225" s="131"/>
      <c r="I225" s="102"/>
      <c r="J225" s="131"/>
      <c r="K225" s="102"/>
      <c r="L225" s="131"/>
      <c r="M225" s="131"/>
      <c r="N225" s="132"/>
      <c r="O225" s="133"/>
    </row>
    <row r="226" spans="1:15" ht="30" customHeight="1">
      <c r="A226" s="63"/>
      <c r="B226" s="63"/>
      <c r="C226" s="127"/>
      <c r="D226" s="128"/>
      <c r="E226" s="129"/>
      <c r="F226" s="130"/>
      <c r="G226" s="131"/>
      <c r="H226" s="131"/>
      <c r="I226" s="102"/>
      <c r="J226" s="131"/>
      <c r="K226" s="102"/>
      <c r="L226" s="131"/>
      <c r="M226" s="131"/>
      <c r="N226" s="132"/>
      <c r="O226" s="133"/>
    </row>
    <row r="227" spans="1:15" ht="30" customHeight="1">
      <c r="A227" s="63"/>
      <c r="B227" s="63"/>
      <c r="C227" s="127"/>
      <c r="D227" s="128"/>
      <c r="E227" s="129"/>
      <c r="F227" s="130"/>
      <c r="G227" s="131"/>
      <c r="H227" s="131"/>
      <c r="I227" s="102"/>
      <c r="J227" s="131"/>
      <c r="K227" s="102"/>
      <c r="L227" s="131"/>
      <c r="M227" s="131"/>
      <c r="N227" s="132"/>
      <c r="O227" s="133"/>
    </row>
    <row r="228" spans="1:15" ht="30" customHeight="1">
      <c r="A228" s="63"/>
      <c r="B228" s="63"/>
      <c r="C228" s="127"/>
      <c r="D228" s="128"/>
      <c r="E228" s="129"/>
      <c r="F228" s="130"/>
      <c r="G228" s="131"/>
      <c r="H228" s="131"/>
      <c r="I228" s="102"/>
      <c r="J228" s="131"/>
      <c r="K228" s="102"/>
      <c r="L228" s="131"/>
      <c r="M228" s="131"/>
      <c r="N228" s="132"/>
      <c r="O228" s="133"/>
    </row>
    <row r="229" spans="1:15" ht="30" customHeight="1">
      <c r="A229" s="63"/>
      <c r="B229" s="63"/>
      <c r="C229" s="127"/>
      <c r="D229" s="128"/>
      <c r="E229" s="129"/>
      <c r="F229" s="130"/>
      <c r="G229" s="131"/>
      <c r="H229" s="131"/>
      <c r="I229" s="102"/>
      <c r="J229" s="131"/>
      <c r="K229" s="102"/>
      <c r="L229" s="131"/>
      <c r="M229" s="131"/>
      <c r="N229" s="132"/>
      <c r="O229" s="133"/>
    </row>
    <row r="230" spans="1:15" ht="30" customHeight="1">
      <c r="A230" s="63"/>
      <c r="B230" s="63"/>
      <c r="C230" s="127"/>
      <c r="D230" s="128"/>
      <c r="E230" s="129"/>
      <c r="F230" s="130"/>
      <c r="G230" s="131"/>
      <c r="H230" s="131"/>
      <c r="I230" s="102"/>
      <c r="J230" s="131"/>
      <c r="K230" s="102"/>
      <c r="L230" s="131"/>
      <c r="M230" s="131"/>
      <c r="N230" s="132"/>
      <c r="O230" s="133"/>
    </row>
    <row r="231" spans="1:15" ht="30" customHeight="1">
      <c r="A231" s="63"/>
      <c r="B231" s="63"/>
      <c r="C231" s="127"/>
      <c r="D231" s="128"/>
      <c r="E231" s="129"/>
      <c r="F231" s="130"/>
      <c r="G231" s="131"/>
      <c r="H231" s="131"/>
      <c r="I231" s="102"/>
      <c r="J231" s="131"/>
      <c r="K231" s="102"/>
      <c r="L231" s="131"/>
      <c r="M231" s="131"/>
      <c r="N231" s="132"/>
      <c r="O231" s="133"/>
    </row>
    <row r="232" spans="1:15" ht="30" customHeight="1">
      <c r="A232" s="63"/>
      <c r="B232" s="63"/>
      <c r="C232" s="127"/>
      <c r="D232" s="128"/>
      <c r="E232" s="129"/>
      <c r="F232" s="130"/>
      <c r="G232" s="131"/>
      <c r="H232" s="131"/>
      <c r="I232" s="102"/>
      <c r="J232" s="131"/>
      <c r="K232" s="102"/>
      <c r="L232" s="131"/>
      <c r="M232" s="131"/>
      <c r="N232" s="132"/>
      <c r="O232" s="133"/>
    </row>
    <row r="233" spans="1:15" ht="30" customHeight="1">
      <c r="A233" s="63"/>
      <c r="B233" s="63"/>
      <c r="C233" s="127"/>
      <c r="D233" s="128"/>
      <c r="E233" s="129"/>
      <c r="F233" s="130"/>
      <c r="G233" s="131"/>
      <c r="H233" s="131"/>
      <c r="I233" s="102"/>
      <c r="J233" s="131"/>
      <c r="K233" s="102"/>
      <c r="L233" s="131"/>
      <c r="M233" s="131"/>
      <c r="N233" s="132"/>
      <c r="O233" s="133"/>
    </row>
    <row r="234" spans="1:15" ht="30" customHeight="1">
      <c r="A234" s="63"/>
      <c r="B234" s="63"/>
      <c r="C234" s="127"/>
      <c r="D234" s="128"/>
      <c r="E234" s="129"/>
      <c r="F234" s="130"/>
      <c r="G234" s="131"/>
      <c r="H234" s="131"/>
      <c r="I234" s="102"/>
      <c r="J234" s="131"/>
      <c r="K234" s="102"/>
      <c r="L234" s="131"/>
      <c r="M234" s="131"/>
      <c r="N234" s="132"/>
      <c r="O234" s="133"/>
    </row>
    <row r="235" spans="1:15" ht="30" customHeight="1">
      <c r="A235" s="63"/>
      <c r="B235" s="63"/>
      <c r="C235" s="127"/>
      <c r="D235" s="128"/>
      <c r="E235" s="129"/>
      <c r="F235" s="130"/>
      <c r="G235" s="131"/>
      <c r="H235" s="131"/>
      <c r="I235" s="102"/>
      <c r="J235" s="131"/>
      <c r="K235" s="102"/>
      <c r="L235" s="131"/>
      <c r="M235" s="131"/>
      <c r="N235" s="132"/>
      <c r="O235" s="133"/>
    </row>
    <row r="236" spans="1:15" ht="30" customHeight="1">
      <c r="A236" s="63"/>
      <c r="B236" s="63"/>
      <c r="C236" s="127"/>
      <c r="D236" s="128"/>
      <c r="E236" s="129"/>
      <c r="F236" s="130"/>
      <c r="G236" s="131"/>
      <c r="H236" s="131"/>
      <c r="I236" s="102"/>
      <c r="J236" s="131"/>
      <c r="K236" s="102"/>
      <c r="L236" s="131"/>
      <c r="M236" s="131"/>
      <c r="N236" s="132"/>
      <c r="O236" s="133"/>
    </row>
    <row r="237" spans="1:15" ht="30" customHeight="1">
      <c r="A237" s="63"/>
      <c r="B237" s="63"/>
      <c r="C237" s="127"/>
      <c r="D237" s="128"/>
      <c r="E237" s="129"/>
      <c r="F237" s="130"/>
      <c r="G237" s="131"/>
      <c r="H237" s="131"/>
      <c r="I237" s="102"/>
      <c r="J237" s="131"/>
      <c r="K237" s="102"/>
      <c r="L237" s="131"/>
      <c r="M237" s="131"/>
      <c r="N237" s="132"/>
      <c r="O237" s="133"/>
    </row>
    <row r="238" spans="1:15" ht="30" customHeight="1">
      <c r="A238" s="63"/>
      <c r="B238" s="63"/>
      <c r="C238" s="127"/>
      <c r="D238" s="128"/>
      <c r="E238" s="129"/>
      <c r="F238" s="130"/>
      <c r="G238" s="131"/>
      <c r="H238" s="131"/>
      <c r="I238" s="102"/>
      <c r="J238" s="131"/>
      <c r="K238" s="102"/>
      <c r="L238" s="131"/>
      <c r="M238" s="131"/>
      <c r="N238" s="132"/>
      <c r="O238" s="133"/>
    </row>
    <row r="239" spans="1:15" ht="30" customHeight="1">
      <c r="A239" s="63"/>
      <c r="B239" s="63"/>
      <c r="C239" s="127"/>
      <c r="D239" s="128"/>
      <c r="E239" s="129"/>
      <c r="F239" s="130"/>
      <c r="G239" s="131"/>
      <c r="H239" s="131"/>
      <c r="I239" s="102"/>
      <c r="J239" s="131"/>
      <c r="K239" s="102"/>
      <c r="L239" s="131"/>
      <c r="M239" s="131"/>
      <c r="N239" s="132"/>
      <c r="O239" s="133"/>
    </row>
    <row r="240" spans="1:15" ht="30" customHeight="1">
      <c r="A240" s="63"/>
      <c r="B240" s="63"/>
      <c r="C240" s="127"/>
      <c r="D240" s="128"/>
      <c r="E240" s="129"/>
      <c r="F240" s="130"/>
      <c r="G240" s="131"/>
      <c r="H240" s="131"/>
      <c r="I240" s="102"/>
      <c r="J240" s="131"/>
      <c r="K240" s="102"/>
      <c r="L240" s="131"/>
      <c r="M240" s="131"/>
      <c r="N240" s="132"/>
      <c r="O240" s="133"/>
    </row>
    <row r="241" spans="1:15" ht="30" customHeight="1">
      <c r="A241" s="63"/>
      <c r="B241" s="63"/>
      <c r="C241" s="127"/>
      <c r="D241" s="128"/>
      <c r="E241" s="129"/>
      <c r="F241" s="130"/>
      <c r="G241" s="131"/>
      <c r="H241" s="131"/>
      <c r="I241" s="102"/>
      <c r="J241" s="131"/>
      <c r="K241" s="102"/>
      <c r="L241" s="131"/>
      <c r="M241" s="131"/>
      <c r="N241" s="132"/>
      <c r="O241" s="133"/>
    </row>
    <row r="242" spans="1:15" ht="30" customHeight="1">
      <c r="A242" s="63"/>
      <c r="B242" s="63"/>
      <c r="C242" s="91"/>
      <c r="D242" s="123"/>
      <c r="E242" s="99"/>
      <c r="F242" s="102"/>
      <c r="G242" s="63"/>
      <c r="H242" s="63"/>
      <c r="I242" s="102"/>
      <c r="J242" s="63"/>
      <c r="K242" s="102"/>
      <c r="L242" s="63"/>
      <c r="M242" s="63"/>
      <c r="N242" s="58"/>
      <c r="O242" s="112"/>
    </row>
    <row r="243" spans="1:15" ht="30" customHeight="1">
      <c r="A243" s="63" t="s">
        <v>240</v>
      </c>
      <c r="B243" s="63" t="s">
        <v>291</v>
      </c>
      <c r="C243" s="100" t="s">
        <v>119</v>
      </c>
      <c r="D243" s="63"/>
      <c r="E243" s="112"/>
      <c r="F243" s="63"/>
      <c r="G243" s="63"/>
      <c r="H243" s="63">
        <f>SUM(H197:H242)</f>
        <v>19659600</v>
      </c>
      <c r="I243" s="63"/>
      <c r="J243" s="63">
        <f>SUM(J197:J242)</f>
        <v>22843200</v>
      </c>
      <c r="K243" s="63"/>
      <c r="L243" s="63">
        <f>SUM(L197:L242)</f>
        <v>0</v>
      </c>
      <c r="M243" s="63"/>
      <c r="N243" s="104">
        <f>+H243+J243+L243</f>
        <v>42502800</v>
      </c>
      <c r="O243" s="99"/>
    </row>
    <row r="244" spans="1:15" ht="30" customHeight="1">
      <c r="A244" s="63"/>
      <c r="B244" s="63"/>
      <c r="C244" s="77" t="s">
        <v>292</v>
      </c>
      <c r="D244" s="77"/>
      <c r="E244" s="78"/>
      <c r="F244" s="77"/>
      <c r="G244" s="77"/>
      <c r="H244" s="77"/>
      <c r="I244" s="77"/>
      <c r="J244" s="77"/>
      <c r="K244" s="77"/>
      <c r="L244" s="77"/>
      <c r="M244" s="77"/>
      <c r="N244" s="77"/>
      <c r="O244" s="78"/>
    </row>
    <row r="245" spans="1:15" ht="30" customHeight="1">
      <c r="A245" s="63"/>
      <c r="B245" s="63"/>
      <c r="C245" s="63" t="s">
        <v>293</v>
      </c>
      <c r="D245" s="117" t="s">
        <v>294</v>
      </c>
      <c r="E245" s="112" t="s">
        <v>82</v>
      </c>
      <c r="F245" s="63">
        <v>799</v>
      </c>
      <c r="G245" s="63">
        <v>43300</v>
      </c>
      <c r="H245" s="68">
        <f t="shared" ref="H245:H250" si="36">F245*G245</f>
        <v>34596700</v>
      </c>
      <c r="I245" s="68">
        <v>37500</v>
      </c>
      <c r="J245" s="68">
        <f t="shared" ref="J245:J250" si="37">F245*I245</f>
        <v>29962500</v>
      </c>
      <c r="K245" s="68">
        <v>12500</v>
      </c>
      <c r="L245" s="63">
        <f t="shared" ref="L245:L250" si="38">F245*K245</f>
        <v>9987500</v>
      </c>
      <c r="M245" s="68">
        <f t="shared" ref="M245:N250" si="39">+G245+I245+K245</f>
        <v>93300</v>
      </c>
      <c r="N245" s="58">
        <f t="shared" si="39"/>
        <v>74546700</v>
      </c>
      <c r="O245" s="99"/>
    </row>
    <row r="246" spans="1:15" ht="30" customHeight="1">
      <c r="A246" s="63"/>
      <c r="B246" s="63"/>
      <c r="C246" s="63" t="s">
        <v>295</v>
      </c>
      <c r="D246" s="63" t="s">
        <v>296</v>
      </c>
      <c r="E246" s="112" t="s">
        <v>124</v>
      </c>
      <c r="F246" s="63">
        <v>132</v>
      </c>
      <c r="G246" s="63">
        <v>13300</v>
      </c>
      <c r="H246" s="68">
        <f t="shared" si="36"/>
        <v>1755600</v>
      </c>
      <c r="I246" s="68">
        <v>14200</v>
      </c>
      <c r="J246" s="68">
        <f t="shared" si="37"/>
        <v>1874400</v>
      </c>
      <c r="K246" s="68">
        <v>5800</v>
      </c>
      <c r="L246" s="63">
        <f t="shared" si="38"/>
        <v>765600</v>
      </c>
      <c r="M246" s="68">
        <f t="shared" si="39"/>
        <v>33300</v>
      </c>
      <c r="N246" s="58">
        <f t="shared" si="39"/>
        <v>4395600</v>
      </c>
      <c r="O246" s="99"/>
    </row>
    <row r="247" spans="1:15" ht="28.5" customHeight="1">
      <c r="A247" s="63"/>
      <c r="B247" s="63"/>
      <c r="C247" s="63" t="s">
        <v>297</v>
      </c>
      <c r="D247" s="63" t="s">
        <v>298</v>
      </c>
      <c r="E247" s="112" t="s">
        <v>124</v>
      </c>
      <c r="F247" s="63">
        <v>132</v>
      </c>
      <c r="G247" s="63">
        <v>8300</v>
      </c>
      <c r="H247" s="68">
        <f t="shared" si="36"/>
        <v>1095600</v>
      </c>
      <c r="I247" s="68">
        <v>14200</v>
      </c>
      <c r="J247" s="68">
        <f t="shared" si="37"/>
        <v>1874400</v>
      </c>
      <c r="K247" s="68">
        <v>5800</v>
      </c>
      <c r="L247" s="63">
        <f t="shared" si="38"/>
        <v>765600</v>
      </c>
      <c r="M247" s="68">
        <f t="shared" si="39"/>
        <v>28300</v>
      </c>
      <c r="N247" s="58">
        <f t="shared" si="39"/>
        <v>3735600</v>
      </c>
      <c r="O247" s="99"/>
    </row>
    <row r="248" spans="1:15" ht="30" customHeight="1">
      <c r="A248" s="63"/>
      <c r="B248" s="63"/>
      <c r="C248" s="63" t="s">
        <v>299</v>
      </c>
      <c r="D248" s="117" t="s">
        <v>300</v>
      </c>
      <c r="E248" s="112" t="s">
        <v>82</v>
      </c>
      <c r="F248" s="63">
        <v>60</v>
      </c>
      <c r="G248" s="63">
        <v>43300</v>
      </c>
      <c r="H248" s="63">
        <f t="shared" si="36"/>
        <v>2598000</v>
      </c>
      <c r="I248" s="63">
        <v>37500</v>
      </c>
      <c r="J248" s="63">
        <f t="shared" si="37"/>
        <v>2250000</v>
      </c>
      <c r="K248" s="63">
        <v>12500</v>
      </c>
      <c r="L248" s="63">
        <f t="shared" si="38"/>
        <v>750000</v>
      </c>
      <c r="M248" s="63">
        <f t="shared" si="39"/>
        <v>93300</v>
      </c>
      <c r="N248" s="58">
        <f t="shared" si="39"/>
        <v>5598000</v>
      </c>
      <c r="O248" s="99"/>
    </row>
    <row r="249" spans="1:15" ht="30" customHeight="1">
      <c r="A249" s="63"/>
      <c r="B249" s="63"/>
      <c r="C249" s="63" t="s">
        <v>301</v>
      </c>
      <c r="D249" s="117" t="s">
        <v>302</v>
      </c>
      <c r="E249" s="112" t="s">
        <v>82</v>
      </c>
      <c r="F249" s="63">
        <v>31</v>
      </c>
      <c r="G249" s="63">
        <v>37500</v>
      </c>
      <c r="H249" s="63">
        <f t="shared" si="36"/>
        <v>1162500</v>
      </c>
      <c r="I249" s="63">
        <v>31600</v>
      </c>
      <c r="J249" s="63">
        <f t="shared" si="37"/>
        <v>979600</v>
      </c>
      <c r="K249" s="63">
        <v>8300</v>
      </c>
      <c r="L249" s="63">
        <f t="shared" si="38"/>
        <v>257300</v>
      </c>
      <c r="M249" s="63">
        <f t="shared" si="39"/>
        <v>77400</v>
      </c>
      <c r="N249" s="58">
        <f t="shared" si="39"/>
        <v>2399400</v>
      </c>
      <c r="O249" s="83"/>
    </row>
    <row r="250" spans="1:15" ht="30" customHeight="1">
      <c r="A250" s="63"/>
      <c r="B250" s="63"/>
      <c r="C250" s="102" t="s">
        <v>287</v>
      </c>
      <c r="D250" s="90" t="s">
        <v>288</v>
      </c>
      <c r="E250" s="89" t="s">
        <v>289</v>
      </c>
      <c r="F250" s="63">
        <v>350</v>
      </c>
      <c r="G250" s="63">
        <v>6700</v>
      </c>
      <c r="H250" s="63">
        <f t="shared" si="36"/>
        <v>2345000</v>
      </c>
      <c r="I250" s="63"/>
      <c r="J250" s="63">
        <f t="shared" si="37"/>
        <v>0</v>
      </c>
      <c r="K250" s="63"/>
      <c r="L250" s="63">
        <f t="shared" si="38"/>
        <v>0</v>
      </c>
      <c r="M250" s="63">
        <f t="shared" si="39"/>
        <v>6700</v>
      </c>
      <c r="N250" s="58">
        <f t="shared" si="39"/>
        <v>2345000</v>
      </c>
      <c r="O250" s="99"/>
    </row>
    <row r="251" spans="1:15" ht="30" customHeight="1">
      <c r="A251" s="63"/>
      <c r="B251" s="63"/>
      <c r="C251" s="126" t="s">
        <v>290</v>
      </c>
      <c r="D251" s="63"/>
      <c r="E251" s="112" t="s">
        <v>136</v>
      </c>
      <c r="F251" s="63">
        <v>4</v>
      </c>
      <c r="G251" s="63">
        <v>58300</v>
      </c>
      <c r="H251" s="63">
        <f>TRUNC(F251*G251,0)</f>
        <v>233200</v>
      </c>
      <c r="I251" s="102"/>
      <c r="J251" s="63">
        <f>TRUNC(F251*I251,0)</f>
        <v>0</v>
      </c>
      <c r="K251" s="102"/>
      <c r="L251" s="63">
        <f>TRUNC(F251*K251,0)</f>
        <v>0</v>
      </c>
      <c r="M251" s="63">
        <f>K251+I251+G251</f>
        <v>58300</v>
      </c>
      <c r="N251" s="58">
        <f>+H251+J251+L251</f>
        <v>233200</v>
      </c>
      <c r="O251" s="99"/>
    </row>
    <row r="252" spans="1:15" ht="30" customHeight="1">
      <c r="A252" s="63"/>
      <c r="B252" s="63"/>
      <c r="C252" s="100"/>
      <c r="D252" s="63"/>
      <c r="E252" s="112"/>
      <c r="F252" s="63"/>
      <c r="G252" s="63"/>
      <c r="H252" s="63"/>
      <c r="I252" s="63"/>
      <c r="J252" s="63"/>
      <c r="K252" s="63"/>
      <c r="L252" s="63"/>
      <c r="M252" s="63"/>
      <c r="N252" s="104"/>
      <c r="O252" s="99"/>
    </row>
    <row r="253" spans="1:15" ht="30" customHeight="1">
      <c r="A253" s="63"/>
      <c r="B253" s="63"/>
      <c r="C253" s="100"/>
      <c r="D253" s="63"/>
      <c r="E253" s="112"/>
      <c r="F253" s="63"/>
      <c r="G253" s="63"/>
      <c r="H253" s="63"/>
      <c r="I253" s="63"/>
      <c r="J253" s="63"/>
      <c r="K253" s="63"/>
      <c r="L253" s="63"/>
      <c r="M253" s="63"/>
      <c r="N253" s="104"/>
      <c r="O253" s="99"/>
    </row>
    <row r="254" spans="1:15" ht="30" customHeight="1">
      <c r="A254" s="63"/>
      <c r="B254" s="63"/>
      <c r="C254" s="100"/>
      <c r="D254" s="63"/>
      <c r="E254" s="112"/>
      <c r="F254" s="63"/>
      <c r="G254" s="63"/>
      <c r="H254" s="63"/>
      <c r="I254" s="63"/>
      <c r="J254" s="63"/>
      <c r="K254" s="63"/>
      <c r="L254" s="63"/>
      <c r="M254" s="63"/>
      <c r="N254" s="104"/>
      <c r="O254" s="99"/>
    </row>
    <row r="255" spans="1:15" ht="30" customHeight="1">
      <c r="A255" s="63"/>
      <c r="B255" s="63"/>
      <c r="C255" s="100"/>
      <c r="D255" s="63"/>
      <c r="E255" s="112"/>
      <c r="F255" s="63"/>
      <c r="G255" s="63"/>
      <c r="H255" s="63"/>
      <c r="I255" s="63"/>
      <c r="J255" s="63"/>
      <c r="K255" s="63"/>
      <c r="L255" s="63"/>
      <c r="M255" s="63"/>
      <c r="N255" s="104"/>
      <c r="O255" s="99"/>
    </row>
    <row r="256" spans="1:15" ht="30" customHeight="1">
      <c r="A256" s="63"/>
      <c r="B256" s="63"/>
      <c r="C256" s="100"/>
      <c r="D256" s="63"/>
      <c r="E256" s="112"/>
      <c r="F256" s="63"/>
      <c r="G256" s="63"/>
      <c r="H256" s="63"/>
      <c r="I256" s="63"/>
      <c r="J256" s="63"/>
      <c r="K256" s="63"/>
      <c r="L256" s="63"/>
      <c r="M256" s="63"/>
      <c r="N256" s="104"/>
      <c r="O256" s="99"/>
    </row>
    <row r="257" spans="1:15" ht="30" customHeight="1">
      <c r="A257" s="63"/>
      <c r="B257" s="63"/>
      <c r="C257" s="100"/>
      <c r="D257" s="63"/>
      <c r="E257" s="112"/>
      <c r="F257" s="63"/>
      <c r="G257" s="63"/>
      <c r="H257" s="63"/>
      <c r="I257" s="63"/>
      <c r="J257" s="63"/>
      <c r="K257" s="63"/>
      <c r="L257" s="63"/>
      <c r="M257" s="63"/>
      <c r="N257" s="104"/>
      <c r="O257" s="99"/>
    </row>
    <row r="258" spans="1:15" ht="30" customHeight="1">
      <c r="A258" s="63"/>
      <c r="B258" s="63"/>
      <c r="C258" s="100"/>
      <c r="D258" s="63"/>
      <c r="E258" s="112"/>
      <c r="F258" s="63"/>
      <c r="G258" s="63"/>
      <c r="H258" s="63"/>
      <c r="I258" s="63"/>
      <c r="J258" s="63"/>
      <c r="K258" s="63"/>
      <c r="L258" s="63"/>
      <c r="M258" s="63"/>
      <c r="N258" s="104"/>
      <c r="O258" s="99"/>
    </row>
    <row r="259" spans="1:15" ht="30" customHeight="1">
      <c r="A259" s="63"/>
      <c r="B259" s="63"/>
      <c r="C259" s="100"/>
      <c r="D259" s="63"/>
      <c r="E259" s="112"/>
      <c r="F259" s="63"/>
      <c r="G259" s="63"/>
      <c r="H259" s="63"/>
      <c r="I259" s="63"/>
      <c r="J259" s="63"/>
      <c r="K259" s="63"/>
      <c r="L259" s="63"/>
      <c r="M259" s="63"/>
      <c r="N259" s="104"/>
      <c r="O259" s="99"/>
    </row>
    <row r="260" spans="1:15" ht="30" customHeight="1">
      <c r="A260" s="63"/>
      <c r="B260" s="63"/>
      <c r="C260" s="100"/>
      <c r="D260" s="63"/>
      <c r="E260" s="112"/>
      <c r="F260" s="63"/>
      <c r="G260" s="63"/>
      <c r="H260" s="63"/>
      <c r="I260" s="63"/>
      <c r="J260" s="63"/>
      <c r="K260" s="63"/>
      <c r="L260" s="63"/>
      <c r="M260" s="63"/>
      <c r="N260" s="104"/>
      <c r="O260" s="99"/>
    </row>
    <row r="261" spans="1:15" ht="30" customHeight="1">
      <c r="A261" s="63"/>
      <c r="B261" s="63"/>
      <c r="C261" s="100"/>
      <c r="D261" s="63"/>
      <c r="E261" s="112"/>
      <c r="F261" s="63"/>
      <c r="G261" s="63"/>
      <c r="H261" s="63"/>
      <c r="I261" s="63"/>
      <c r="J261" s="63"/>
      <c r="K261" s="63"/>
      <c r="L261" s="63"/>
      <c r="M261" s="63"/>
      <c r="N261" s="104"/>
      <c r="O261" s="99"/>
    </row>
    <row r="262" spans="1:15" ht="30" customHeight="1">
      <c r="A262" s="63"/>
      <c r="B262" s="63"/>
      <c r="C262" s="100"/>
      <c r="D262" s="63"/>
      <c r="E262" s="112"/>
      <c r="F262" s="63"/>
      <c r="G262" s="63"/>
      <c r="H262" s="63"/>
      <c r="I262" s="63"/>
      <c r="J262" s="63"/>
      <c r="K262" s="63"/>
      <c r="L262" s="63"/>
      <c r="M262" s="63"/>
      <c r="N262" s="104"/>
      <c r="O262" s="99"/>
    </row>
    <row r="263" spans="1:15" ht="30" customHeight="1">
      <c r="A263" s="63"/>
      <c r="B263" s="63"/>
      <c r="C263" s="100"/>
      <c r="D263" s="63"/>
      <c r="E263" s="112"/>
      <c r="F263" s="63"/>
      <c r="G263" s="63"/>
      <c r="H263" s="63"/>
      <c r="I263" s="63"/>
      <c r="J263" s="63"/>
      <c r="K263" s="63"/>
      <c r="L263" s="63"/>
      <c r="M263" s="63"/>
      <c r="N263" s="104"/>
      <c r="O263" s="99"/>
    </row>
    <row r="264" spans="1:15" ht="30" customHeight="1">
      <c r="A264" s="63"/>
      <c r="B264" s="63"/>
      <c r="C264" s="100"/>
      <c r="D264" s="63"/>
      <c r="E264" s="112"/>
      <c r="F264" s="63"/>
      <c r="G264" s="63"/>
      <c r="H264" s="63"/>
      <c r="I264" s="63"/>
      <c r="J264" s="63"/>
      <c r="K264" s="63"/>
      <c r="L264" s="63"/>
      <c r="M264" s="63"/>
      <c r="N264" s="104"/>
      <c r="O264" s="99"/>
    </row>
    <row r="265" spans="1:15" ht="30" customHeight="1">
      <c r="A265" s="63"/>
      <c r="B265" s="63"/>
      <c r="C265" s="100"/>
      <c r="D265" s="63"/>
      <c r="E265" s="112"/>
      <c r="F265" s="63"/>
      <c r="G265" s="63"/>
      <c r="H265" s="63"/>
      <c r="I265" s="63"/>
      <c r="J265" s="63"/>
      <c r="K265" s="63"/>
      <c r="L265" s="63"/>
      <c r="M265" s="63"/>
      <c r="N265" s="104"/>
      <c r="O265" s="99"/>
    </row>
    <row r="266" spans="1:15" ht="30" customHeight="1">
      <c r="A266" s="63"/>
      <c r="B266" s="63"/>
      <c r="C266" s="100"/>
      <c r="D266" s="63"/>
      <c r="E266" s="112"/>
      <c r="F266" s="63"/>
      <c r="G266" s="63"/>
      <c r="H266" s="63"/>
      <c r="I266" s="63"/>
      <c r="J266" s="63"/>
      <c r="K266" s="63"/>
      <c r="L266" s="63"/>
      <c r="M266" s="63"/>
      <c r="N266" s="104"/>
      <c r="O266" s="99"/>
    </row>
    <row r="267" spans="1:15" ht="30" customHeight="1">
      <c r="A267" s="63"/>
      <c r="B267" s="63"/>
      <c r="C267" s="100" t="s">
        <v>119</v>
      </c>
      <c r="D267" s="63"/>
      <c r="E267" s="112"/>
      <c r="F267" s="63"/>
      <c r="G267" s="63"/>
      <c r="H267" s="63">
        <f>SUM(H245:H266)</f>
        <v>43786600</v>
      </c>
      <c r="I267" s="63"/>
      <c r="J267" s="63">
        <f>SUM(J245:J266)</f>
        <v>36940900</v>
      </c>
      <c r="K267" s="63"/>
      <c r="L267" s="63">
        <f>SUM(L245:L266)</f>
        <v>12526000</v>
      </c>
      <c r="M267" s="63"/>
      <c r="N267" s="104">
        <f>+H267+J267+L267</f>
        <v>93253500</v>
      </c>
      <c r="O267" s="99"/>
    </row>
    <row r="268" spans="1:15" ht="30" customHeight="1">
      <c r="A268" s="63"/>
      <c r="B268" s="63"/>
      <c r="C268" s="134" t="s">
        <v>303</v>
      </c>
      <c r="D268" s="135"/>
      <c r="E268" s="136"/>
      <c r="F268" s="135"/>
      <c r="G268" s="77"/>
      <c r="H268" s="77"/>
      <c r="I268" s="77"/>
      <c r="J268" s="77"/>
      <c r="K268" s="77"/>
      <c r="L268" s="77"/>
      <c r="M268" s="77"/>
      <c r="N268" s="77"/>
      <c r="O268" s="78"/>
    </row>
    <row r="269" spans="1:15" ht="30" customHeight="1">
      <c r="A269" s="63"/>
      <c r="B269" s="63"/>
      <c r="C269" s="137" t="s">
        <v>304</v>
      </c>
      <c r="D269" s="61" t="s">
        <v>305</v>
      </c>
      <c r="E269" s="138" t="s">
        <v>124</v>
      </c>
      <c r="F269" s="139">
        <v>50</v>
      </c>
      <c r="G269" s="140">
        <v>26600</v>
      </c>
      <c r="H269" s="141">
        <f t="shared" ref="H269:H287" si="40">F269*G269</f>
        <v>1330000</v>
      </c>
      <c r="I269" s="142">
        <v>15000</v>
      </c>
      <c r="J269" s="141">
        <f t="shared" ref="J269:J287" si="41">F269*I269</f>
        <v>750000</v>
      </c>
      <c r="K269" s="142">
        <v>1600</v>
      </c>
      <c r="L269" s="141">
        <f t="shared" ref="L269:L287" si="42">F269*K269</f>
        <v>80000</v>
      </c>
      <c r="M269" s="141">
        <f t="shared" ref="M269:M287" si="43">G269+I269+K269</f>
        <v>43200</v>
      </c>
      <c r="N269" s="143">
        <f t="shared" ref="N269:N287" si="44">F269*M269</f>
        <v>2160000</v>
      </c>
      <c r="O269" s="83"/>
    </row>
    <row r="270" spans="1:15" ht="30" customHeight="1">
      <c r="A270" s="63"/>
      <c r="B270" s="63"/>
      <c r="C270" s="137" t="s">
        <v>306</v>
      </c>
      <c r="D270" s="61" t="s">
        <v>307</v>
      </c>
      <c r="E270" s="138" t="s">
        <v>77</v>
      </c>
      <c r="F270" s="139">
        <v>2</v>
      </c>
      <c r="G270" s="140">
        <v>62400</v>
      </c>
      <c r="H270" s="141">
        <f t="shared" si="40"/>
        <v>124800</v>
      </c>
      <c r="I270" s="142">
        <v>20800</v>
      </c>
      <c r="J270" s="141">
        <f t="shared" si="41"/>
        <v>41600</v>
      </c>
      <c r="K270" s="142"/>
      <c r="L270" s="141">
        <f t="shared" si="42"/>
        <v>0</v>
      </c>
      <c r="M270" s="141">
        <f t="shared" si="43"/>
        <v>83200</v>
      </c>
      <c r="N270" s="143">
        <f t="shared" si="44"/>
        <v>166400</v>
      </c>
      <c r="O270" s="83"/>
    </row>
    <row r="271" spans="1:15" ht="30" customHeight="1">
      <c r="A271" s="63"/>
      <c r="B271" s="63"/>
      <c r="C271" s="137" t="s">
        <v>308</v>
      </c>
      <c r="D271" s="137" t="s">
        <v>309</v>
      </c>
      <c r="E271" s="62" t="s">
        <v>122</v>
      </c>
      <c r="F271" s="139">
        <v>3</v>
      </c>
      <c r="G271" s="140">
        <v>23300</v>
      </c>
      <c r="H271" s="141">
        <f t="shared" si="40"/>
        <v>69900</v>
      </c>
      <c r="I271" s="142">
        <v>12500</v>
      </c>
      <c r="J271" s="141">
        <f t="shared" si="41"/>
        <v>37500</v>
      </c>
      <c r="K271" s="142"/>
      <c r="L271" s="141">
        <f t="shared" si="42"/>
        <v>0</v>
      </c>
      <c r="M271" s="141">
        <f t="shared" si="43"/>
        <v>35800</v>
      </c>
      <c r="N271" s="143">
        <f t="shared" si="44"/>
        <v>107400</v>
      </c>
      <c r="O271" s="83"/>
    </row>
    <row r="272" spans="1:15" ht="30" customHeight="1">
      <c r="A272" s="63"/>
      <c r="B272" s="63"/>
      <c r="C272" s="137" t="s">
        <v>308</v>
      </c>
      <c r="D272" s="61" t="s">
        <v>310</v>
      </c>
      <c r="E272" s="62" t="s">
        <v>122</v>
      </c>
      <c r="F272" s="139">
        <v>3</v>
      </c>
      <c r="G272" s="140">
        <v>25000</v>
      </c>
      <c r="H272" s="141">
        <f t="shared" si="40"/>
        <v>75000</v>
      </c>
      <c r="I272" s="142">
        <v>12500</v>
      </c>
      <c r="J272" s="141">
        <f t="shared" si="41"/>
        <v>37500</v>
      </c>
      <c r="K272" s="142"/>
      <c r="L272" s="141">
        <f t="shared" si="42"/>
        <v>0</v>
      </c>
      <c r="M272" s="141">
        <f t="shared" si="43"/>
        <v>37500</v>
      </c>
      <c r="N272" s="143">
        <f t="shared" si="44"/>
        <v>112500</v>
      </c>
      <c r="O272" s="83"/>
    </row>
    <row r="273" spans="1:15" ht="30" customHeight="1">
      <c r="A273" s="63"/>
      <c r="B273" s="63"/>
      <c r="C273" s="137" t="s">
        <v>311</v>
      </c>
      <c r="D273" s="61" t="s">
        <v>312</v>
      </c>
      <c r="E273" s="138" t="s">
        <v>124</v>
      </c>
      <c r="F273" s="139">
        <v>7</v>
      </c>
      <c r="G273" s="140">
        <v>31600</v>
      </c>
      <c r="H273" s="141">
        <f t="shared" si="40"/>
        <v>221200</v>
      </c>
      <c r="I273" s="142">
        <v>11700</v>
      </c>
      <c r="J273" s="141">
        <f t="shared" si="41"/>
        <v>81900</v>
      </c>
      <c r="K273" s="142"/>
      <c r="L273" s="141">
        <f t="shared" si="42"/>
        <v>0</v>
      </c>
      <c r="M273" s="141">
        <f t="shared" si="43"/>
        <v>43300</v>
      </c>
      <c r="N273" s="143">
        <f t="shared" si="44"/>
        <v>303100</v>
      </c>
      <c r="O273" s="83"/>
    </row>
    <row r="274" spans="1:15" ht="30" customHeight="1">
      <c r="A274" s="63"/>
      <c r="B274" s="63"/>
      <c r="C274" s="137" t="s">
        <v>311</v>
      </c>
      <c r="D274" s="61" t="s">
        <v>313</v>
      </c>
      <c r="E274" s="138" t="s">
        <v>124</v>
      </c>
      <c r="F274" s="139">
        <v>11</v>
      </c>
      <c r="G274" s="140">
        <v>43300</v>
      </c>
      <c r="H274" s="141">
        <f t="shared" si="40"/>
        <v>476300</v>
      </c>
      <c r="I274" s="142">
        <v>13300</v>
      </c>
      <c r="J274" s="141">
        <f t="shared" si="41"/>
        <v>146300</v>
      </c>
      <c r="K274" s="142"/>
      <c r="L274" s="141">
        <f t="shared" si="42"/>
        <v>0</v>
      </c>
      <c r="M274" s="141">
        <f t="shared" si="43"/>
        <v>56600</v>
      </c>
      <c r="N274" s="143">
        <f t="shared" si="44"/>
        <v>622600</v>
      </c>
      <c r="O274" s="83"/>
    </row>
    <row r="275" spans="1:15" ht="30" customHeight="1">
      <c r="A275" s="63"/>
      <c r="B275" s="63"/>
      <c r="C275" s="137" t="s">
        <v>314</v>
      </c>
      <c r="D275" s="61" t="s">
        <v>315</v>
      </c>
      <c r="E275" s="138" t="s">
        <v>124</v>
      </c>
      <c r="F275" s="139">
        <v>63</v>
      </c>
      <c r="G275" s="140">
        <v>59400</v>
      </c>
      <c r="H275" s="141">
        <f t="shared" si="40"/>
        <v>3742200</v>
      </c>
      <c r="I275" s="142">
        <v>50000</v>
      </c>
      <c r="J275" s="141">
        <f t="shared" si="41"/>
        <v>3150000</v>
      </c>
      <c r="K275" s="142">
        <v>5300</v>
      </c>
      <c r="L275" s="141">
        <f t="shared" si="42"/>
        <v>333900</v>
      </c>
      <c r="M275" s="141">
        <f t="shared" si="43"/>
        <v>114700</v>
      </c>
      <c r="N275" s="143">
        <f t="shared" si="44"/>
        <v>7226100</v>
      </c>
      <c r="O275" s="99"/>
    </row>
    <row r="276" spans="1:15" ht="30" customHeight="1">
      <c r="A276" s="63"/>
      <c r="B276" s="63"/>
      <c r="C276" s="137" t="s">
        <v>316</v>
      </c>
      <c r="D276" s="61" t="s">
        <v>317</v>
      </c>
      <c r="E276" s="138" t="s">
        <v>124</v>
      </c>
      <c r="F276" s="139">
        <v>16</v>
      </c>
      <c r="G276" s="140">
        <v>65600</v>
      </c>
      <c r="H276" s="141">
        <f t="shared" si="40"/>
        <v>1049600</v>
      </c>
      <c r="I276" s="142">
        <v>58300</v>
      </c>
      <c r="J276" s="141">
        <f t="shared" si="41"/>
        <v>932800</v>
      </c>
      <c r="K276" s="142">
        <v>6000</v>
      </c>
      <c r="L276" s="141">
        <f t="shared" si="42"/>
        <v>96000</v>
      </c>
      <c r="M276" s="141">
        <f t="shared" si="43"/>
        <v>129900</v>
      </c>
      <c r="N276" s="143">
        <f t="shared" si="44"/>
        <v>2078400</v>
      </c>
      <c r="O276" s="99"/>
    </row>
    <row r="277" spans="1:15" ht="30" customHeight="1">
      <c r="A277" s="63"/>
      <c r="B277" s="63"/>
      <c r="C277" s="137" t="s">
        <v>318</v>
      </c>
      <c r="D277" s="137" t="s">
        <v>319</v>
      </c>
      <c r="E277" s="138" t="s">
        <v>124</v>
      </c>
      <c r="F277" s="139">
        <v>22</v>
      </c>
      <c r="G277" s="140">
        <v>7500</v>
      </c>
      <c r="H277" s="141">
        <f t="shared" si="40"/>
        <v>165000</v>
      </c>
      <c r="I277" s="142">
        <v>5000</v>
      </c>
      <c r="J277" s="141">
        <f t="shared" si="41"/>
        <v>110000</v>
      </c>
      <c r="K277" s="142"/>
      <c r="L277" s="141">
        <f t="shared" si="42"/>
        <v>0</v>
      </c>
      <c r="M277" s="141">
        <f t="shared" si="43"/>
        <v>12500</v>
      </c>
      <c r="N277" s="143">
        <f t="shared" si="44"/>
        <v>275000</v>
      </c>
      <c r="O277" s="83"/>
    </row>
    <row r="278" spans="1:15" ht="30" customHeight="1">
      <c r="A278" s="63"/>
      <c r="B278" s="63"/>
      <c r="C278" s="144" t="s">
        <v>320</v>
      </c>
      <c r="D278" s="66" t="s">
        <v>321</v>
      </c>
      <c r="E278" s="145" t="s">
        <v>124</v>
      </c>
      <c r="F278" s="146">
        <v>44</v>
      </c>
      <c r="G278" s="147">
        <v>10000</v>
      </c>
      <c r="H278" s="148">
        <f t="shared" si="40"/>
        <v>440000</v>
      </c>
      <c r="I278" s="149">
        <v>5800</v>
      </c>
      <c r="J278" s="148">
        <f t="shared" si="41"/>
        <v>255200</v>
      </c>
      <c r="K278" s="149"/>
      <c r="L278" s="148">
        <f t="shared" si="42"/>
        <v>0</v>
      </c>
      <c r="M278" s="148">
        <f t="shared" si="43"/>
        <v>15800</v>
      </c>
      <c r="N278" s="150">
        <f t="shared" si="44"/>
        <v>695200</v>
      </c>
      <c r="O278" s="83"/>
    </row>
    <row r="279" spans="1:15" ht="30" customHeight="1">
      <c r="A279" s="63"/>
      <c r="B279" s="63"/>
      <c r="C279" s="137" t="s">
        <v>322</v>
      </c>
      <c r="D279" s="61" t="s">
        <v>323</v>
      </c>
      <c r="E279" s="62" t="s">
        <v>122</v>
      </c>
      <c r="F279" s="139">
        <v>1</v>
      </c>
      <c r="G279" s="140">
        <v>79100</v>
      </c>
      <c r="H279" s="141">
        <f t="shared" si="40"/>
        <v>79100</v>
      </c>
      <c r="I279" s="142">
        <v>33300</v>
      </c>
      <c r="J279" s="141">
        <f t="shared" si="41"/>
        <v>33300</v>
      </c>
      <c r="K279" s="142"/>
      <c r="L279" s="141">
        <f t="shared" si="42"/>
        <v>0</v>
      </c>
      <c r="M279" s="141">
        <f t="shared" si="43"/>
        <v>112400</v>
      </c>
      <c r="N279" s="143">
        <f t="shared" si="44"/>
        <v>112400</v>
      </c>
      <c r="O279" s="83"/>
    </row>
    <row r="280" spans="1:15" ht="30" customHeight="1">
      <c r="A280" s="63"/>
      <c r="B280" s="63"/>
      <c r="C280" s="137" t="s">
        <v>324</v>
      </c>
      <c r="D280" s="61" t="s">
        <v>325</v>
      </c>
      <c r="E280" s="138" t="s">
        <v>124</v>
      </c>
      <c r="F280" s="139">
        <v>62</v>
      </c>
      <c r="G280" s="140">
        <v>15000</v>
      </c>
      <c r="H280" s="141">
        <f t="shared" si="40"/>
        <v>930000</v>
      </c>
      <c r="I280" s="142">
        <v>12500</v>
      </c>
      <c r="J280" s="141">
        <f t="shared" si="41"/>
        <v>775000</v>
      </c>
      <c r="K280" s="142"/>
      <c r="L280" s="141">
        <f t="shared" si="42"/>
        <v>0</v>
      </c>
      <c r="M280" s="141">
        <f t="shared" si="43"/>
        <v>27500</v>
      </c>
      <c r="N280" s="143">
        <f t="shared" si="44"/>
        <v>1705000</v>
      </c>
      <c r="O280" s="83"/>
    </row>
    <row r="281" spans="1:15" ht="30" customHeight="1">
      <c r="A281" s="63"/>
      <c r="B281" s="63"/>
      <c r="C281" s="61" t="s">
        <v>326</v>
      </c>
      <c r="D281" s="137" t="s">
        <v>327</v>
      </c>
      <c r="E281" s="138" t="s">
        <v>124</v>
      </c>
      <c r="F281" s="139">
        <v>67</v>
      </c>
      <c r="G281" s="140">
        <v>74300</v>
      </c>
      <c r="H281" s="141">
        <f t="shared" si="40"/>
        <v>4978100</v>
      </c>
      <c r="I281" s="142">
        <v>44100</v>
      </c>
      <c r="J281" s="141">
        <f t="shared" si="41"/>
        <v>2954700</v>
      </c>
      <c r="K281" s="142">
        <v>5700</v>
      </c>
      <c r="L281" s="141">
        <f t="shared" si="42"/>
        <v>381900</v>
      </c>
      <c r="M281" s="141">
        <f t="shared" si="43"/>
        <v>124100</v>
      </c>
      <c r="N281" s="143">
        <f t="shared" si="44"/>
        <v>8314700</v>
      </c>
      <c r="O281" s="99"/>
    </row>
    <row r="282" spans="1:15" ht="30" customHeight="1">
      <c r="A282" s="63"/>
      <c r="B282" s="63"/>
      <c r="C282" s="137" t="s">
        <v>328</v>
      </c>
      <c r="D282" s="61" t="s">
        <v>329</v>
      </c>
      <c r="E282" s="138" t="s">
        <v>82</v>
      </c>
      <c r="F282" s="139">
        <v>33</v>
      </c>
      <c r="G282" s="140">
        <v>91800</v>
      </c>
      <c r="H282" s="141">
        <f t="shared" si="40"/>
        <v>3029400</v>
      </c>
      <c r="I282" s="142">
        <v>54100</v>
      </c>
      <c r="J282" s="141">
        <f t="shared" si="41"/>
        <v>1785300</v>
      </c>
      <c r="K282" s="142">
        <v>7100</v>
      </c>
      <c r="L282" s="141">
        <f t="shared" si="42"/>
        <v>234300</v>
      </c>
      <c r="M282" s="141">
        <f t="shared" si="43"/>
        <v>153000</v>
      </c>
      <c r="N282" s="143">
        <f t="shared" si="44"/>
        <v>5049000</v>
      </c>
      <c r="O282" s="99"/>
    </row>
    <row r="283" spans="1:15" ht="30" customHeight="1">
      <c r="A283" s="63"/>
      <c r="B283" s="63"/>
      <c r="C283" s="137" t="s">
        <v>330</v>
      </c>
      <c r="D283" s="137" t="s">
        <v>331</v>
      </c>
      <c r="E283" s="62" t="s">
        <v>122</v>
      </c>
      <c r="F283" s="139">
        <v>8</v>
      </c>
      <c r="G283" s="140">
        <v>21900</v>
      </c>
      <c r="H283" s="141">
        <f t="shared" si="40"/>
        <v>175200</v>
      </c>
      <c r="I283" s="142">
        <v>12500</v>
      </c>
      <c r="J283" s="141">
        <f t="shared" si="41"/>
        <v>100000</v>
      </c>
      <c r="K283" s="142">
        <v>1700</v>
      </c>
      <c r="L283" s="141">
        <f t="shared" si="42"/>
        <v>13600</v>
      </c>
      <c r="M283" s="141">
        <f t="shared" si="43"/>
        <v>36100</v>
      </c>
      <c r="N283" s="143">
        <f t="shared" si="44"/>
        <v>288800</v>
      </c>
      <c r="O283" s="99"/>
    </row>
    <row r="284" spans="1:15" ht="30" customHeight="1">
      <c r="A284" s="63"/>
      <c r="B284" s="63"/>
      <c r="C284" s="137" t="s">
        <v>332</v>
      </c>
      <c r="D284" s="61"/>
      <c r="E284" s="138"/>
      <c r="F284" s="139">
        <v>31</v>
      </c>
      <c r="G284" s="140">
        <v>16700</v>
      </c>
      <c r="H284" s="141">
        <f t="shared" si="40"/>
        <v>517700</v>
      </c>
      <c r="I284" s="142">
        <v>10000</v>
      </c>
      <c r="J284" s="141">
        <f t="shared" si="41"/>
        <v>310000</v>
      </c>
      <c r="K284" s="142"/>
      <c r="L284" s="141">
        <f t="shared" si="42"/>
        <v>0</v>
      </c>
      <c r="M284" s="141">
        <f t="shared" si="43"/>
        <v>26700</v>
      </c>
      <c r="N284" s="143">
        <f t="shared" si="44"/>
        <v>827700</v>
      </c>
      <c r="O284" s="83"/>
    </row>
    <row r="285" spans="1:15" ht="30" customHeight="1">
      <c r="A285" s="63"/>
      <c r="B285" s="63"/>
      <c r="C285" s="137" t="s">
        <v>333</v>
      </c>
      <c r="D285" s="61"/>
      <c r="E285" s="138" t="s">
        <v>82</v>
      </c>
      <c r="F285" s="139">
        <v>799</v>
      </c>
      <c r="G285" s="140">
        <v>31600</v>
      </c>
      <c r="H285" s="141">
        <f t="shared" si="40"/>
        <v>25248400</v>
      </c>
      <c r="I285" s="142">
        <v>25000</v>
      </c>
      <c r="J285" s="141">
        <f t="shared" si="41"/>
        <v>19975000</v>
      </c>
      <c r="K285" s="142"/>
      <c r="L285" s="141">
        <f t="shared" si="42"/>
        <v>0</v>
      </c>
      <c r="M285" s="141">
        <f t="shared" si="43"/>
        <v>56600</v>
      </c>
      <c r="N285" s="143">
        <f t="shared" si="44"/>
        <v>45223400</v>
      </c>
      <c r="O285" s="83"/>
    </row>
    <row r="286" spans="1:15" ht="30" customHeight="1">
      <c r="A286" s="63"/>
      <c r="B286" s="63"/>
      <c r="C286" s="61"/>
      <c r="D286" s="61"/>
      <c r="E286" s="138"/>
      <c r="F286" s="139"/>
      <c r="G286" s="140"/>
      <c r="H286" s="141">
        <f t="shared" si="40"/>
        <v>0</v>
      </c>
      <c r="I286" s="142"/>
      <c r="J286" s="141">
        <f t="shared" si="41"/>
        <v>0</v>
      </c>
      <c r="K286" s="142"/>
      <c r="L286" s="141">
        <f t="shared" si="42"/>
        <v>0</v>
      </c>
      <c r="M286" s="141">
        <f t="shared" si="43"/>
        <v>0</v>
      </c>
      <c r="N286" s="143">
        <f t="shared" si="44"/>
        <v>0</v>
      </c>
      <c r="O286" s="99"/>
    </row>
    <row r="287" spans="1:15" ht="30" customHeight="1">
      <c r="A287" s="63"/>
      <c r="B287" s="63"/>
      <c r="C287" s="91"/>
      <c r="D287" s="91"/>
      <c r="E287" s="101"/>
      <c r="F287" s="151"/>
      <c r="G287" s="141"/>
      <c r="H287" s="141">
        <f t="shared" si="40"/>
        <v>0</v>
      </c>
      <c r="I287" s="142"/>
      <c r="J287" s="141">
        <f t="shared" si="41"/>
        <v>0</v>
      </c>
      <c r="K287" s="142"/>
      <c r="L287" s="141">
        <f t="shared" si="42"/>
        <v>0</v>
      </c>
      <c r="M287" s="141">
        <f t="shared" si="43"/>
        <v>0</v>
      </c>
      <c r="N287" s="143">
        <f t="shared" si="44"/>
        <v>0</v>
      </c>
      <c r="O287" s="99"/>
    </row>
    <row r="288" spans="1:15" ht="30" customHeight="1">
      <c r="A288" s="63"/>
      <c r="B288" s="63"/>
      <c r="C288" s="91"/>
      <c r="D288" s="91"/>
      <c r="E288" s="101"/>
      <c r="F288" s="151"/>
      <c r="G288" s="141"/>
      <c r="H288" s="141"/>
      <c r="I288" s="142"/>
      <c r="J288" s="141"/>
      <c r="K288" s="142"/>
      <c r="L288" s="141"/>
      <c r="M288" s="141"/>
      <c r="N288" s="143"/>
      <c r="O288" s="99"/>
    </row>
    <row r="289" spans="1:15" ht="30" customHeight="1">
      <c r="A289" s="63"/>
      <c r="B289" s="63"/>
      <c r="C289" s="91"/>
      <c r="D289" s="91"/>
      <c r="E289" s="101"/>
      <c r="F289" s="139"/>
      <c r="G289" s="141"/>
      <c r="H289" s="141">
        <f>F289*G289</f>
        <v>0</v>
      </c>
      <c r="I289" s="142"/>
      <c r="J289" s="141">
        <f>F289*I289</f>
        <v>0</v>
      </c>
      <c r="K289" s="142"/>
      <c r="L289" s="141">
        <f>F289*K289</f>
        <v>0</v>
      </c>
      <c r="M289" s="141">
        <f>G289+I289+K289</f>
        <v>0</v>
      </c>
      <c r="N289" s="143">
        <f>F289*M289</f>
        <v>0</v>
      </c>
      <c r="O289" s="99"/>
    </row>
    <row r="290" spans="1:15" ht="30" customHeight="1">
      <c r="A290" s="63"/>
      <c r="B290" s="63"/>
      <c r="C290" s="91"/>
      <c r="D290" s="91"/>
      <c r="E290" s="101"/>
      <c r="F290" s="139"/>
      <c r="G290" s="141"/>
      <c r="H290" s="141">
        <f>F290*G290</f>
        <v>0</v>
      </c>
      <c r="I290" s="142"/>
      <c r="J290" s="141">
        <f>F290*I290</f>
        <v>0</v>
      </c>
      <c r="K290" s="142"/>
      <c r="L290" s="141">
        <f>F290*K290</f>
        <v>0</v>
      </c>
      <c r="M290" s="141">
        <f>G290+I290+K290</f>
        <v>0</v>
      </c>
      <c r="N290" s="143">
        <f>F290*M290</f>
        <v>0</v>
      </c>
      <c r="O290" s="99"/>
    </row>
    <row r="291" spans="1:15" ht="30" customHeight="1">
      <c r="A291" s="63"/>
      <c r="B291" s="63"/>
      <c r="C291" s="100" t="s">
        <v>119</v>
      </c>
      <c r="D291" s="63"/>
      <c r="E291" s="112"/>
      <c r="F291" s="63"/>
      <c r="G291" s="63"/>
      <c r="H291" s="63">
        <f>SUM(H269:H290)</f>
        <v>42651900</v>
      </c>
      <c r="I291" s="63"/>
      <c r="J291" s="63">
        <f>SUM(J269:J290)</f>
        <v>31476100</v>
      </c>
      <c r="K291" s="63"/>
      <c r="L291" s="63">
        <f>SUM(L269:L290)</f>
        <v>1139700</v>
      </c>
      <c r="M291" s="63"/>
      <c r="N291" s="104">
        <f>SUM(N269:N290)</f>
        <v>75267700</v>
      </c>
      <c r="O291" s="99"/>
    </row>
    <row r="292" spans="1:15" ht="30" customHeight="1">
      <c r="A292" s="63"/>
      <c r="B292" s="63"/>
      <c r="C292" s="77" t="s">
        <v>334</v>
      </c>
      <c r="D292" s="77"/>
      <c r="E292" s="78"/>
      <c r="F292" s="77"/>
      <c r="G292" s="77"/>
      <c r="H292" s="77"/>
      <c r="I292" s="77"/>
      <c r="J292" s="77"/>
      <c r="K292" s="77"/>
      <c r="L292" s="77"/>
      <c r="M292" s="77"/>
      <c r="N292" s="77"/>
      <c r="O292" s="78"/>
    </row>
    <row r="293" spans="1:15" ht="30" customHeight="1">
      <c r="A293" s="63"/>
      <c r="B293" s="63"/>
      <c r="C293" s="98" t="s">
        <v>335</v>
      </c>
      <c r="D293" s="98" t="s">
        <v>336</v>
      </c>
      <c r="E293" s="138" t="s">
        <v>77</v>
      </c>
      <c r="F293" s="151">
        <v>1</v>
      </c>
      <c r="G293" s="109">
        <v>727400</v>
      </c>
      <c r="H293" s="63">
        <f t="shared" ref="H293:H338" si="45">F293*G293</f>
        <v>727400</v>
      </c>
      <c r="I293" s="102">
        <v>168800</v>
      </c>
      <c r="J293" s="63">
        <f t="shared" ref="J293:J338" si="46">F293*I293</f>
        <v>168800</v>
      </c>
      <c r="K293" s="142">
        <v>43600</v>
      </c>
      <c r="L293" s="63">
        <f t="shared" ref="L293:L338" si="47">F293*K293</f>
        <v>43600</v>
      </c>
      <c r="M293" s="63">
        <f t="shared" ref="M293:M338" si="48">G293+I293+K293</f>
        <v>939800</v>
      </c>
      <c r="N293" s="58">
        <f t="shared" ref="N293:N338" si="49">F293*M293</f>
        <v>939800</v>
      </c>
      <c r="O293" s="83"/>
    </row>
    <row r="294" spans="1:15" ht="30" customHeight="1">
      <c r="A294" s="63"/>
      <c r="B294" s="63"/>
      <c r="C294" s="98" t="s">
        <v>337</v>
      </c>
      <c r="D294" s="98" t="s">
        <v>338</v>
      </c>
      <c r="E294" s="138" t="s">
        <v>77</v>
      </c>
      <c r="F294" s="151">
        <v>1</v>
      </c>
      <c r="G294" s="109">
        <v>930400</v>
      </c>
      <c r="H294" s="63">
        <f t="shared" si="45"/>
        <v>930400</v>
      </c>
      <c r="I294" s="102">
        <v>224600</v>
      </c>
      <c r="J294" s="63">
        <f t="shared" si="46"/>
        <v>224600</v>
      </c>
      <c r="K294" s="142">
        <v>55800</v>
      </c>
      <c r="L294" s="63">
        <f t="shared" si="47"/>
        <v>55800</v>
      </c>
      <c r="M294" s="63">
        <f t="shared" si="48"/>
        <v>1210800</v>
      </c>
      <c r="N294" s="58">
        <f t="shared" si="49"/>
        <v>1210800</v>
      </c>
      <c r="O294" s="83"/>
    </row>
    <row r="295" spans="1:15" ht="30" customHeight="1">
      <c r="A295" s="63"/>
      <c r="B295" s="63"/>
      <c r="C295" s="98" t="s">
        <v>339</v>
      </c>
      <c r="D295" s="98" t="s">
        <v>340</v>
      </c>
      <c r="E295" s="138" t="s">
        <v>77</v>
      </c>
      <c r="F295" s="151">
        <v>1</v>
      </c>
      <c r="G295" s="109">
        <v>1705500</v>
      </c>
      <c r="H295" s="63">
        <f t="shared" si="45"/>
        <v>1705500</v>
      </c>
      <c r="I295" s="102">
        <v>437800</v>
      </c>
      <c r="J295" s="63">
        <f t="shared" si="46"/>
        <v>437800</v>
      </c>
      <c r="K295" s="142">
        <v>102300</v>
      </c>
      <c r="L295" s="63">
        <f t="shared" si="47"/>
        <v>102300</v>
      </c>
      <c r="M295" s="63">
        <f t="shared" si="48"/>
        <v>2245600</v>
      </c>
      <c r="N295" s="58">
        <f t="shared" si="49"/>
        <v>2245600</v>
      </c>
      <c r="O295" s="83"/>
    </row>
    <row r="296" spans="1:15" ht="30" customHeight="1">
      <c r="A296" s="63"/>
      <c r="B296" s="63"/>
      <c r="C296" s="152" t="s">
        <v>341</v>
      </c>
      <c r="D296" s="98" t="s">
        <v>342</v>
      </c>
      <c r="E296" s="138" t="s">
        <v>77</v>
      </c>
      <c r="F296" s="151">
        <v>1</v>
      </c>
      <c r="G296" s="109">
        <v>660800</v>
      </c>
      <c r="H296" s="141">
        <f t="shared" si="45"/>
        <v>660800</v>
      </c>
      <c r="I296" s="142">
        <v>150500</v>
      </c>
      <c r="J296" s="141">
        <f t="shared" si="46"/>
        <v>150500</v>
      </c>
      <c r="K296" s="142">
        <v>39600</v>
      </c>
      <c r="L296" s="63">
        <f t="shared" si="47"/>
        <v>39600</v>
      </c>
      <c r="M296" s="141">
        <f t="shared" si="48"/>
        <v>850900</v>
      </c>
      <c r="N296" s="143">
        <f t="shared" si="49"/>
        <v>850900</v>
      </c>
      <c r="O296" s="83"/>
    </row>
    <row r="297" spans="1:15" ht="30" customHeight="1">
      <c r="A297" s="63"/>
      <c r="B297" s="63"/>
      <c r="C297" s="98" t="s">
        <v>343</v>
      </c>
      <c r="D297" s="98" t="s">
        <v>344</v>
      </c>
      <c r="E297" s="138" t="s">
        <v>77</v>
      </c>
      <c r="F297" s="151">
        <v>1</v>
      </c>
      <c r="G297" s="109">
        <v>244900</v>
      </c>
      <c r="H297" s="141">
        <f t="shared" si="45"/>
        <v>244900</v>
      </c>
      <c r="I297" s="142">
        <v>51000</v>
      </c>
      <c r="J297" s="141">
        <f t="shared" si="46"/>
        <v>51000</v>
      </c>
      <c r="K297" s="142">
        <v>14700</v>
      </c>
      <c r="L297" s="63">
        <f t="shared" si="47"/>
        <v>14700</v>
      </c>
      <c r="M297" s="141">
        <f t="shared" si="48"/>
        <v>310600</v>
      </c>
      <c r="N297" s="143">
        <f t="shared" si="49"/>
        <v>310600</v>
      </c>
      <c r="O297" s="83"/>
    </row>
    <row r="298" spans="1:15" ht="30" customHeight="1">
      <c r="A298" s="63"/>
      <c r="B298" s="63"/>
      <c r="C298" s="152" t="s">
        <v>345</v>
      </c>
      <c r="D298" s="98" t="s">
        <v>346</v>
      </c>
      <c r="E298" s="138" t="s">
        <v>77</v>
      </c>
      <c r="F298" s="151">
        <v>2</v>
      </c>
      <c r="G298" s="109">
        <v>570800</v>
      </c>
      <c r="H298" s="63">
        <f t="shared" si="45"/>
        <v>1141600</v>
      </c>
      <c r="I298" s="102">
        <v>170400</v>
      </c>
      <c r="J298" s="63">
        <f t="shared" si="46"/>
        <v>340800</v>
      </c>
      <c r="K298" s="142">
        <v>34200</v>
      </c>
      <c r="L298" s="63">
        <f t="shared" si="47"/>
        <v>68400</v>
      </c>
      <c r="M298" s="63">
        <f t="shared" si="48"/>
        <v>775400</v>
      </c>
      <c r="N298" s="58">
        <f t="shared" si="49"/>
        <v>1550800</v>
      </c>
      <c r="O298" s="83"/>
    </row>
    <row r="299" spans="1:15" ht="30" customHeight="1">
      <c r="A299" s="63"/>
      <c r="B299" s="63"/>
      <c r="C299" s="152" t="s">
        <v>347</v>
      </c>
      <c r="D299" s="98" t="s">
        <v>348</v>
      </c>
      <c r="E299" s="138" t="s">
        <v>77</v>
      </c>
      <c r="F299" s="151">
        <v>2</v>
      </c>
      <c r="G299" s="109">
        <v>603800</v>
      </c>
      <c r="H299" s="63">
        <f t="shared" si="45"/>
        <v>1207600</v>
      </c>
      <c r="I299" s="102">
        <v>182500</v>
      </c>
      <c r="J299" s="63">
        <f t="shared" si="46"/>
        <v>365000</v>
      </c>
      <c r="K299" s="142">
        <v>36200</v>
      </c>
      <c r="L299" s="63">
        <f t="shared" si="47"/>
        <v>72400</v>
      </c>
      <c r="M299" s="63">
        <f t="shared" si="48"/>
        <v>822500</v>
      </c>
      <c r="N299" s="58">
        <f t="shared" si="49"/>
        <v>1645000</v>
      </c>
      <c r="O299" s="83"/>
    </row>
    <row r="300" spans="1:15" ht="30" customHeight="1">
      <c r="A300" s="63"/>
      <c r="B300" s="63"/>
      <c r="C300" s="98" t="s">
        <v>349</v>
      </c>
      <c r="D300" s="98" t="s">
        <v>350</v>
      </c>
      <c r="E300" s="92" t="s">
        <v>77</v>
      </c>
      <c r="F300" s="151">
        <v>6</v>
      </c>
      <c r="G300" s="109">
        <v>255400</v>
      </c>
      <c r="H300" s="63">
        <f t="shared" si="45"/>
        <v>1532400</v>
      </c>
      <c r="I300" s="102">
        <v>54800</v>
      </c>
      <c r="J300" s="63">
        <f t="shared" si="46"/>
        <v>328800</v>
      </c>
      <c r="K300" s="142">
        <v>15300</v>
      </c>
      <c r="L300" s="63">
        <f t="shared" si="47"/>
        <v>91800</v>
      </c>
      <c r="M300" s="63">
        <f t="shared" si="48"/>
        <v>325500</v>
      </c>
      <c r="N300" s="58">
        <f t="shared" si="49"/>
        <v>1953000</v>
      </c>
      <c r="O300" s="83"/>
    </row>
    <row r="301" spans="1:15" ht="30" customHeight="1">
      <c r="A301" s="63"/>
      <c r="B301" s="63"/>
      <c r="C301" s="98" t="s">
        <v>351</v>
      </c>
      <c r="D301" s="98" t="s">
        <v>350</v>
      </c>
      <c r="E301" s="92" t="s">
        <v>77</v>
      </c>
      <c r="F301" s="151">
        <v>2</v>
      </c>
      <c r="G301" s="109">
        <v>255400</v>
      </c>
      <c r="H301" s="63">
        <f t="shared" si="45"/>
        <v>510800</v>
      </c>
      <c r="I301" s="102">
        <v>54800</v>
      </c>
      <c r="J301" s="63">
        <f t="shared" si="46"/>
        <v>109600</v>
      </c>
      <c r="K301" s="142">
        <v>15300</v>
      </c>
      <c r="L301" s="63">
        <f t="shared" si="47"/>
        <v>30600</v>
      </c>
      <c r="M301" s="63">
        <f t="shared" si="48"/>
        <v>325500</v>
      </c>
      <c r="N301" s="58">
        <f t="shared" si="49"/>
        <v>651000</v>
      </c>
      <c r="O301" s="83"/>
    </row>
    <row r="302" spans="1:15" ht="30" customHeight="1">
      <c r="A302" s="63"/>
      <c r="B302" s="63"/>
      <c r="C302" s="98" t="s">
        <v>352</v>
      </c>
      <c r="D302" s="98" t="s">
        <v>350</v>
      </c>
      <c r="E302" s="92" t="s">
        <v>77</v>
      </c>
      <c r="F302" s="151">
        <v>2</v>
      </c>
      <c r="G302" s="109">
        <v>255400</v>
      </c>
      <c r="H302" s="63">
        <f t="shared" si="45"/>
        <v>510800</v>
      </c>
      <c r="I302" s="102">
        <v>54800</v>
      </c>
      <c r="J302" s="63">
        <f t="shared" si="46"/>
        <v>109600</v>
      </c>
      <c r="K302" s="142">
        <v>15300</v>
      </c>
      <c r="L302" s="63">
        <f t="shared" si="47"/>
        <v>30600</v>
      </c>
      <c r="M302" s="63">
        <f t="shared" si="48"/>
        <v>325500</v>
      </c>
      <c r="N302" s="58">
        <f t="shared" si="49"/>
        <v>651000</v>
      </c>
      <c r="O302" s="83"/>
    </row>
    <row r="303" spans="1:15" ht="30" customHeight="1">
      <c r="A303" s="63"/>
      <c r="B303" s="63"/>
      <c r="C303" s="98" t="s">
        <v>353</v>
      </c>
      <c r="D303" s="98" t="s">
        <v>354</v>
      </c>
      <c r="E303" s="92" t="s">
        <v>77</v>
      </c>
      <c r="F303" s="151">
        <v>3</v>
      </c>
      <c r="G303" s="109">
        <v>2341300</v>
      </c>
      <c r="H303" s="63">
        <f t="shared" si="45"/>
        <v>7023900</v>
      </c>
      <c r="I303" s="102">
        <v>115200</v>
      </c>
      <c r="J303" s="63">
        <f t="shared" si="46"/>
        <v>345600</v>
      </c>
      <c r="K303" s="142">
        <v>117100</v>
      </c>
      <c r="L303" s="63">
        <f t="shared" si="47"/>
        <v>351300</v>
      </c>
      <c r="M303" s="63">
        <f t="shared" si="48"/>
        <v>2573600</v>
      </c>
      <c r="N303" s="58">
        <f t="shared" si="49"/>
        <v>7720800</v>
      </c>
      <c r="O303" s="83"/>
    </row>
    <row r="304" spans="1:15" ht="30" customHeight="1">
      <c r="A304" s="63"/>
      <c r="B304" s="63"/>
      <c r="C304" s="98" t="s">
        <v>355</v>
      </c>
      <c r="D304" s="98" t="s">
        <v>356</v>
      </c>
      <c r="E304" s="92" t="s">
        <v>77</v>
      </c>
      <c r="F304" s="151">
        <v>3</v>
      </c>
      <c r="G304" s="109">
        <v>587300</v>
      </c>
      <c r="H304" s="63">
        <f t="shared" si="45"/>
        <v>1761900</v>
      </c>
      <c r="I304" s="102">
        <v>176500</v>
      </c>
      <c r="J304" s="63">
        <f t="shared" si="46"/>
        <v>529500</v>
      </c>
      <c r="K304" s="142">
        <v>35200</v>
      </c>
      <c r="L304" s="63">
        <f t="shared" si="47"/>
        <v>105600</v>
      </c>
      <c r="M304" s="63">
        <f t="shared" si="48"/>
        <v>799000</v>
      </c>
      <c r="N304" s="58">
        <f t="shared" si="49"/>
        <v>2397000</v>
      </c>
      <c r="O304" s="83"/>
    </row>
    <row r="305" spans="1:15" ht="30" customHeight="1">
      <c r="A305" s="63"/>
      <c r="B305" s="63"/>
      <c r="C305" s="98" t="s">
        <v>357</v>
      </c>
      <c r="D305" s="98" t="s">
        <v>358</v>
      </c>
      <c r="E305" s="92" t="s">
        <v>77</v>
      </c>
      <c r="F305" s="151">
        <v>1</v>
      </c>
      <c r="G305" s="109">
        <v>621800</v>
      </c>
      <c r="H305" s="63">
        <f t="shared" si="45"/>
        <v>621800</v>
      </c>
      <c r="I305" s="102">
        <v>189200</v>
      </c>
      <c r="J305" s="63">
        <f t="shared" si="46"/>
        <v>189200</v>
      </c>
      <c r="K305" s="142">
        <v>37300</v>
      </c>
      <c r="L305" s="63">
        <f t="shared" si="47"/>
        <v>37300</v>
      </c>
      <c r="M305" s="63">
        <f t="shared" si="48"/>
        <v>848300</v>
      </c>
      <c r="N305" s="58">
        <f t="shared" si="49"/>
        <v>848300</v>
      </c>
      <c r="O305" s="83"/>
    </row>
    <row r="306" spans="1:15" ht="30" customHeight="1">
      <c r="A306" s="63"/>
      <c r="B306" s="63"/>
      <c r="C306" s="98" t="s">
        <v>359</v>
      </c>
      <c r="D306" s="98" t="s">
        <v>360</v>
      </c>
      <c r="E306" s="92" t="s">
        <v>77</v>
      </c>
      <c r="F306" s="151">
        <v>1</v>
      </c>
      <c r="G306" s="109">
        <v>476100</v>
      </c>
      <c r="H306" s="141">
        <f t="shared" si="45"/>
        <v>476100</v>
      </c>
      <c r="I306" s="102">
        <v>135700</v>
      </c>
      <c r="J306" s="141">
        <f t="shared" si="46"/>
        <v>135700</v>
      </c>
      <c r="K306" s="142">
        <v>28600</v>
      </c>
      <c r="L306" s="63">
        <f t="shared" si="47"/>
        <v>28600</v>
      </c>
      <c r="M306" s="141">
        <f t="shared" si="48"/>
        <v>640400</v>
      </c>
      <c r="N306" s="143">
        <f t="shared" si="49"/>
        <v>640400</v>
      </c>
      <c r="O306" s="83"/>
    </row>
    <row r="307" spans="1:15" ht="30" customHeight="1">
      <c r="A307" s="63"/>
      <c r="B307" s="63"/>
      <c r="C307" s="98" t="s">
        <v>361</v>
      </c>
      <c r="D307" s="98" t="s">
        <v>362</v>
      </c>
      <c r="E307" s="92" t="s">
        <v>77</v>
      </c>
      <c r="F307" s="151">
        <v>1</v>
      </c>
      <c r="G307" s="109">
        <v>461000</v>
      </c>
      <c r="H307" s="141">
        <f t="shared" si="45"/>
        <v>461000</v>
      </c>
      <c r="I307" s="102">
        <v>130100</v>
      </c>
      <c r="J307" s="141">
        <f t="shared" si="46"/>
        <v>130100</v>
      </c>
      <c r="K307" s="142">
        <v>27600</v>
      </c>
      <c r="L307" s="63">
        <f t="shared" si="47"/>
        <v>27600</v>
      </c>
      <c r="M307" s="141">
        <f t="shared" si="48"/>
        <v>618700</v>
      </c>
      <c r="N307" s="143">
        <f t="shared" si="49"/>
        <v>618700</v>
      </c>
      <c r="O307" s="83"/>
    </row>
    <row r="308" spans="1:15" ht="30" customHeight="1">
      <c r="A308" s="63"/>
      <c r="B308" s="63"/>
      <c r="C308" s="98" t="s">
        <v>363</v>
      </c>
      <c r="D308" s="98" t="s">
        <v>364</v>
      </c>
      <c r="E308" s="92" t="s">
        <v>77</v>
      </c>
      <c r="F308" s="151">
        <v>2</v>
      </c>
      <c r="G308" s="153">
        <v>239600</v>
      </c>
      <c r="H308" s="141">
        <f t="shared" si="45"/>
        <v>479200</v>
      </c>
      <c r="I308" s="142">
        <v>49000</v>
      </c>
      <c r="J308" s="141">
        <f t="shared" si="46"/>
        <v>98000</v>
      </c>
      <c r="K308" s="142">
        <v>14400</v>
      </c>
      <c r="L308" s="63">
        <f t="shared" si="47"/>
        <v>28800</v>
      </c>
      <c r="M308" s="141">
        <f t="shared" si="48"/>
        <v>303000</v>
      </c>
      <c r="N308" s="143">
        <f t="shared" si="49"/>
        <v>606000</v>
      </c>
      <c r="O308" s="83"/>
    </row>
    <row r="309" spans="1:15" ht="30" customHeight="1">
      <c r="A309" s="63"/>
      <c r="B309" s="63"/>
      <c r="C309" s="98" t="s">
        <v>365</v>
      </c>
      <c r="D309" s="98" t="s">
        <v>366</v>
      </c>
      <c r="E309" s="92" t="s">
        <v>77</v>
      </c>
      <c r="F309" s="151">
        <v>1</v>
      </c>
      <c r="G309" s="153">
        <v>669800</v>
      </c>
      <c r="H309" s="141">
        <f t="shared" si="45"/>
        <v>669800</v>
      </c>
      <c r="I309" s="142">
        <v>206700</v>
      </c>
      <c r="J309" s="141">
        <f t="shared" si="46"/>
        <v>206700</v>
      </c>
      <c r="K309" s="142">
        <v>40200</v>
      </c>
      <c r="L309" s="63">
        <f t="shared" si="47"/>
        <v>40200</v>
      </c>
      <c r="M309" s="141">
        <f t="shared" si="48"/>
        <v>916700</v>
      </c>
      <c r="N309" s="143">
        <f t="shared" si="49"/>
        <v>916700</v>
      </c>
      <c r="O309" s="83"/>
    </row>
    <row r="310" spans="1:15" ht="30" customHeight="1">
      <c r="A310" s="63"/>
      <c r="B310" s="63"/>
      <c r="C310" s="98" t="s">
        <v>367</v>
      </c>
      <c r="D310" s="98" t="s">
        <v>368</v>
      </c>
      <c r="E310" s="92" t="s">
        <v>77</v>
      </c>
      <c r="F310" s="151">
        <v>1</v>
      </c>
      <c r="G310" s="153">
        <v>711700</v>
      </c>
      <c r="H310" s="141">
        <f t="shared" si="45"/>
        <v>711700</v>
      </c>
      <c r="I310" s="142">
        <v>222100</v>
      </c>
      <c r="J310" s="141">
        <f t="shared" si="46"/>
        <v>222100</v>
      </c>
      <c r="K310" s="142">
        <v>42700</v>
      </c>
      <c r="L310" s="63">
        <f t="shared" si="47"/>
        <v>42700</v>
      </c>
      <c r="M310" s="141">
        <f t="shared" si="48"/>
        <v>976500</v>
      </c>
      <c r="N310" s="143">
        <f t="shared" si="49"/>
        <v>976500</v>
      </c>
      <c r="O310" s="83"/>
    </row>
    <row r="311" spans="1:15" ht="30" customHeight="1">
      <c r="A311" s="63"/>
      <c r="B311" s="63"/>
      <c r="C311" s="98" t="s">
        <v>369</v>
      </c>
      <c r="D311" s="98" t="s">
        <v>370</v>
      </c>
      <c r="E311" s="92" t="s">
        <v>77</v>
      </c>
      <c r="F311" s="151">
        <v>1</v>
      </c>
      <c r="G311" s="153">
        <v>267500</v>
      </c>
      <c r="H311" s="141">
        <f t="shared" si="45"/>
        <v>267500</v>
      </c>
      <c r="I311" s="142">
        <v>50000</v>
      </c>
      <c r="J311" s="141">
        <f t="shared" si="46"/>
        <v>50000</v>
      </c>
      <c r="K311" s="142">
        <v>16100</v>
      </c>
      <c r="L311" s="63">
        <f t="shared" si="47"/>
        <v>16100</v>
      </c>
      <c r="M311" s="141">
        <f t="shared" si="48"/>
        <v>333600</v>
      </c>
      <c r="N311" s="143">
        <f t="shared" si="49"/>
        <v>333600</v>
      </c>
      <c r="O311" s="83"/>
    </row>
    <row r="312" spans="1:15" ht="30" customHeight="1">
      <c r="A312" s="63"/>
      <c r="B312" s="63"/>
      <c r="C312" s="98" t="s">
        <v>371</v>
      </c>
      <c r="D312" s="98" t="s">
        <v>372</v>
      </c>
      <c r="E312" s="92" t="s">
        <v>77</v>
      </c>
      <c r="F312" s="151">
        <v>1</v>
      </c>
      <c r="G312" s="153">
        <v>2137600</v>
      </c>
      <c r="H312" s="141">
        <f t="shared" si="45"/>
        <v>2137600</v>
      </c>
      <c r="I312" s="142">
        <v>744900</v>
      </c>
      <c r="J312" s="141">
        <f t="shared" si="46"/>
        <v>744900</v>
      </c>
      <c r="K312" s="142">
        <v>128200</v>
      </c>
      <c r="L312" s="63">
        <f t="shared" si="47"/>
        <v>128200</v>
      </c>
      <c r="M312" s="141">
        <f t="shared" si="48"/>
        <v>3010700</v>
      </c>
      <c r="N312" s="143">
        <f t="shared" si="49"/>
        <v>3010700</v>
      </c>
      <c r="O312" s="83"/>
    </row>
    <row r="313" spans="1:15" ht="30" customHeight="1">
      <c r="A313" s="63"/>
      <c r="B313" s="63"/>
      <c r="C313" s="98" t="s">
        <v>373</v>
      </c>
      <c r="D313" s="98" t="s">
        <v>374</v>
      </c>
      <c r="E313" s="92" t="s">
        <v>77</v>
      </c>
      <c r="F313" s="151">
        <v>1</v>
      </c>
      <c r="G313" s="153">
        <v>1282200</v>
      </c>
      <c r="H313" s="141">
        <f t="shared" si="45"/>
        <v>1282200</v>
      </c>
      <c r="I313" s="142">
        <v>83400</v>
      </c>
      <c r="J313" s="141">
        <f t="shared" si="46"/>
        <v>83400</v>
      </c>
      <c r="K313" s="142">
        <v>64100</v>
      </c>
      <c r="L313" s="63">
        <f t="shared" si="47"/>
        <v>64100</v>
      </c>
      <c r="M313" s="141">
        <f t="shared" si="48"/>
        <v>1429700</v>
      </c>
      <c r="N313" s="143">
        <f t="shared" si="49"/>
        <v>1429700</v>
      </c>
      <c r="O313" s="83"/>
    </row>
    <row r="314" spans="1:15" ht="30" customHeight="1">
      <c r="A314" s="63"/>
      <c r="B314" s="63"/>
      <c r="C314" s="98" t="s">
        <v>375</v>
      </c>
      <c r="D314" s="98" t="s">
        <v>374</v>
      </c>
      <c r="E314" s="92" t="s">
        <v>77</v>
      </c>
      <c r="F314" s="151">
        <v>1</v>
      </c>
      <c r="G314" s="153">
        <v>1282200</v>
      </c>
      <c r="H314" s="141">
        <f t="shared" si="45"/>
        <v>1282200</v>
      </c>
      <c r="I314" s="142">
        <v>83400</v>
      </c>
      <c r="J314" s="141">
        <f t="shared" si="46"/>
        <v>83400</v>
      </c>
      <c r="K314" s="142">
        <v>64100</v>
      </c>
      <c r="L314" s="63">
        <f t="shared" si="47"/>
        <v>64100</v>
      </c>
      <c r="M314" s="141">
        <f t="shared" si="48"/>
        <v>1429700</v>
      </c>
      <c r="N314" s="143">
        <f t="shared" si="49"/>
        <v>1429700</v>
      </c>
      <c r="O314" s="83"/>
    </row>
    <row r="315" spans="1:15" ht="30" customHeight="1">
      <c r="A315" s="63"/>
      <c r="B315" s="63"/>
      <c r="C315" s="98" t="s">
        <v>376</v>
      </c>
      <c r="D315" s="98" t="s">
        <v>377</v>
      </c>
      <c r="E315" s="92" t="s">
        <v>77</v>
      </c>
      <c r="F315" s="151">
        <v>8</v>
      </c>
      <c r="G315" s="153">
        <v>822600</v>
      </c>
      <c r="H315" s="141">
        <f t="shared" si="45"/>
        <v>6580800</v>
      </c>
      <c r="I315" s="142">
        <v>69600</v>
      </c>
      <c r="J315" s="141">
        <f t="shared" si="46"/>
        <v>556800</v>
      </c>
      <c r="K315" s="142">
        <v>41100</v>
      </c>
      <c r="L315" s="63">
        <f t="shared" si="47"/>
        <v>328800</v>
      </c>
      <c r="M315" s="141">
        <f t="shared" si="48"/>
        <v>933300</v>
      </c>
      <c r="N315" s="143">
        <f t="shared" si="49"/>
        <v>7466400</v>
      </c>
      <c r="O315" s="83"/>
    </row>
    <row r="316" spans="1:15" ht="30" customHeight="1">
      <c r="A316" s="63"/>
      <c r="B316" s="63"/>
      <c r="C316" s="98" t="s">
        <v>378</v>
      </c>
      <c r="D316" s="98" t="s">
        <v>379</v>
      </c>
      <c r="E316" s="92" t="s">
        <v>77</v>
      </c>
      <c r="F316" s="151">
        <v>3</v>
      </c>
      <c r="G316" s="153">
        <v>1315500</v>
      </c>
      <c r="H316" s="141">
        <f t="shared" si="45"/>
        <v>3946500</v>
      </c>
      <c r="I316" s="142">
        <v>84400</v>
      </c>
      <c r="J316" s="141">
        <f t="shared" si="46"/>
        <v>253200</v>
      </c>
      <c r="K316" s="142">
        <v>65800</v>
      </c>
      <c r="L316" s="63">
        <f t="shared" si="47"/>
        <v>197400</v>
      </c>
      <c r="M316" s="141">
        <f t="shared" si="48"/>
        <v>1465700</v>
      </c>
      <c r="N316" s="143">
        <f t="shared" si="49"/>
        <v>4397100</v>
      </c>
      <c r="O316" s="83"/>
    </row>
    <row r="317" spans="1:15" ht="30" customHeight="1">
      <c r="A317" s="63"/>
      <c r="B317" s="63"/>
      <c r="C317" s="98" t="s">
        <v>380</v>
      </c>
      <c r="D317" s="98" t="s">
        <v>381</v>
      </c>
      <c r="E317" s="92" t="s">
        <v>77</v>
      </c>
      <c r="F317" s="151">
        <v>7</v>
      </c>
      <c r="G317" s="153">
        <v>232500</v>
      </c>
      <c r="H317" s="141">
        <f t="shared" si="45"/>
        <v>1627500</v>
      </c>
      <c r="I317" s="142">
        <v>54100</v>
      </c>
      <c r="J317" s="141">
        <f t="shared" si="46"/>
        <v>378700</v>
      </c>
      <c r="K317" s="142">
        <v>14000</v>
      </c>
      <c r="L317" s="63">
        <f t="shared" si="47"/>
        <v>98000</v>
      </c>
      <c r="M317" s="141">
        <f t="shared" si="48"/>
        <v>300600</v>
      </c>
      <c r="N317" s="143">
        <f t="shared" si="49"/>
        <v>2104200</v>
      </c>
      <c r="O317" s="83"/>
    </row>
    <row r="318" spans="1:15" ht="30" customHeight="1">
      <c r="A318" s="63"/>
      <c r="B318" s="63"/>
      <c r="C318" s="98" t="s">
        <v>382</v>
      </c>
      <c r="D318" s="98" t="s">
        <v>381</v>
      </c>
      <c r="E318" s="92" t="s">
        <v>77</v>
      </c>
      <c r="F318" s="151">
        <v>2</v>
      </c>
      <c r="G318" s="153">
        <v>232500</v>
      </c>
      <c r="H318" s="141">
        <f t="shared" si="45"/>
        <v>465000</v>
      </c>
      <c r="I318" s="142">
        <v>54100</v>
      </c>
      <c r="J318" s="141">
        <f t="shared" si="46"/>
        <v>108200</v>
      </c>
      <c r="K318" s="142">
        <v>14000</v>
      </c>
      <c r="L318" s="63">
        <f t="shared" si="47"/>
        <v>28000</v>
      </c>
      <c r="M318" s="141">
        <f t="shared" si="48"/>
        <v>300600</v>
      </c>
      <c r="N318" s="143">
        <f t="shared" si="49"/>
        <v>601200</v>
      </c>
      <c r="O318" s="83"/>
    </row>
    <row r="319" spans="1:15" ht="30" customHeight="1">
      <c r="A319" s="63"/>
      <c r="B319" s="63"/>
      <c r="C319" s="98" t="s">
        <v>383</v>
      </c>
      <c r="D319" s="98" t="s">
        <v>370</v>
      </c>
      <c r="E319" s="92" t="s">
        <v>77</v>
      </c>
      <c r="F319" s="151">
        <v>1</v>
      </c>
      <c r="G319" s="153">
        <v>267500</v>
      </c>
      <c r="H319" s="141">
        <f t="shared" si="45"/>
        <v>267500</v>
      </c>
      <c r="I319" s="142">
        <v>50000</v>
      </c>
      <c r="J319" s="141">
        <f t="shared" si="46"/>
        <v>50000</v>
      </c>
      <c r="K319" s="142">
        <v>16100</v>
      </c>
      <c r="L319" s="63">
        <f t="shared" si="47"/>
        <v>16100</v>
      </c>
      <c r="M319" s="141">
        <f t="shared" si="48"/>
        <v>333600</v>
      </c>
      <c r="N319" s="143">
        <f t="shared" si="49"/>
        <v>333600</v>
      </c>
      <c r="O319" s="83"/>
    </row>
    <row r="320" spans="1:15" ht="30" customHeight="1">
      <c r="A320" s="63"/>
      <c r="B320" s="63"/>
      <c r="C320" s="98" t="s">
        <v>384</v>
      </c>
      <c r="D320" s="98" t="s">
        <v>385</v>
      </c>
      <c r="E320" s="92" t="s">
        <v>77</v>
      </c>
      <c r="F320" s="151">
        <v>1</v>
      </c>
      <c r="G320" s="153">
        <v>223000</v>
      </c>
      <c r="H320" s="141">
        <f t="shared" si="45"/>
        <v>223000</v>
      </c>
      <c r="I320" s="142">
        <v>50000</v>
      </c>
      <c r="J320" s="141">
        <f t="shared" si="46"/>
        <v>50000</v>
      </c>
      <c r="K320" s="142">
        <v>13400</v>
      </c>
      <c r="L320" s="63">
        <f t="shared" si="47"/>
        <v>13400</v>
      </c>
      <c r="M320" s="141">
        <f t="shared" si="48"/>
        <v>286400</v>
      </c>
      <c r="N320" s="143">
        <f t="shared" si="49"/>
        <v>286400</v>
      </c>
      <c r="O320" s="83"/>
    </row>
    <row r="321" spans="1:15" ht="30" customHeight="1">
      <c r="A321" s="63"/>
      <c r="B321" s="63"/>
      <c r="C321" s="98" t="s">
        <v>386</v>
      </c>
      <c r="D321" s="98" t="s">
        <v>381</v>
      </c>
      <c r="E321" s="92" t="s">
        <v>77</v>
      </c>
      <c r="F321" s="151">
        <v>1</v>
      </c>
      <c r="G321" s="153">
        <v>208100</v>
      </c>
      <c r="H321" s="141">
        <f t="shared" si="45"/>
        <v>208100</v>
      </c>
      <c r="I321" s="142">
        <v>50000</v>
      </c>
      <c r="J321" s="141">
        <f t="shared" si="46"/>
        <v>50000</v>
      </c>
      <c r="K321" s="142">
        <v>12500</v>
      </c>
      <c r="L321" s="63">
        <f t="shared" si="47"/>
        <v>12500</v>
      </c>
      <c r="M321" s="141">
        <f t="shared" si="48"/>
        <v>270600</v>
      </c>
      <c r="N321" s="143">
        <f t="shared" si="49"/>
        <v>270600</v>
      </c>
      <c r="O321" s="83"/>
    </row>
    <row r="322" spans="1:15" ht="30" customHeight="1">
      <c r="A322" s="63"/>
      <c r="B322" s="63"/>
      <c r="C322" s="98" t="s">
        <v>387</v>
      </c>
      <c r="D322" s="98" t="s">
        <v>388</v>
      </c>
      <c r="E322" s="92" t="s">
        <v>77</v>
      </c>
      <c r="F322" s="151">
        <v>1</v>
      </c>
      <c r="G322" s="153">
        <v>564800</v>
      </c>
      <c r="H322" s="141">
        <f t="shared" si="45"/>
        <v>564800</v>
      </c>
      <c r="I322" s="142">
        <v>50000</v>
      </c>
      <c r="J322" s="141">
        <f t="shared" si="46"/>
        <v>50000</v>
      </c>
      <c r="K322" s="142">
        <v>33900</v>
      </c>
      <c r="L322" s="63">
        <f t="shared" si="47"/>
        <v>33900</v>
      </c>
      <c r="M322" s="141">
        <f t="shared" si="48"/>
        <v>648700</v>
      </c>
      <c r="N322" s="143">
        <f t="shared" si="49"/>
        <v>648700</v>
      </c>
      <c r="O322" s="83"/>
    </row>
    <row r="323" spans="1:15" ht="30" customHeight="1">
      <c r="A323" s="63"/>
      <c r="B323" s="63"/>
      <c r="C323" s="98" t="s">
        <v>389</v>
      </c>
      <c r="D323" s="98" t="s">
        <v>390</v>
      </c>
      <c r="E323" s="92" t="s">
        <v>77</v>
      </c>
      <c r="F323" s="151">
        <v>2</v>
      </c>
      <c r="G323" s="153">
        <v>460800</v>
      </c>
      <c r="H323" s="141">
        <f t="shared" si="45"/>
        <v>921600</v>
      </c>
      <c r="I323" s="142">
        <v>50000</v>
      </c>
      <c r="J323" s="141">
        <f t="shared" si="46"/>
        <v>100000</v>
      </c>
      <c r="K323" s="142">
        <v>27600</v>
      </c>
      <c r="L323" s="63">
        <f t="shared" si="47"/>
        <v>55200</v>
      </c>
      <c r="M323" s="141">
        <f t="shared" si="48"/>
        <v>538400</v>
      </c>
      <c r="N323" s="143">
        <f t="shared" si="49"/>
        <v>1076800</v>
      </c>
      <c r="O323" s="83"/>
    </row>
    <row r="324" spans="1:15" ht="30" customHeight="1">
      <c r="A324" s="63"/>
      <c r="B324" s="63"/>
      <c r="C324" s="91" t="s">
        <v>391</v>
      </c>
      <c r="D324" s="98" t="s">
        <v>392</v>
      </c>
      <c r="E324" s="92" t="s">
        <v>77</v>
      </c>
      <c r="F324" s="151">
        <v>2</v>
      </c>
      <c r="G324" s="153">
        <v>11200</v>
      </c>
      <c r="H324" s="141">
        <f t="shared" si="45"/>
        <v>22400</v>
      </c>
      <c r="I324" s="142">
        <v>5000</v>
      </c>
      <c r="J324" s="141">
        <f t="shared" si="46"/>
        <v>10000</v>
      </c>
      <c r="K324" s="142"/>
      <c r="L324" s="63">
        <f t="shared" si="47"/>
        <v>0</v>
      </c>
      <c r="M324" s="141">
        <f t="shared" si="48"/>
        <v>16200</v>
      </c>
      <c r="N324" s="143">
        <f t="shared" si="49"/>
        <v>32400</v>
      </c>
      <c r="O324" s="83"/>
    </row>
    <row r="325" spans="1:15" ht="30" customHeight="1">
      <c r="A325" s="63"/>
      <c r="B325" s="63"/>
      <c r="C325" s="91" t="s">
        <v>391</v>
      </c>
      <c r="D325" s="98" t="s">
        <v>393</v>
      </c>
      <c r="E325" s="92" t="s">
        <v>77</v>
      </c>
      <c r="F325" s="151">
        <v>1</v>
      </c>
      <c r="G325" s="153">
        <v>13100</v>
      </c>
      <c r="H325" s="141">
        <f t="shared" si="45"/>
        <v>13100</v>
      </c>
      <c r="I325" s="142">
        <v>5000</v>
      </c>
      <c r="J325" s="141">
        <f t="shared" si="46"/>
        <v>5000</v>
      </c>
      <c r="K325" s="142"/>
      <c r="L325" s="63">
        <f t="shared" si="47"/>
        <v>0</v>
      </c>
      <c r="M325" s="141">
        <f t="shared" si="48"/>
        <v>18100</v>
      </c>
      <c r="N325" s="143">
        <f t="shared" si="49"/>
        <v>18100</v>
      </c>
      <c r="O325" s="83"/>
    </row>
    <row r="326" spans="1:15" ht="30" customHeight="1">
      <c r="A326" s="63"/>
      <c r="B326" s="63"/>
      <c r="C326" s="91" t="s">
        <v>391</v>
      </c>
      <c r="D326" s="98" t="s">
        <v>394</v>
      </c>
      <c r="E326" s="92" t="s">
        <v>77</v>
      </c>
      <c r="F326" s="151">
        <v>11</v>
      </c>
      <c r="G326" s="153">
        <v>16800</v>
      </c>
      <c r="H326" s="141">
        <f t="shared" si="45"/>
        <v>184800</v>
      </c>
      <c r="I326" s="142">
        <v>5000</v>
      </c>
      <c r="J326" s="141">
        <f t="shared" si="46"/>
        <v>55000</v>
      </c>
      <c r="K326" s="142"/>
      <c r="L326" s="63">
        <f t="shared" si="47"/>
        <v>0</v>
      </c>
      <c r="M326" s="141">
        <f t="shared" si="48"/>
        <v>21800</v>
      </c>
      <c r="N326" s="143">
        <f t="shared" si="49"/>
        <v>239800</v>
      </c>
      <c r="O326" s="83"/>
    </row>
    <row r="327" spans="1:15" ht="30" customHeight="1">
      <c r="A327" s="63"/>
      <c r="B327" s="63"/>
      <c r="C327" s="91" t="s">
        <v>391</v>
      </c>
      <c r="D327" s="98" t="s">
        <v>395</v>
      </c>
      <c r="E327" s="92" t="s">
        <v>77</v>
      </c>
      <c r="F327" s="151">
        <v>6</v>
      </c>
      <c r="G327" s="153">
        <v>13600</v>
      </c>
      <c r="H327" s="141">
        <f t="shared" si="45"/>
        <v>81600</v>
      </c>
      <c r="I327" s="142">
        <v>5000</v>
      </c>
      <c r="J327" s="141">
        <f t="shared" si="46"/>
        <v>30000</v>
      </c>
      <c r="K327" s="142"/>
      <c r="L327" s="63">
        <f t="shared" si="47"/>
        <v>0</v>
      </c>
      <c r="M327" s="141">
        <f t="shared" si="48"/>
        <v>18600</v>
      </c>
      <c r="N327" s="143">
        <f t="shared" si="49"/>
        <v>111600</v>
      </c>
      <c r="O327" s="83"/>
    </row>
    <row r="328" spans="1:15" ht="30" customHeight="1">
      <c r="A328" s="63"/>
      <c r="B328" s="63"/>
      <c r="C328" s="91" t="s">
        <v>391</v>
      </c>
      <c r="D328" s="98" t="s">
        <v>396</v>
      </c>
      <c r="E328" s="92" t="s">
        <v>77</v>
      </c>
      <c r="F328" s="151">
        <v>2</v>
      </c>
      <c r="G328" s="153">
        <v>38400</v>
      </c>
      <c r="H328" s="141">
        <f t="shared" si="45"/>
        <v>76800</v>
      </c>
      <c r="I328" s="142">
        <v>5000</v>
      </c>
      <c r="J328" s="141">
        <f t="shared" si="46"/>
        <v>10000</v>
      </c>
      <c r="K328" s="142"/>
      <c r="L328" s="63">
        <f t="shared" si="47"/>
        <v>0</v>
      </c>
      <c r="M328" s="141">
        <f t="shared" si="48"/>
        <v>43400</v>
      </c>
      <c r="N328" s="143">
        <f t="shared" si="49"/>
        <v>86800</v>
      </c>
      <c r="O328" s="83"/>
    </row>
    <row r="329" spans="1:15" ht="30" customHeight="1">
      <c r="A329" s="63"/>
      <c r="B329" s="63"/>
      <c r="C329" s="91" t="s">
        <v>397</v>
      </c>
      <c r="D329" s="98" t="s">
        <v>398</v>
      </c>
      <c r="E329" s="101" t="s">
        <v>109</v>
      </c>
      <c r="F329" s="151">
        <v>3</v>
      </c>
      <c r="G329" s="153">
        <v>99900</v>
      </c>
      <c r="H329" s="141">
        <f t="shared" si="45"/>
        <v>299700</v>
      </c>
      <c r="I329" s="142">
        <v>20800</v>
      </c>
      <c r="J329" s="141">
        <f t="shared" si="46"/>
        <v>62400</v>
      </c>
      <c r="K329" s="142"/>
      <c r="L329" s="63">
        <f t="shared" si="47"/>
        <v>0</v>
      </c>
      <c r="M329" s="141">
        <f t="shared" si="48"/>
        <v>120700</v>
      </c>
      <c r="N329" s="143">
        <f t="shared" si="49"/>
        <v>362100</v>
      </c>
      <c r="O329" s="83"/>
    </row>
    <row r="330" spans="1:15" ht="30" customHeight="1">
      <c r="A330" s="63"/>
      <c r="B330" s="63"/>
      <c r="C330" s="91" t="s">
        <v>399</v>
      </c>
      <c r="D330" s="91"/>
      <c r="E330" s="101" t="s">
        <v>400</v>
      </c>
      <c r="F330" s="151">
        <v>15</v>
      </c>
      <c r="G330" s="153">
        <v>3700</v>
      </c>
      <c r="H330" s="141">
        <f t="shared" si="45"/>
        <v>55500</v>
      </c>
      <c r="I330" s="142">
        <v>1700</v>
      </c>
      <c r="J330" s="141">
        <f t="shared" si="46"/>
        <v>25500</v>
      </c>
      <c r="K330" s="142"/>
      <c r="L330" s="63">
        <f t="shared" si="47"/>
        <v>0</v>
      </c>
      <c r="M330" s="141">
        <f t="shared" si="48"/>
        <v>5400</v>
      </c>
      <c r="N330" s="143">
        <f t="shared" si="49"/>
        <v>81000</v>
      </c>
      <c r="O330" s="83"/>
    </row>
    <row r="331" spans="1:15" ht="30" customHeight="1">
      <c r="A331" s="63"/>
      <c r="B331" s="63"/>
      <c r="C331" s="91" t="s">
        <v>401</v>
      </c>
      <c r="D331" s="91" t="s">
        <v>402</v>
      </c>
      <c r="E331" s="101" t="s">
        <v>109</v>
      </c>
      <c r="F331" s="151">
        <v>15</v>
      </c>
      <c r="G331" s="153">
        <v>26600</v>
      </c>
      <c r="H331" s="141">
        <f t="shared" si="45"/>
        <v>399000</v>
      </c>
      <c r="I331" s="142">
        <v>6700</v>
      </c>
      <c r="J331" s="141">
        <f t="shared" si="46"/>
        <v>100500</v>
      </c>
      <c r="K331" s="142"/>
      <c r="L331" s="63">
        <f t="shared" si="47"/>
        <v>0</v>
      </c>
      <c r="M331" s="141">
        <f t="shared" si="48"/>
        <v>33300</v>
      </c>
      <c r="N331" s="143">
        <f t="shared" si="49"/>
        <v>499500</v>
      </c>
      <c r="O331" s="83"/>
    </row>
    <row r="332" spans="1:15" ht="30" customHeight="1">
      <c r="A332" s="63"/>
      <c r="B332" s="63"/>
      <c r="C332" s="91" t="s">
        <v>403</v>
      </c>
      <c r="D332" s="91"/>
      <c r="E332" s="101" t="s">
        <v>109</v>
      </c>
      <c r="F332" s="151">
        <v>22</v>
      </c>
      <c r="G332" s="153">
        <v>26600</v>
      </c>
      <c r="H332" s="141">
        <f t="shared" si="45"/>
        <v>585200</v>
      </c>
      <c r="I332" s="142">
        <v>8300</v>
      </c>
      <c r="J332" s="141">
        <f t="shared" si="46"/>
        <v>182600</v>
      </c>
      <c r="K332" s="142"/>
      <c r="L332" s="63">
        <f t="shared" si="47"/>
        <v>0</v>
      </c>
      <c r="M332" s="141">
        <f t="shared" si="48"/>
        <v>34900</v>
      </c>
      <c r="N332" s="143">
        <f t="shared" si="49"/>
        <v>767800</v>
      </c>
      <c r="O332" s="83"/>
    </row>
    <row r="333" spans="1:15" ht="30" customHeight="1">
      <c r="A333" s="63"/>
      <c r="B333" s="63"/>
      <c r="C333" s="91" t="s">
        <v>404</v>
      </c>
      <c r="D333" s="91" t="s">
        <v>405</v>
      </c>
      <c r="E333" s="101" t="s">
        <v>122</v>
      </c>
      <c r="F333" s="151">
        <v>4</v>
      </c>
      <c r="G333" s="153">
        <v>4600</v>
      </c>
      <c r="H333" s="141">
        <f t="shared" si="45"/>
        <v>18400</v>
      </c>
      <c r="I333" s="142">
        <v>2500</v>
      </c>
      <c r="J333" s="141">
        <f t="shared" si="46"/>
        <v>10000</v>
      </c>
      <c r="K333" s="142"/>
      <c r="L333" s="63">
        <f t="shared" si="47"/>
        <v>0</v>
      </c>
      <c r="M333" s="141">
        <f t="shared" si="48"/>
        <v>7100</v>
      </c>
      <c r="N333" s="143">
        <f t="shared" si="49"/>
        <v>28400</v>
      </c>
      <c r="O333" s="83"/>
    </row>
    <row r="334" spans="1:15" ht="30" customHeight="1">
      <c r="A334" s="63"/>
      <c r="B334" s="63"/>
      <c r="C334" s="91" t="s">
        <v>406</v>
      </c>
      <c r="D334" s="91" t="s">
        <v>407</v>
      </c>
      <c r="E334" s="101" t="s">
        <v>122</v>
      </c>
      <c r="F334" s="151">
        <v>22</v>
      </c>
      <c r="G334" s="153"/>
      <c r="H334" s="141">
        <f t="shared" si="45"/>
        <v>0</v>
      </c>
      <c r="I334" s="142">
        <v>20800</v>
      </c>
      <c r="J334" s="141">
        <f t="shared" si="46"/>
        <v>457600</v>
      </c>
      <c r="K334" s="142"/>
      <c r="L334" s="63">
        <f t="shared" si="47"/>
        <v>0</v>
      </c>
      <c r="M334" s="141">
        <f t="shared" si="48"/>
        <v>20800</v>
      </c>
      <c r="N334" s="143">
        <f t="shared" si="49"/>
        <v>457600</v>
      </c>
      <c r="O334" s="83"/>
    </row>
    <row r="335" spans="1:15" ht="30" customHeight="1">
      <c r="A335" s="63"/>
      <c r="B335" s="63"/>
      <c r="C335" s="91" t="s">
        <v>408</v>
      </c>
      <c r="D335" s="91" t="s">
        <v>407</v>
      </c>
      <c r="E335" s="101" t="s">
        <v>122</v>
      </c>
      <c r="F335" s="151">
        <v>22</v>
      </c>
      <c r="G335" s="153"/>
      <c r="H335" s="141">
        <f t="shared" si="45"/>
        <v>0</v>
      </c>
      <c r="I335" s="142">
        <v>16700</v>
      </c>
      <c r="J335" s="141">
        <f t="shared" si="46"/>
        <v>367400</v>
      </c>
      <c r="K335" s="142"/>
      <c r="L335" s="63">
        <f t="shared" si="47"/>
        <v>0</v>
      </c>
      <c r="M335" s="141">
        <f t="shared" si="48"/>
        <v>16700</v>
      </c>
      <c r="N335" s="143">
        <f t="shared" si="49"/>
        <v>367400</v>
      </c>
      <c r="O335" s="83"/>
    </row>
    <row r="336" spans="1:15" ht="30" customHeight="1">
      <c r="A336" s="63"/>
      <c r="B336" s="63"/>
      <c r="C336" s="91" t="s">
        <v>409</v>
      </c>
      <c r="D336" s="98" t="s">
        <v>410</v>
      </c>
      <c r="E336" s="92" t="s">
        <v>124</v>
      </c>
      <c r="F336" s="151">
        <v>970</v>
      </c>
      <c r="G336" s="153">
        <v>1100</v>
      </c>
      <c r="H336" s="141">
        <f t="shared" si="45"/>
        <v>1067000</v>
      </c>
      <c r="I336" s="142">
        <v>1800</v>
      </c>
      <c r="J336" s="141">
        <f t="shared" si="46"/>
        <v>1746000</v>
      </c>
      <c r="K336" s="142"/>
      <c r="L336" s="63">
        <f t="shared" si="47"/>
        <v>0</v>
      </c>
      <c r="M336" s="141">
        <f t="shared" si="48"/>
        <v>2900</v>
      </c>
      <c r="N336" s="143">
        <f t="shared" si="49"/>
        <v>2813000</v>
      </c>
      <c r="O336" s="83"/>
    </row>
    <row r="337" spans="1:15" ht="30" customHeight="1">
      <c r="A337" s="63"/>
      <c r="B337" s="63"/>
      <c r="C337" s="91"/>
      <c r="D337" s="91"/>
      <c r="E337" s="101"/>
      <c r="F337" s="151"/>
      <c r="G337" s="153"/>
      <c r="H337" s="141">
        <f t="shared" si="45"/>
        <v>0</v>
      </c>
      <c r="I337" s="142"/>
      <c r="J337" s="141">
        <f t="shared" si="46"/>
        <v>0</v>
      </c>
      <c r="K337" s="142"/>
      <c r="L337" s="63">
        <f t="shared" si="47"/>
        <v>0</v>
      </c>
      <c r="M337" s="141">
        <f t="shared" si="48"/>
        <v>0</v>
      </c>
      <c r="N337" s="143">
        <f t="shared" si="49"/>
        <v>0</v>
      </c>
      <c r="O337" s="99"/>
    </row>
    <row r="338" spans="1:15" ht="30" customHeight="1">
      <c r="A338" s="63"/>
      <c r="B338" s="63"/>
      <c r="C338" s="91"/>
      <c r="D338" s="91"/>
      <c r="E338" s="101"/>
      <c r="F338" s="151"/>
      <c r="G338" s="153"/>
      <c r="H338" s="141">
        <f t="shared" si="45"/>
        <v>0</v>
      </c>
      <c r="I338" s="142"/>
      <c r="J338" s="141">
        <f t="shared" si="46"/>
        <v>0</v>
      </c>
      <c r="K338" s="142"/>
      <c r="L338" s="63">
        <f t="shared" si="47"/>
        <v>0</v>
      </c>
      <c r="M338" s="141">
        <f t="shared" si="48"/>
        <v>0</v>
      </c>
      <c r="N338" s="143">
        <f t="shared" si="49"/>
        <v>0</v>
      </c>
      <c r="O338" s="99"/>
    </row>
    <row r="339" spans="1:15" ht="30" customHeight="1">
      <c r="A339" s="63" t="s">
        <v>411</v>
      </c>
      <c r="B339" s="63" t="s">
        <v>412</v>
      </c>
      <c r="C339" s="100" t="s">
        <v>119</v>
      </c>
      <c r="D339" s="63"/>
      <c r="E339" s="112"/>
      <c r="F339" s="63"/>
      <c r="G339" s="63"/>
      <c r="H339" s="63">
        <f>SUM(H293:H338)</f>
        <v>43955400</v>
      </c>
      <c r="I339" s="63"/>
      <c r="J339" s="63">
        <f>SUM(J293:J338)</f>
        <v>9764000</v>
      </c>
      <c r="K339" s="63"/>
      <c r="L339" s="63">
        <f>SUM(L293:L338)</f>
        <v>2267700</v>
      </c>
      <c r="M339" s="63"/>
      <c r="N339" s="104">
        <f>+H339+J339+L339</f>
        <v>55987100</v>
      </c>
      <c r="O339" s="99"/>
    </row>
    <row r="340" spans="1:15" ht="30" customHeight="1">
      <c r="A340" s="63"/>
      <c r="B340" s="63"/>
      <c r="C340" s="77" t="s">
        <v>413</v>
      </c>
      <c r="D340" s="77"/>
      <c r="E340" s="78"/>
      <c r="F340" s="77"/>
      <c r="G340" s="77"/>
      <c r="H340" s="77"/>
      <c r="I340" s="77"/>
      <c r="J340" s="77"/>
      <c r="K340" s="77"/>
      <c r="L340" s="77"/>
      <c r="M340" s="77"/>
      <c r="N340" s="77"/>
      <c r="O340" s="78"/>
    </row>
    <row r="341" spans="1:15" s="93" customFormat="1" ht="30" customHeight="1">
      <c r="A341" s="68"/>
      <c r="B341" s="68"/>
      <c r="C341" s="94" t="s">
        <v>414</v>
      </c>
      <c r="D341" s="154" t="s">
        <v>415</v>
      </c>
      <c r="E341" s="95" t="s">
        <v>82</v>
      </c>
      <c r="F341" s="155">
        <v>7</v>
      </c>
      <c r="G341" s="149">
        <v>112400</v>
      </c>
      <c r="H341" s="141">
        <f t="shared" ref="H341:H355" si="50">F341*G341</f>
        <v>786800</v>
      </c>
      <c r="I341" s="142">
        <v>20800</v>
      </c>
      <c r="J341" s="141">
        <f t="shared" ref="J341:J355" si="51">F341*I341</f>
        <v>145600</v>
      </c>
      <c r="K341" s="142"/>
      <c r="L341" s="141">
        <f t="shared" ref="L341:L355" si="52">F341*K341</f>
        <v>0</v>
      </c>
      <c r="M341" s="141">
        <f t="shared" ref="M341:M355" si="53">G341+I341+K341</f>
        <v>133200</v>
      </c>
      <c r="N341" s="143">
        <f t="shared" ref="N341:N355" si="54">F341*M341</f>
        <v>932400</v>
      </c>
      <c r="O341" s="83"/>
    </row>
    <row r="342" spans="1:15" ht="30" customHeight="1">
      <c r="A342" s="63"/>
      <c r="B342" s="63"/>
      <c r="C342" s="91" t="s">
        <v>416</v>
      </c>
      <c r="D342" s="98" t="s">
        <v>417</v>
      </c>
      <c r="E342" s="92" t="s">
        <v>82</v>
      </c>
      <c r="F342" s="151">
        <v>274</v>
      </c>
      <c r="G342" s="142">
        <v>68300</v>
      </c>
      <c r="H342" s="141">
        <f t="shared" si="50"/>
        <v>18714200</v>
      </c>
      <c r="I342" s="142">
        <v>19100</v>
      </c>
      <c r="J342" s="141">
        <f t="shared" si="51"/>
        <v>5233400</v>
      </c>
      <c r="K342" s="142">
        <v>3600</v>
      </c>
      <c r="L342" s="141">
        <f t="shared" si="52"/>
        <v>986400</v>
      </c>
      <c r="M342" s="141">
        <f t="shared" si="53"/>
        <v>91000</v>
      </c>
      <c r="N342" s="143">
        <f t="shared" si="54"/>
        <v>24934000</v>
      </c>
      <c r="O342" s="83"/>
    </row>
    <row r="343" spans="1:15" ht="30" customHeight="1">
      <c r="A343" s="63"/>
      <c r="B343" s="63"/>
      <c r="C343" s="94" t="s">
        <v>418</v>
      </c>
      <c r="D343" s="154" t="s">
        <v>419</v>
      </c>
      <c r="E343" s="95" t="s">
        <v>82</v>
      </c>
      <c r="F343" s="155">
        <v>15</v>
      </c>
      <c r="G343" s="149">
        <v>87400</v>
      </c>
      <c r="H343" s="141">
        <f t="shared" si="50"/>
        <v>1311000</v>
      </c>
      <c r="I343" s="142">
        <v>23300</v>
      </c>
      <c r="J343" s="141">
        <f t="shared" si="51"/>
        <v>349500</v>
      </c>
      <c r="K343" s="142">
        <v>3600</v>
      </c>
      <c r="L343" s="141">
        <f t="shared" si="52"/>
        <v>54000</v>
      </c>
      <c r="M343" s="141">
        <f t="shared" si="53"/>
        <v>114300</v>
      </c>
      <c r="N343" s="143">
        <f t="shared" si="54"/>
        <v>1714500</v>
      </c>
      <c r="O343" s="83"/>
    </row>
    <row r="344" spans="1:15" ht="30" customHeight="1">
      <c r="A344" s="63"/>
      <c r="B344" s="63"/>
      <c r="C344" s="94" t="s">
        <v>420</v>
      </c>
      <c r="D344" s="154" t="s">
        <v>421</v>
      </c>
      <c r="E344" s="95" t="s">
        <v>82</v>
      </c>
      <c r="F344" s="155">
        <v>7</v>
      </c>
      <c r="G344" s="149"/>
      <c r="H344" s="141">
        <f t="shared" si="50"/>
        <v>0</v>
      </c>
      <c r="I344" s="142">
        <v>11700</v>
      </c>
      <c r="J344" s="141">
        <f t="shared" si="51"/>
        <v>81900</v>
      </c>
      <c r="K344" s="142">
        <v>1700</v>
      </c>
      <c r="L344" s="141">
        <f t="shared" si="52"/>
        <v>11900</v>
      </c>
      <c r="M344" s="141">
        <f t="shared" si="53"/>
        <v>13400</v>
      </c>
      <c r="N344" s="143">
        <f t="shared" si="54"/>
        <v>93800</v>
      </c>
      <c r="O344" s="83"/>
    </row>
    <row r="345" spans="1:15" ht="30" customHeight="1">
      <c r="A345" s="63"/>
      <c r="B345" s="63"/>
      <c r="C345" s="94" t="s">
        <v>422</v>
      </c>
      <c r="D345" s="154" t="s">
        <v>423</v>
      </c>
      <c r="E345" s="95" t="s">
        <v>82</v>
      </c>
      <c r="F345" s="155">
        <v>289</v>
      </c>
      <c r="G345" s="149"/>
      <c r="H345" s="141">
        <f t="shared" si="50"/>
        <v>0</v>
      </c>
      <c r="I345" s="142">
        <v>19100</v>
      </c>
      <c r="J345" s="141">
        <f t="shared" si="51"/>
        <v>5519900</v>
      </c>
      <c r="K345" s="142">
        <v>3600</v>
      </c>
      <c r="L345" s="141">
        <f t="shared" si="52"/>
        <v>1040400</v>
      </c>
      <c r="M345" s="141">
        <f t="shared" si="53"/>
        <v>22700</v>
      </c>
      <c r="N345" s="143">
        <f t="shared" si="54"/>
        <v>6560300</v>
      </c>
      <c r="O345" s="99"/>
    </row>
    <row r="346" spans="1:15" s="93" customFormat="1" ht="30" customHeight="1">
      <c r="A346" s="68"/>
      <c r="B346" s="68"/>
      <c r="C346" s="94" t="s">
        <v>424</v>
      </c>
      <c r="D346" s="154" t="s">
        <v>425</v>
      </c>
      <c r="E346" s="95" t="s">
        <v>124</v>
      </c>
      <c r="F346" s="155">
        <v>545</v>
      </c>
      <c r="G346" s="149">
        <v>500</v>
      </c>
      <c r="H346" s="141">
        <f t="shared" si="50"/>
        <v>272500</v>
      </c>
      <c r="I346" s="142">
        <v>1200</v>
      </c>
      <c r="J346" s="141">
        <f t="shared" si="51"/>
        <v>654000</v>
      </c>
      <c r="K346" s="142"/>
      <c r="L346" s="141">
        <f t="shared" si="52"/>
        <v>0</v>
      </c>
      <c r="M346" s="141">
        <f t="shared" si="53"/>
        <v>1700</v>
      </c>
      <c r="N346" s="143">
        <f t="shared" si="54"/>
        <v>926500</v>
      </c>
      <c r="O346" s="83"/>
    </row>
    <row r="347" spans="1:15" s="93" customFormat="1" ht="30" customHeight="1">
      <c r="A347" s="68"/>
      <c r="B347" s="68"/>
      <c r="C347" s="91" t="s">
        <v>426</v>
      </c>
      <c r="D347" s="91"/>
      <c r="E347" s="92" t="s">
        <v>124</v>
      </c>
      <c r="F347" s="155">
        <v>566</v>
      </c>
      <c r="G347" s="149">
        <v>2100</v>
      </c>
      <c r="H347" s="141">
        <f t="shared" si="50"/>
        <v>1188600</v>
      </c>
      <c r="I347" s="142">
        <v>2900</v>
      </c>
      <c r="J347" s="141">
        <f t="shared" si="51"/>
        <v>1641400</v>
      </c>
      <c r="K347" s="142"/>
      <c r="L347" s="141">
        <f t="shared" si="52"/>
        <v>0</v>
      </c>
      <c r="M347" s="141">
        <f t="shared" si="53"/>
        <v>5000</v>
      </c>
      <c r="N347" s="143">
        <f t="shared" si="54"/>
        <v>2830000</v>
      </c>
      <c r="O347" s="83"/>
    </row>
    <row r="348" spans="1:15" s="93" customFormat="1" ht="30" customHeight="1">
      <c r="A348" s="68" t="s">
        <v>427</v>
      </c>
      <c r="B348" s="68" t="s">
        <v>428</v>
      </c>
      <c r="C348" s="94" t="s">
        <v>429</v>
      </c>
      <c r="D348" s="94"/>
      <c r="E348" s="95" t="s">
        <v>124</v>
      </c>
      <c r="F348" s="155">
        <v>5466</v>
      </c>
      <c r="G348" s="149">
        <v>400</v>
      </c>
      <c r="H348" s="141">
        <f t="shared" si="50"/>
        <v>2186400</v>
      </c>
      <c r="I348" s="142">
        <v>400</v>
      </c>
      <c r="J348" s="141">
        <f t="shared" si="51"/>
        <v>2186400</v>
      </c>
      <c r="K348" s="142"/>
      <c r="L348" s="141">
        <f t="shared" si="52"/>
        <v>0</v>
      </c>
      <c r="M348" s="141">
        <f t="shared" si="53"/>
        <v>800</v>
      </c>
      <c r="N348" s="143">
        <f t="shared" si="54"/>
        <v>4372800</v>
      </c>
      <c r="O348" s="83"/>
    </row>
    <row r="349" spans="1:15" ht="30" customHeight="1">
      <c r="A349" s="63"/>
      <c r="B349" s="63"/>
      <c r="C349" s="91" t="s">
        <v>430</v>
      </c>
      <c r="D349" s="91"/>
      <c r="E349" s="92" t="s">
        <v>124</v>
      </c>
      <c r="F349" s="155">
        <v>566</v>
      </c>
      <c r="G349" s="149">
        <v>1200</v>
      </c>
      <c r="H349" s="141">
        <f t="shared" si="50"/>
        <v>679200</v>
      </c>
      <c r="I349" s="142">
        <v>1800</v>
      </c>
      <c r="J349" s="141">
        <f t="shared" si="51"/>
        <v>1018800</v>
      </c>
      <c r="K349" s="142"/>
      <c r="L349" s="141">
        <f t="shared" si="52"/>
        <v>0</v>
      </c>
      <c r="M349" s="141">
        <f t="shared" si="53"/>
        <v>3000</v>
      </c>
      <c r="N349" s="143">
        <f t="shared" si="54"/>
        <v>1698000</v>
      </c>
      <c r="O349" s="83"/>
    </row>
    <row r="350" spans="1:15" ht="30" customHeight="1">
      <c r="A350" s="63"/>
      <c r="B350" s="63"/>
      <c r="C350" s="94" t="s">
        <v>431</v>
      </c>
      <c r="D350" s="94" t="s">
        <v>432</v>
      </c>
      <c r="E350" s="95" t="s">
        <v>77</v>
      </c>
      <c r="F350" s="155">
        <v>6</v>
      </c>
      <c r="G350" s="149">
        <v>5000</v>
      </c>
      <c r="H350" s="141">
        <f t="shared" si="50"/>
        <v>30000</v>
      </c>
      <c r="I350" s="142">
        <v>2500</v>
      </c>
      <c r="J350" s="141">
        <f t="shared" si="51"/>
        <v>15000</v>
      </c>
      <c r="K350" s="142"/>
      <c r="L350" s="141">
        <f t="shared" si="52"/>
        <v>0</v>
      </c>
      <c r="M350" s="141">
        <f t="shared" si="53"/>
        <v>7500</v>
      </c>
      <c r="N350" s="143">
        <f t="shared" si="54"/>
        <v>45000</v>
      </c>
      <c r="O350" s="83"/>
    </row>
    <row r="351" spans="1:15" ht="30" customHeight="1">
      <c r="A351" s="63"/>
      <c r="B351" s="63"/>
      <c r="C351" s="94" t="s">
        <v>433</v>
      </c>
      <c r="D351" s="154" t="s">
        <v>434</v>
      </c>
      <c r="E351" s="96" t="s">
        <v>400</v>
      </c>
      <c r="F351" s="155">
        <v>3</v>
      </c>
      <c r="G351" s="149">
        <v>541200</v>
      </c>
      <c r="H351" s="141">
        <f t="shared" si="50"/>
        <v>1623600</v>
      </c>
      <c r="I351" s="142">
        <v>66600</v>
      </c>
      <c r="J351" s="141">
        <f t="shared" si="51"/>
        <v>199800</v>
      </c>
      <c r="K351" s="142"/>
      <c r="L351" s="141">
        <f t="shared" si="52"/>
        <v>0</v>
      </c>
      <c r="M351" s="141">
        <f t="shared" si="53"/>
        <v>607800</v>
      </c>
      <c r="N351" s="143">
        <f t="shared" si="54"/>
        <v>1823400</v>
      </c>
      <c r="O351" s="83"/>
    </row>
    <row r="352" spans="1:15" ht="30" customHeight="1">
      <c r="A352" s="63"/>
      <c r="B352" s="63"/>
      <c r="C352" s="91"/>
      <c r="D352" s="91"/>
      <c r="E352" s="101"/>
      <c r="F352" s="151"/>
      <c r="G352" s="142"/>
      <c r="H352" s="141">
        <f t="shared" si="50"/>
        <v>0</v>
      </c>
      <c r="I352" s="142"/>
      <c r="J352" s="141">
        <f t="shared" si="51"/>
        <v>0</v>
      </c>
      <c r="K352" s="142"/>
      <c r="L352" s="141">
        <f t="shared" si="52"/>
        <v>0</v>
      </c>
      <c r="M352" s="141">
        <f t="shared" si="53"/>
        <v>0</v>
      </c>
      <c r="N352" s="143">
        <f t="shared" si="54"/>
        <v>0</v>
      </c>
      <c r="O352" s="99"/>
    </row>
    <row r="353" spans="1:15" ht="30" customHeight="1">
      <c r="A353" s="63"/>
      <c r="B353" s="63"/>
      <c r="C353" s="91"/>
      <c r="D353" s="91"/>
      <c r="E353" s="101"/>
      <c r="F353" s="151"/>
      <c r="G353" s="142"/>
      <c r="H353" s="141">
        <f t="shared" si="50"/>
        <v>0</v>
      </c>
      <c r="I353" s="142"/>
      <c r="J353" s="141">
        <f t="shared" si="51"/>
        <v>0</v>
      </c>
      <c r="K353" s="142"/>
      <c r="L353" s="141">
        <f t="shared" si="52"/>
        <v>0</v>
      </c>
      <c r="M353" s="141">
        <f t="shared" si="53"/>
        <v>0</v>
      </c>
      <c r="N353" s="143">
        <f t="shared" si="54"/>
        <v>0</v>
      </c>
      <c r="O353" s="99"/>
    </row>
    <row r="354" spans="1:15" ht="30" customHeight="1">
      <c r="A354" s="63"/>
      <c r="B354" s="63"/>
      <c r="C354" s="91"/>
      <c r="D354" s="91"/>
      <c r="E354" s="101"/>
      <c r="F354" s="151"/>
      <c r="G354" s="142"/>
      <c r="H354" s="141">
        <f t="shared" si="50"/>
        <v>0</v>
      </c>
      <c r="I354" s="142"/>
      <c r="J354" s="141">
        <f t="shared" si="51"/>
        <v>0</v>
      </c>
      <c r="K354" s="142"/>
      <c r="L354" s="141">
        <f t="shared" si="52"/>
        <v>0</v>
      </c>
      <c r="M354" s="141">
        <f t="shared" si="53"/>
        <v>0</v>
      </c>
      <c r="N354" s="143">
        <f t="shared" si="54"/>
        <v>0</v>
      </c>
      <c r="O354" s="99"/>
    </row>
    <row r="355" spans="1:15" ht="30" customHeight="1">
      <c r="A355" s="63"/>
      <c r="B355" s="63"/>
      <c r="C355" s="91"/>
      <c r="D355" s="91"/>
      <c r="E355" s="101"/>
      <c r="F355" s="151"/>
      <c r="G355" s="142"/>
      <c r="H355" s="141">
        <f t="shared" si="50"/>
        <v>0</v>
      </c>
      <c r="I355" s="142"/>
      <c r="J355" s="141">
        <f t="shared" si="51"/>
        <v>0</v>
      </c>
      <c r="K355" s="142"/>
      <c r="L355" s="141">
        <f t="shared" si="52"/>
        <v>0</v>
      </c>
      <c r="M355" s="141">
        <f t="shared" si="53"/>
        <v>0</v>
      </c>
      <c r="N355" s="143">
        <f t="shared" si="54"/>
        <v>0</v>
      </c>
      <c r="O355" s="99"/>
    </row>
    <row r="356" spans="1:15" ht="30" customHeight="1">
      <c r="A356" s="63" t="s">
        <v>427</v>
      </c>
      <c r="B356" s="63" t="s">
        <v>435</v>
      </c>
      <c r="C356" s="102"/>
      <c r="D356" s="102"/>
      <c r="E356" s="105"/>
      <c r="F356" s="102"/>
      <c r="G356" s="102"/>
      <c r="H356" s="63">
        <f>TRUNC(F356*G356,0)</f>
        <v>0</v>
      </c>
      <c r="I356" s="102"/>
      <c r="J356" s="63">
        <f>TRUNC(F356*I356,0)</f>
        <v>0</v>
      </c>
      <c r="K356" s="102"/>
      <c r="L356" s="63">
        <f>TRUNC(F356*K356,0)</f>
        <v>0</v>
      </c>
      <c r="M356" s="63">
        <f>K356+I356+G356</f>
        <v>0</v>
      </c>
      <c r="N356" s="58">
        <f>+H356+J356+L356</f>
        <v>0</v>
      </c>
      <c r="O356" s="99"/>
    </row>
    <row r="357" spans="1:15" ht="30" customHeight="1">
      <c r="A357" s="63"/>
      <c r="B357" s="63"/>
      <c r="C357" s="102"/>
      <c r="D357" s="107"/>
      <c r="E357" s="108"/>
      <c r="F357" s="102"/>
      <c r="G357" s="63"/>
      <c r="H357" s="63">
        <f>TRUNC(F357*G357,0)</f>
        <v>0</v>
      </c>
      <c r="I357" s="102"/>
      <c r="J357" s="63">
        <f>TRUNC(F357*I357,0)</f>
        <v>0</v>
      </c>
      <c r="K357" s="102"/>
      <c r="L357" s="63">
        <f>TRUNC(F357*K357,0)</f>
        <v>0</v>
      </c>
      <c r="M357" s="63">
        <f>K357+I357+G357</f>
        <v>0</v>
      </c>
      <c r="N357" s="58">
        <f>+H357+J357+L357</f>
        <v>0</v>
      </c>
      <c r="O357" s="99"/>
    </row>
    <row r="358" spans="1:15" ht="30" customHeight="1">
      <c r="A358" s="63"/>
      <c r="B358" s="63"/>
      <c r="C358" s="102"/>
      <c r="D358" s="102"/>
      <c r="E358" s="105"/>
      <c r="F358" s="102"/>
      <c r="G358" s="102"/>
      <c r="H358" s="63">
        <f>TRUNC(F358*G358,0)</f>
        <v>0</v>
      </c>
      <c r="I358" s="102"/>
      <c r="J358" s="63">
        <f>TRUNC(F358*I358,0)</f>
        <v>0</v>
      </c>
      <c r="K358" s="102"/>
      <c r="L358" s="63">
        <f>TRUNC(F358*K358,0)</f>
        <v>0</v>
      </c>
      <c r="M358" s="63">
        <f>K358+I358+G358</f>
        <v>0</v>
      </c>
      <c r="N358" s="58">
        <f>+H358+J358+L358</f>
        <v>0</v>
      </c>
      <c r="O358" s="99"/>
    </row>
    <row r="359" spans="1:15" ht="30" customHeight="1">
      <c r="A359" s="63"/>
      <c r="B359" s="63"/>
      <c r="C359" s="102"/>
      <c r="D359" s="102"/>
      <c r="E359" s="105"/>
      <c r="F359" s="90"/>
      <c r="G359" s="102"/>
      <c r="H359" s="63">
        <f>TRUNC(F359*G359,0)</f>
        <v>0</v>
      </c>
      <c r="I359" s="102"/>
      <c r="J359" s="63">
        <f>TRUNC(F359*I359,0)</f>
        <v>0</v>
      </c>
      <c r="K359" s="102"/>
      <c r="L359" s="63">
        <f>TRUNC(F359*K359,0)</f>
        <v>0</v>
      </c>
      <c r="M359" s="63">
        <f>K359+I359+G359</f>
        <v>0</v>
      </c>
      <c r="N359" s="58">
        <f>+H359+J359+L359</f>
        <v>0</v>
      </c>
      <c r="O359" s="99"/>
    </row>
    <row r="360" spans="1:15" ht="30" customHeight="1">
      <c r="A360" s="63"/>
      <c r="B360" s="63"/>
      <c r="C360" s="102"/>
      <c r="D360" s="102"/>
      <c r="E360" s="105"/>
      <c r="F360" s="102"/>
      <c r="G360" s="102"/>
      <c r="H360" s="63">
        <f>TRUNC(F360*G360,0)</f>
        <v>0</v>
      </c>
      <c r="I360" s="102"/>
      <c r="J360" s="63">
        <f>TRUNC(F360*I360,0)</f>
        <v>0</v>
      </c>
      <c r="K360" s="102"/>
      <c r="L360" s="63">
        <f>TRUNC(F360*K360,0)</f>
        <v>0</v>
      </c>
      <c r="M360" s="63">
        <f>K360+I360+G360</f>
        <v>0</v>
      </c>
      <c r="N360" s="58">
        <f>+H360+J360+L360</f>
        <v>0</v>
      </c>
      <c r="O360" s="99"/>
    </row>
    <row r="361" spans="1:15" ht="30" customHeight="1">
      <c r="A361" s="63"/>
      <c r="B361" s="63"/>
      <c r="C361" s="102"/>
      <c r="D361" s="102"/>
      <c r="E361" s="105"/>
      <c r="F361" s="102"/>
      <c r="G361" s="102"/>
      <c r="H361" s="63"/>
      <c r="I361" s="102"/>
      <c r="J361" s="63"/>
      <c r="K361" s="102"/>
      <c r="L361" s="63"/>
      <c r="M361" s="63"/>
      <c r="N361" s="58"/>
      <c r="O361" s="99"/>
    </row>
    <row r="362" spans="1:15" ht="30" customHeight="1">
      <c r="A362" s="63"/>
      <c r="B362" s="63"/>
      <c r="C362" s="102"/>
      <c r="D362" s="102"/>
      <c r="E362" s="105"/>
      <c r="F362" s="102"/>
      <c r="G362" s="102"/>
      <c r="H362" s="63">
        <f>TRUNC(F362*G362,0)</f>
        <v>0</v>
      </c>
      <c r="I362" s="102"/>
      <c r="J362" s="63">
        <f>TRUNC(F362*I362,0)</f>
        <v>0</v>
      </c>
      <c r="K362" s="102"/>
      <c r="L362" s="63">
        <f>TRUNC(F362*K362,0)</f>
        <v>0</v>
      </c>
      <c r="M362" s="63">
        <f>K362+I362+G362</f>
        <v>0</v>
      </c>
      <c r="N362" s="58">
        <f>+H362+J362+L362</f>
        <v>0</v>
      </c>
      <c r="O362" s="99"/>
    </row>
    <row r="363" spans="1:15" ht="30" customHeight="1">
      <c r="A363" s="63"/>
      <c r="B363" s="63"/>
      <c r="C363" s="100" t="s">
        <v>119</v>
      </c>
      <c r="D363" s="63"/>
      <c r="E363" s="112"/>
      <c r="F363" s="63"/>
      <c r="G363" s="63"/>
      <c r="H363" s="63">
        <f>SUM(H341:H362)</f>
        <v>26792300</v>
      </c>
      <c r="I363" s="63"/>
      <c r="J363" s="63">
        <f>SUM(J341:J362)</f>
        <v>17045700</v>
      </c>
      <c r="K363" s="63"/>
      <c r="L363" s="63">
        <f>SUM(L341:L362)</f>
        <v>2092700</v>
      </c>
      <c r="M363" s="63"/>
      <c r="N363" s="104">
        <f>+H363+J363+L363</f>
        <v>45930700</v>
      </c>
      <c r="O363" s="99"/>
    </row>
    <row r="364" spans="1:15" ht="30" customHeight="1">
      <c r="A364" s="63"/>
      <c r="B364" s="63"/>
      <c r="C364" s="77" t="s">
        <v>436</v>
      </c>
      <c r="D364" s="77"/>
      <c r="E364" s="78"/>
      <c r="F364" s="77"/>
      <c r="G364" s="77"/>
      <c r="H364" s="77"/>
      <c r="I364" s="77"/>
      <c r="J364" s="77"/>
      <c r="K364" s="77"/>
      <c r="L364" s="77"/>
      <c r="M364" s="77"/>
      <c r="N364" s="77"/>
      <c r="O364" s="78"/>
    </row>
    <row r="365" spans="1:15" ht="30" customHeight="1">
      <c r="A365" s="63"/>
      <c r="B365" s="63"/>
      <c r="C365" s="107" t="s">
        <v>437</v>
      </c>
      <c r="D365" s="97" t="s">
        <v>438</v>
      </c>
      <c r="E365" s="106" t="s">
        <v>82</v>
      </c>
      <c r="F365" s="107">
        <v>102</v>
      </c>
      <c r="G365" s="107">
        <v>5400</v>
      </c>
      <c r="H365" s="63">
        <f t="shared" ref="H365:H384" si="55">TRUNC(F365*G365,0)</f>
        <v>550800</v>
      </c>
      <c r="I365" s="102">
        <v>8300</v>
      </c>
      <c r="J365" s="63">
        <f t="shared" ref="J365:J384" si="56">TRUNC(F365*I365,0)</f>
        <v>846600</v>
      </c>
      <c r="K365" s="102"/>
      <c r="L365" s="63">
        <f>TRUNC(F365*K365,0)</f>
        <v>0</v>
      </c>
      <c r="M365" s="63">
        <f t="shared" ref="M365:M384" si="57">K365+I365+G365</f>
        <v>13700</v>
      </c>
      <c r="N365" s="58">
        <f t="shared" ref="N365:N384" si="58">+H365+J365+L365</f>
        <v>1397400</v>
      </c>
      <c r="O365" s="99"/>
    </row>
    <row r="366" spans="1:15" ht="30" customHeight="1">
      <c r="A366" s="63"/>
      <c r="B366" s="63"/>
      <c r="C366" s="97" t="s">
        <v>439</v>
      </c>
      <c r="D366" s="97" t="s">
        <v>440</v>
      </c>
      <c r="E366" s="106" t="s">
        <v>82</v>
      </c>
      <c r="F366" s="107">
        <v>23</v>
      </c>
      <c r="G366" s="107">
        <v>22500</v>
      </c>
      <c r="H366" s="68">
        <f t="shared" si="55"/>
        <v>517500</v>
      </c>
      <c r="I366" s="107">
        <v>18300</v>
      </c>
      <c r="J366" s="68">
        <f t="shared" si="56"/>
        <v>420900</v>
      </c>
      <c r="K366" s="107"/>
      <c r="L366" s="68"/>
      <c r="M366" s="68">
        <f t="shared" si="57"/>
        <v>40800</v>
      </c>
      <c r="N366" s="156">
        <f t="shared" si="58"/>
        <v>938400</v>
      </c>
      <c r="O366" s="83"/>
    </row>
    <row r="367" spans="1:15" ht="33" customHeight="1">
      <c r="A367" s="63"/>
      <c r="B367" s="63"/>
      <c r="C367" s="97" t="s">
        <v>441</v>
      </c>
      <c r="D367" s="88" t="s">
        <v>442</v>
      </c>
      <c r="E367" s="106" t="s">
        <v>82</v>
      </c>
      <c r="F367" s="107">
        <v>40</v>
      </c>
      <c r="G367" s="107">
        <v>16700</v>
      </c>
      <c r="H367" s="68">
        <f t="shared" si="55"/>
        <v>668000</v>
      </c>
      <c r="I367" s="107">
        <v>18300</v>
      </c>
      <c r="J367" s="68">
        <f t="shared" si="56"/>
        <v>732000</v>
      </c>
      <c r="K367" s="107"/>
      <c r="L367" s="68"/>
      <c r="M367" s="68">
        <f t="shared" si="57"/>
        <v>35000</v>
      </c>
      <c r="N367" s="156">
        <f t="shared" si="58"/>
        <v>1400000</v>
      </c>
      <c r="O367" s="83"/>
    </row>
    <row r="368" spans="1:15" ht="30" customHeight="1">
      <c r="A368" s="63"/>
      <c r="B368" s="63"/>
      <c r="C368" s="97" t="s">
        <v>443</v>
      </c>
      <c r="D368" s="97" t="s">
        <v>444</v>
      </c>
      <c r="E368" s="106" t="s">
        <v>82</v>
      </c>
      <c r="F368" s="107">
        <v>52</v>
      </c>
      <c r="G368" s="107">
        <v>15700</v>
      </c>
      <c r="H368" s="68">
        <f t="shared" si="55"/>
        <v>816400</v>
      </c>
      <c r="I368" s="107">
        <v>18300</v>
      </c>
      <c r="J368" s="68">
        <f t="shared" si="56"/>
        <v>951600</v>
      </c>
      <c r="K368" s="107"/>
      <c r="L368" s="68"/>
      <c r="M368" s="68">
        <f t="shared" si="57"/>
        <v>34000</v>
      </c>
      <c r="N368" s="156">
        <f t="shared" si="58"/>
        <v>1768000</v>
      </c>
      <c r="O368" s="83"/>
    </row>
    <row r="369" spans="1:15" ht="30" customHeight="1">
      <c r="A369" s="63"/>
      <c r="B369" s="63"/>
      <c r="C369" s="107" t="s">
        <v>445</v>
      </c>
      <c r="D369" s="107" t="s">
        <v>446</v>
      </c>
      <c r="E369" s="106" t="s">
        <v>82</v>
      </c>
      <c r="F369" s="107">
        <v>363</v>
      </c>
      <c r="G369" s="107">
        <v>4500</v>
      </c>
      <c r="H369" s="68">
        <f t="shared" si="55"/>
        <v>1633500</v>
      </c>
      <c r="I369" s="107">
        <v>6700</v>
      </c>
      <c r="J369" s="68">
        <f t="shared" si="56"/>
        <v>2432100</v>
      </c>
      <c r="K369" s="107"/>
      <c r="L369" s="68"/>
      <c r="M369" s="68">
        <f t="shared" si="57"/>
        <v>11200</v>
      </c>
      <c r="N369" s="156">
        <f t="shared" si="58"/>
        <v>4065600</v>
      </c>
      <c r="O369" s="99"/>
    </row>
    <row r="370" spans="1:15" ht="30" customHeight="1">
      <c r="A370" s="63"/>
      <c r="B370" s="63"/>
      <c r="C370" s="107" t="s">
        <v>445</v>
      </c>
      <c r="D370" s="107" t="s">
        <v>447</v>
      </c>
      <c r="E370" s="106" t="s">
        <v>82</v>
      </c>
      <c r="F370" s="107">
        <v>459</v>
      </c>
      <c r="G370" s="107">
        <v>7800</v>
      </c>
      <c r="H370" s="68">
        <f t="shared" si="55"/>
        <v>3580200</v>
      </c>
      <c r="I370" s="107">
        <v>6700</v>
      </c>
      <c r="J370" s="68">
        <f t="shared" si="56"/>
        <v>3075300</v>
      </c>
      <c r="K370" s="107"/>
      <c r="L370" s="68"/>
      <c r="M370" s="68">
        <f t="shared" si="57"/>
        <v>14500</v>
      </c>
      <c r="N370" s="156">
        <f t="shared" si="58"/>
        <v>6655500</v>
      </c>
      <c r="O370" s="99"/>
    </row>
    <row r="371" spans="1:15" ht="30" customHeight="1">
      <c r="A371" s="63"/>
      <c r="B371" s="63"/>
      <c r="C371" s="107" t="s">
        <v>448</v>
      </c>
      <c r="D371" s="97" t="s">
        <v>449</v>
      </c>
      <c r="E371" s="106" t="s">
        <v>82</v>
      </c>
      <c r="F371" s="107">
        <v>245</v>
      </c>
      <c r="G371" s="107">
        <v>7800</v>
      </c>
      <c r="H371" s="68">
        <f t="shared" si="55"/>
        <v>1911000</v>
      </c>
      <c r="I371" s="107">
        <v>6700</v>
      </c>
      <c r="J371" s="68">
        <f t="shared" si="56"/>
        <v>1641500</v>
      </c>
      <c r="K371" s="107"/>
      <c r="L371" s="68"/>
      <c r="M371" s="68">
        <f t="shared" si="57"/>
        <v>14500</v>
      </c>
      <c r="N371" s="156">
        <f t="shared" si="58"/>
        <v>3552500</v>
      </c>
      <c r="O371" s="99"/>
    </row>
    <row r="372" spans="1:15" ht="30" customHeight="1">
      <c r="A372" s="63"/>
      <c r="B372" s="63"/>
      <c r="C372" s="102" t="s">
        <v>445</v>
      </c>
      <c r="D372" s="90" t="s">
        <v>450</v>
      </c>
      <c r="E372" s="103" t="s">
        <v>82</v>
      </c>
      <c r="F372" s="102">
        <v>13</v>
      </c>
      <c r="G372" s="102">
        <v>4500</v>
      </c>
      <c r="H372" s="63">
        <f t="shared" si="55"/>
        <v>58500</v>
      </c>
      <c r="I372" s="102">
        <v>8300</v>
      </c>
      <c r="J372" s="63">
        <f t="shared" si="56"/>
        <v>107900</v>
      </c>
      <c r="K372" s="102"/>
      <c r="L372" s="63">
        <f>TRUNC(F372*K372,0)</f>
        <v>0</v>
      </c>
      <c r="M372" s="63">
        <f t="shared" si="57"/>
        <v>12800</v>
      </c>
      <c r="N372" s="58">
        <f t="shared" si="58"/>
        <v>166400</v>
      </c>
      <c r="O372" s="99"/>
    </row>
    <row r="373" spans="1:15" ht="30" customHeight="1">
      <c r="A373" s="63"/>
      <c r="B373" s="63"/>
      <c r="C373" s="90" t="s">
        <v>451</v>
      </c>
      <c r="D373" s="102"/>
      <c r="E373" s="103" t="s">
        <v>82</v>
      </c>
      <c r="F373" s="102">
        <v>21</v>
      </c>
      <c r="G373" s="102">
        <v>18300</v>
      </c>
      <c r="H373" s="63">
        <f t="shared" si="55"/>
        <v>384300</v>
      </c>
      <c r="I373" s="102">
        <v>7500</v>
      </c>
      <c r="J373" s="63">
        <f t="shared" si="56"/>
        <v>157500</v>
      </c>
      <c r="K373" s="102"/>
      <c r="L373" s="63">
        <f>TRUNC(F373*K373,0)</f>
        <v>0</v>
      </c>
      <c r="M373" s="63">
        <f t="shared" si="57"/>
        <v>25800</v>
      </c>
      <c r="N373" s="58">
        <f t="shared" si="58"/>
        <v>541800</v>
      </c>
      <c r="O373" s="83"/>
    </row>
    <row r="374" spans="1:15" ht="30" customHeight="1">
      <c r="A374" s="63"/>
      <c r="B374" s="63"/>
      <c r="C374" s="102" t="s">
        <v>452</v>
      </c>
      <c r="D374" s="102" t="s">
        <v>453</v>
      </c>
      <c r="E374" s="103" t="s">
        <v>82</v>
      </c>
      <c r="F374" s="102">
        <v>69</v>
      </c>
      <c r="G374" s="102">
        <v>2900</v>
      </c>
      <c r="H374" s="63">
        <f t="shared" si="55"/>
        <v>200100</v>
      </c>
      <c r="I374" s="102">
        <v>5400</v>
      </c>
      <c r="J374" s="63">
        <f t="shared" si="56"/>
        <v>372600</v>
      </c>
      <c r="K374" s="102"/>
      <c r="L374" s="63"/>
      <c r="M374" s="63">
        <f t="shared" si="57"/>
        <v>8300</v>
      </c>
      <c r="N374" s="58">
        <f t="shared" si="58"/>
        <v>572700</v>
      </c>
      <c r="O374" s="83"/>
    </row>
    <row r="375" spans="1:15" ht="30" customHeight="1">
      <c r="A375" s="63"/>
      <c r="B375" s="63"/>
      <c r="C375" s="102" t="s">
        <v>454</v>
      </c>
      <c r="D375" s="102"/>
      <c r="E375" s="103" t="s">
        <v>82</v>
      </c>
      <c r="F375" s="102">
        <v>5</v>
      </c>
      <c r="G375" s="102">
        <v>99900</v>
      </c>
      <c r="H375" s="63">
        <f t="shared" si="55"/>
        <v>499500</v>
      </c>
      <c r="I375" s="102">
        <v>25000</v>
      </c>
      <c r="J375" s="63">
        <f t="shared" si="56"/>
        <v>125000</v>
      </c>
      <c r="K375" s="102"/>
      <c r="L375" s="63">
        <f>TRUNC(F375*K375,0)</f>
        <v>0</v>
      </c>
      <c r="M375" s="63">
        <f t="shared" si="57"/>
        <v>124900</v>
      </c>
      <c r="N375" s="58">
        <f t="shared" si="58"/>
        <v>624500</v>
      </c>
      <c r="O375" s="99"/>
    </row>
    <row r="376" spans="1:15" ht="30" customHeight="1">
      <c r="A376" s="63"/>
      <c r="B376" s="63"/>
      <c r="C376" s="102" t="s">
        <v>455</v>
      </c>
      <c r="D376" s="102" t="s">
        <v>456</v>
      </c>
      <c r="E376" s="112" t="s">
        <v>82</v>
      </c>
      <c r="F376" s="102">
        <v>921</v>
      </c>
      <c r="G376" s="102">
        <v>6200</v>
      </c>
      <c r="H376" s="63">
        <f t="shared" si="55"/>
        <v>5710200</v>
      </c>
      <c r="I376" s="102">
        <v>11700</v>
      </c>
      <c r="J376" s="63">
        <f t="shared" si="56"/>
        <v>10775700</v>
      </c>
      <c r="K376" s="102">
        <v>500</v>
      </c>
      <c r="L376" s="63">
        <f>TRUNC(F376*K376,0)</f>
        <v>460500</v>
      </c>
      <c r="M376" s="63">
        <f t="shared" si="57"/>
        <v>18400</v>
      </c>
      <c r="N376" s="58">
        <f t="shared" si="58"/>
        <v>16946400</v>
      </c>
      <c r="O376" s="99"/>
    </row>
    <row r="377" spans="1:15" ht="30" customHeight="1">
      <c r="A377" s="63"/>
      <c r="B377" s="63"/>
      <c r="C377" s="102" t="s">
        <v>455</v>
      </c>
      <c r="D377" s="102" t="s">
        <v>457</v>
      </c>
      <c r="E377" s="112" t="s">
        <v>82</v>
      </c>
      <c r="F377" s="102">
        <v>267</v>
      </c>
      <c r="G377" s="102">
        <v>6200</v>
      </c>
      <c r="H377" s="63">
        <f t="shared" si="55"/>
        <v>1655400</v>
      </c>
      <c r="I377" s="102">
        <v>12900</v>
      </c>
      <c r="J377" s="63">
        <f t="shared" si="56"/>
        <v>3444300</v>
      </c>
      <c r="K377" s="102">
        <v>600</v>
      </c>
      <c r="L377" s="63">
        <f>TRUNC(F377*K377,0)</f>
        <v>160200</v>
      </c>
      <c r="M377" s="63">
        <f t="shared" si="57"/>
        <v>19700</v>
      </c>
      <c r="N377" s="58">
        <f t="shared" si="58"/>
        <v>5259900</v>
      </c>
      <c r="O377" s="99"/>
    </row>
    <row r="378" spans="1:15" ht="30" customHeight="1">
      <c r="A378" s="63"/>
      <c r="B378" s="63"/>
      <c r="C378" s="107" t="s">
        <v>458</v>
      </c>
      <c r="D378" s="107" t="s">
        <v>459</v>
      </c>
      <c r="E378" s="99" t="s">
        <v>82</v>
      </c>
      <c r="F378" s="107">
        <v>176</v>
      </c>
      <c r="G378" s="107">
        <v>7900</v>
      </c>
      <c r="H378" s="68">
        <f t="shared" si="55"/>
        <v>1390400</v>
      </c>
      <c r="I378" s="107">
        <v>11700</v>
      </c>
      <c r="J378" s="68">
        <f t="shared" si="56"/>
        <v>2059200</v>
      </c>
      <c r="K378" s="107">
        <v>500</v>
      </c>
      <c r="L378" s="68">
        <f>F378*K378</f>
        <v>88000</v>
      </c>
      <c r="M378" s="68">
        <f t="shared" si="57"/>
        <v>20100</v>
      </c>
      <c r="N378" s="156">
        <f t="shared" si="58"/>
        <v>3537600</v>
      </c>
      <c r="O378" s="83"/>
    </row>
    <row r="379" spans="1:15" ht="30" customHeight="1">
      <c r="A379" s="63"/>
      <c r="B379" s="63"/>
      <c r="C379" s="157" t="s">
        <v>460</v>
      </c>
      <c r="D379" s="107"/>
      <c r="E379" s="83" t="s">
        <v>461</v>
      </c>
      <c r="F379" s="158">
        <v>4</v>
      </c>
      <c r="G379" s="159">
        <v>12500</v>
      </c>
      <c r="H379" s="68">
        <f t="shared" si="55"/>
        <v>50000</v>
      </c>
      <c r="I379" s="68">
        <v>249800</v>
      </c>
      <c r="J379" s="68">
        <f t="shared" si="56"/>
        <v>999200</v>
      </c>
      <c r="K379" s="68">
        <v>4200</v>
      </c>
      <c r="L379" s="68">
        <f>TRUNC(F379*K379,0)</f>
        <v>16800</v>
      </c>
      <c r="M379" s="68">
        <f t="shared" si="57"/>
        <v>266500</v>
      </c>
      <c r="N379" s="156">
        <f t="shared" si="58"/>
        <v>1066000</v>
      </c>
      <c r="O379" s="99"/>
    </row>
    <row r="380" spans="1:15" ht="30" customHeight="1">
      <c r="A380" s="63"/>
      <c r="B380" s="63"/>
      <c r="C380" s="107" t="s">
        <v>462</v>
      </c>
      <c r="D380" s="107" t="s">
        <v>463</v>
      </c>
      <c r="E380" s="99" t="s">
        <v>82</v>
      </c>
      <c r="F380" s="107">
        <v>130</v>
      </c>
      <c r="G380" s="107">
        <v>7900</v>
      </c>
      <c r="H380" s="68">
        <f t="shared" si="55"/>
        <v>1027000</v>
      </c>
      <c r="I380" s="107">
        <v>10800</v>
      </c>
      <c r="J380" s="68">
        <f t="shared" si="56"/>
        <v>1404000</v>
      </c>
      <c r="K380" s="107">
        <v>400</v>
      </c>
      <c r="L380" s="68">
        <f>F380*K380</f>
        <v>52000</v>
      </c>
      <c r="M380" s="68">
        <f t="shared" si="57"/>
        <v>19100</v>
      </c>
      <c r="N380" s="156">
        <f t="shared" si="58"/>
        <v>2483000</v>
      </c>
      <c r="O380" s="83"/>
    </row>
    <row r="381" spans="1:15" ht="30" customHeight="1">
      <c r="A381" s="63"/>
      <c r="B381" s="63"/>
      <c r="C381" s="107" t="s">
        <v>464</v>
      </c>
      <c r="D381" s="107" t="s">
        <v>465</v>
      </c>
      <c r="E381" s="99" t="s">
        <v>82</v>
      </c>
      <c r="F381" s="107">
        <v>267</v>
      </c>
      <c r="G381" s="107">
        <v>6700</v>
      </c>
      <c r="H381" s="68">
        <f t="shared" si="55"/>
        <v>1788900</v>
      </c>
      <c r="I381" s="107">
        <v>9200</v>
      </c>
      <c r="J381" s="68">
        <f t="shared" si="56"/>
        <v>2456400</v>
      </c>
      <c r="K381" s="107"/>
      <c r="L381" s="68"/>
      <c r="M381" s="68">
        <f t="shared" si="57"/>
        <v>15900</v>
      </c>
      <c r="N381" s="156">
        <f t="shared" si="58"/>
        <v>4245300</v>
      </c>
      <c r="O381" s="83"/>
    </row>
    <row r="382" spans="1:15" ht="30" customHeight="1">
      <c r="A382" s="63"/>
      <c r="B382" s="63"/>
      <c r="C382" s="107" t="s">
        <v>466</v>
      </c>
      <c r="D382" s="107" t="s">
        <v>467</v>
      </c>
      <c r="E382" s="99" t="s">
        <v>82</v>
      </c>
      <c r="F382" s="107">
        <v>267</v>
      </c>
      <c r="G382" s="107">
        <v>4200</v>
      </c>
      <c r="H382" s="68">
        <f t="shared" si="55"/>
        <v>1121400</v>
      </c>
      <c r="I382" s="107">
        <v>7500</v>
      </c>
      <c r="J382" s="68">
        <f t="shared" si="56"/>
        <v>2002500</v>
      </c>
      <c r="K382" s="107"/>
      <c r="L382" s="68"/>
      <c r="M382" s="68">
        <f t="shared" si="57"/>
        <v>11700</v>
      </c>
      <c r="N382" s="156">
        <f t="shared" si="58"/>
        <v>3123900</v>
      </c>
      <c r="O382" s="83"/>
    </row>
    <row r="383" spans="1:15" ht="30" customHeight="1">
      <c r="A383" s="63"/>
      <c r="B383" s="63"/>
      <c r="C383" s="107" t="s">
        <v>468</v>
      </c>
      <c r="D383" s="107" t="s">
        <v>469</v>
      </c>
      <c r="E383" s="99" t="s">
        <v>82</v>
      </c>
      <c r="F383" s="107">
        <v>78</v>
      </c>
      <c r="G383" s="107">
        <v>3700</v>
      </c>
      <c r="H383" s="68">
        <f t="shared" si="55"/>
        <v>288600</v>
      </c>
      <c r="I383" s="107">
        <v>5400</v>
      </c>
      <c r="J383" s="68">
        <f t="shared" si="56"/>
        <v>421200</v>
      </c>
      <c r="K383" s="107">
        <v>400</v>
      </c>
      <c r="L383" s="68">
        <f>F383*K383</f>
        <v>31200</v>
      </c>
      <c r="M383" s="68">
        <f t="shared" si="57"/>
        <v>9500</v>
      </c>
      <c r="N383" s="156">
        <f t="shared" si="58"/>
        <v>741000</v>
      </c>
      <c r="O383" s="83"/>
    </row>
    <row r="384" spans="1:15" ht="30" customHeight="1">
      <c r="A384" s="63"/>
      <c r="B384" s="63"/>
      <c r="C384" s="107" t="s">
        <v>470</v>
      </c>
      <c r="D384" s="107"/>
      <c r="E384" s="99" t="s">
        <v>82</v>
      </c>
      <c r="F384" s="107">
        <v>20</v>
      </c>
      <c r="G384" s="107">
        <v>5400</v>
      </c>
      <c r="H384" s="68">
        <f t="shared" si="55"/>
        <v>108000</v>
      </c>
      <c r="I384" s="107">
        <v>7500</v>
      </c>
      <c r="J384" s="68">
        <f t="shared" si="56"/>
        <v>150000</v>
      </c>
      <c r="K384" s="107">
        <v>400</v>
      </c>
      <c r="L384" s="68">
        <f>F384*K384</f>
        <v>8000</v>
      </c>
      <c r="M384" s="68">
        <f t="shared" si="57"/>
        <v>13300</v>
      </c>
      <c r="N384" s="156">
        <f t="shared" si="58"/>
        <v>266000</v>
      </c>
      <c r="O384" s="83"/>
    </row>
    <row r="385" spans="1:15" ht="30" customHeight="1">
      <c r="A385" s="63"/>
      <c r="B385" s="63"/>
      <c r="C385" s="102"/>
      <c r="D385" s="102"/>
      <c r="E385" s="105"/>
      <c r="F385" s="102"/>
      <c r="G385" s="102"/>
      <c r="H385" s="63"/>
      <c r="I385" s="102"/>
      <c r="J385" s="63"/>
      <c r="K385" s="102"/>
      <c r="L385" s="63"/>
      <c r="M385" s="63"/>
      <c r="N385" s="58"/>
      <c r="O385" s="99"/>
    </row>
    <row r="386" spans="1:15" ht="30" customHeight="1">
      <c r="A386" s="63"/>
      <c r="B386" s="63"/>
      <c r="C386" s="102"/>
      <c r="D386" s="102"/>
      <c r="E386" s="105"/>
      <c r="F386" s="102"/>
      <c r="G386" s="102"/>
      <c r="H386" s="63"/>
      <c r="I386" s="102"/>
      <c r="J386" s="63"/>
      <c r="K386" s="102"/>
      <c r="L386" s="63"/>
      <c r="M386" s="63"/>
      <c r="N386" s="58"/>
      <c r="O386" s="99"/>
    </row>
    <row r="387" spans="1:15" ht="30" customHeight="1">
      <c r="A387" s="63"/>
      <c r="B387" s="63"/>
      <c r="C387" s="100" t="s">
        <v>119</v>
      </c>
      <c r="D387" s="63"/>
      <c r="E387" s="112"/>
      <c r="F387" s="63"/>
      <c r="G387" s="63"/>
      <c r="H387" s="63">
        <f>SUM(H365:H386)</f>
        <v>23959700</v>
      </c>
      <c r="I387" s="63"/>
      <c r="J387" s="63">
        <f>SUM(J365:J386)</f>
        <v>34575500</v>
      </c>
      <c r="K387" s="63"/>
      <c r="L387" s="63">
        <f>SUM(L365:L386)</f>
        <v>816700</v>
      </c>
      <c r="M387" s="63"/>
      <c r="N387" s="104">
        <f>+H387+J387+L387</f>
        <v>59351900</v>
      </c>
      <c r="O387" s="99"/>
    </row>
    <row r="388" spans="1:15" ht="30" customHeight="1">
      <c r="A388" s="63"/>
      <c r="B388" s="63"/>
      <c r="C388" s="77" t="s">
        <v>471</v>
      </c>
      <c r="D388" s="77"/>
      <c r="E388" s="78"/>
      <c r="F388" s="77"/>
      <c r="G388" s="77"/>
      <c r="H388" s="77"/>
      <c r="I388" s="77"/>
      <c r="J388" s="77"/>
      <c r="K388" s="77"/>
      <c r="L388" s="77"/>
      <c r="M388" s="77"/>
      <c r="N388" s="77"/>
      <c r="O388" s="78"/>
    </row>
    <row r="389" spans="1:15" ht="30" customHeight="1">
      <c r="A389" s="63"/>
      <c r="B389" s="63"/>
      <c r="C389" s="102" t="s">
        <v>472</v>
      </c>
      <c r="D389" s="90" t="s">
        <v>473</v>
      </c>
      <c r="E389" s="92" t="s">
        <v>77</v>
      </c>
      <c r="F389" s="102">
        <v>1</v>
      </c>
      <c r="G389" s="102">
        <v>31639100</v>
      </c>
      <c r="H389" s="63">
        <f>F389*G389</f>
        <v>31639100</v>
      </c>
      <c r="I389" s="63"/>
      <c r="J389" s="63"/>
      <c r="K389" s="63"/>
      <c r="L389" s="68">
        <f t="shared" ref="L389:L398" si="59">TRUNC(F389*K389,0)</f>
        <v>0</v>
      </c>
      <c r="M389" s="63">
        <f t="shared" ref="M389:M399" si="60">K389+I389+G389</f>
        <v>31639100</v>
      </c>
      <c r="N389" s="58">
        <f t="shared" ref="N389:N399" si="61">+H389+J389+L389</f>
        <v>31639100</v>
      </c>
      <c r="O389" s="160"/>
    </row>
    <row r="390" spans="1:15" ht="30" customHeight="1">
      <c r="A390" s="63"/>
      <c r="B390" s="63"/>
      <c r="C390" s="102" t="s">
        <v>474</v>
      </c>
      <c r="D390" s="102" t="s">
        <v>475</v>
      </c>
      <c r="E390" s="101" t="s">
        <v>55</v>
      </c>
      <c r="F390" s="102">
        <v>1</v>
      </c>
      <c r="G390" s="102">
        <v>5828300</v>
      </c>
      <c r="H390" s="63">
        <f>F390*G390</f>
        <v>5828300</v>
      </c>
      <c r="I390" s="63">
        <v>2497800</v>
      </c>
      <c r="J390" s="63">
        <f>F390*I390</f>
        <v>2497800</v>
      </c>
      <c r="K390" s="63">
        <v>832600</v>
      </c>
      <c r="L390" s="68">
        <f t="shared" si="59"/>
        <v>832600</v>
      </c>
      <c r="M390" s="63">
        <f t="shared" si="60"/>
        <v>9158700</v>
      </c>
      <c r="N390" s="58">
        <f t="shared" si="61"/>
        <v>9158700</v>
      </c>
      <c r="O390" s="160"/>
    </row>
    <row r="391" spans="1:15" ht="30" customHeight="1">
      <c r="A391" s="63"/>
      <c r="B391" s="63"/>
      <c r="C391" s="107" t="s">
        <v>476</v>
      </c>
      <c r="D391" s="107" t="s">
        <v>477</v>
      </c>
      <c r="E391" s="108" t="s">
        <v>122</v>
      </c>
      <c r="F391" s="107">
        <v>2</v>
      </c>
      <c r="G391" s="107">
        <v>149900</v>
      </c>
      <c r="H391" s="68">
        <f t="shared" ref="H391:H399" si="62">TRUNC(F391*G391,0)</f>
        <v>299800</v>
      </c>
      <c r="I391" s="107">
        <v>99900</v>
      </c>
      <c r="J391" s="68">
        <f t="shared" ref="J391:J399" si="63">TRUNC(F391*I391,0)</f>
        <v>199800</v>
      </c>
      <c r="K391" s="107"/>
      <c r="L391" s="68">
        <f t="shared" si="59"/>
        <v>0</v>
      </c>
      <c r="M391" s="68">
        <f t="shared" si="60"/>
        <v>249800</v>
      </c>
      <c r="N391" s="156">
        <f t="shared" si="61"/>
        <v>499600</v>
      </c>
      <c r="O391" s="83"/>
    </row>
    <row r="392" spans="1:15" ht="30" customHeight="1">
      <c r="A392" s="63"/>
      <c r="B392" s="63"/>
      <c r="C392" s="98" t="s">
        <v>478</v>
      </c>
      <c r="D392" s="98" t="s">
        <v>479</v>
      </c>
      <c r="E392" s="92" t="s">
        <v>124</v>
      </c>
      <c r="F392" s="107">
        <v>11</v>
      </c>
      <c r="G392" s="107">
        <v>26600</v>
      </c>
      <c r="H392" s="63">
        <f t="shared" si="62"/>
        <v>292600</v>
      </c>
      <c r="I392" s="107">
        <v>15000</v>
      </c>
      <c r="J392" s="63">
        <f t="shared" si="63"/>
        <v>165000</v>
      </c>
      <c r="K392" s="107">
        <v>3300</v>
      </c>
      <c r="L392" s="68">
        <f t="shared" si="59"/>
        <v>36300</v>
      </c>
      <c r="M392" s="63">
        <f t="shared" si="60"/>
        <v>44900</v>
      </c>
      <c r="N392" s="58">
        <f t="shared" si="61"/>
        <v>493900</v>
      </c>
      <c r="O392" s="161"/>
    </row>
    <row r="393" spans="1:15" ht="30" customHeight="1">
      <c r="A393" s="63"/>
      <c r="B393" s="63"/>
      <c r="C393" s="107" t="s">
        <v>480</v>
      </c>
      <c r="D393" s="97" t="s">
        <v>481</v>
      </c>
      <c r="E393" s="108" t="s">
        <v>122</v>
      </c>
      <c r="F393" s="107">
        <v>1</v>
      </c>
      <c r="G393" s="107">
        <v>433000</v>
      </c>
      <c r="H393" s="63">
        <f t="shared" si="62"/>
        <v>433000</v>
      </c>
      <c r="I393" s="107">
        <v>316400</v>
      </c>
      <c r="J393" s="63">
        <f t="shared" si="63"/>
        <v>316400</v>
      </c>
      <c r="K393" s="107">
        <v>50000</v>
      </c>
      <c r="L393" s="68">
        <f t="shared" si="59"/>
        <v>50000</v>
      </c>
      <c r="M393" s="63">
        <f t="shared" si="60"/>
        <v>799400</v>
      </c>
      <c r="N393" s="58">
        <f t="shared" si="61"/>
        <v>799400</v>
      </c>
      <c r="O393" s="7"/>
    </row>
    <row r="394" spans="1:15" ht="30" customHeight="1">
      <c r="A394" s="63"/>
      <c r="B394" s="63"/>
      <c r="C394" s="90" t="s">
        <v>482</v>
      </c>
      <c r="D394" s="90" t="s">
        <v>483</v>
      </c>
      <c r="E394" s="103" t="s">
        <v>124</v>
      </c>
      <c r="F394" s="102">
        <v>11</v>
      </c>
      <c r="G394" s="102">
        <v>35000</v>
      </c>
      <c r="H394" s="63">
        <f t="shared" si="62"/>
        <v>385000</v>
      </c>
      <c r="I394" s="63">
        <v>16700</v>
      </c>
      <c r="J394" s="63">
        <f t="shared" si="63"/>
        <v>183700</v>
      </c>
      <c r="K394" s="63">
        <v>3300</v>
      </c>
      <c r="L394" s="68">
        <f t="shared" si="59"/>
        <v>36300</v>
      </c>
      <c r="M394" s="63">
        <f t="shared" si="60"/>
        <v>55000</v>
      </c>
      <c r="N394" s="58">
        <f t="shared" si="61"/>
        <v>605000</v>
      </c>
      <c r="O394" s="83"/>
    </row>
    <row r="395" spans="1:15" ht="30" customHeight="1">
      <c r="A395" s="63"/>
      <c r="B395" s="63"/>
      <c r="C395" s="102" t="s">
        <v>484</v>
      </c>
      <c r="D395" s="90" t="s">
        <v>485</v>
      </c>
      <c r="E395" s="103" t="s">
        <v>124</v>
      </c>
      <c r="F395" s="102">
        <v>53</v>
      </c>
      <c r="G395" s="102">
        <v>19200</v>
      </c>
      <c r="H395" s="63">
        <f t="shared" si="62"/>
        <v>1017600</v>
      </c>
      <c r="I395" s="63">
        <v>12500</v>
      </c>
      <c r="J395" s="63">
        <f t="shared" si="63"/>
        <v>662500</v>
      </c>
      <c r="K395" s="63">
        <v>4200</v>
      </c>
      <c r="L395" s="68">
        <f t="shared" si="59"/>
        <v>222600</v>
      </c>
      <c r="M395" s="63">
        <f t="shared" si="60"/>
        <v>35900</v>
      </c>
      <c r="N395" s="58">
        <f t="shared" si="61"/>
        <v>1902700</v>
      </c>
      <c r="O395" s="99"/>
    </row>
    <row r="396" spans="1:15" ht="30" customHeight="1">
      <c r="A396" s="63"/>
      <c r="B396" s="63"/>
      <c r="C396" s="102" t="s">
        <v>484</v>
      </c>
      <c r="D396" s="90" t="s">
        <v>486</v>
      </c>
      <c r="E396" s="103" t="s">
        <v>124</v>
      </c>
      <c r="F396" s="102">
        <v>20</v>
      </c>
      <c r="G396" s="102">
        <v>31600</v>
      </c>
      <c r="H396" s="63">
        <f t="shared" si="62"/>
        <v>632000</v>
      </c>
      <c r="I396" s="63">
        <v>15000</v>
      </c>
      <c r="J396" s="63">
        <f t="shared" si="63"/>
        <v>300000</v>
      </c>
      <c r="K396" s="63">
        <v>4200</v>
      </c>
      <c r="L396" s="68">
        <f t="shared" si="59"/>
        <v>84000</v>
      </c>
      <c r="M396" s="63">
        <f t="shared" si="60"/>
        <v>50800</v>
      </c>
      <c r="N396" s="58">
        <f t="shared" si="61"/>
        <v>1016000</v>
      </c>
      <c r="O396" s="83"/>
    </row>
    <row r="397" spans="1:15" ht="30" customHeight="1">
      <c r="A397" s="63"/>
      <c r="B397" s="63"/>
      <c r="C397" s="102" t="s">
        <v>487</v>
      </c>
      <c r="D397" s="102" t="s">
        <v>488</v>
      </c>
      <c r="E397" s="103" t="s">
        <v>77</v>
      </c>
      <c r="F397" s="102">
        <v>1</v>
      </c>
      <c r="G397" s="102">
        <v>416300</v>
      </c>
      <c r="H397" s="63">
        <f t="shared" si="62"/>
        <v>416300</v>
      </c>
      <c r="I397" s="63">
        <v>1748500</v>
      </c>
      <c r="J397" s="63">
        <f t="shared" si="63"/>
        <v>1748500</v>
      </c>
      <c r="K397" s="63">
        <v>1082400</v>
      </c>
      <c r="L397" s="68">
        <f t="shared" si="59"/>
        <v>1082400</v>
      </c>
      <c r="M397" s="63">
        <f t="shared" si="60"/>
        <v>3247200</v>
      </c>
      <c r="N397" s="58">
        <f t="shared" si="61"/>
        <v>3247200</v>
      </c>
      <c r="O397" s="99"/>
    </row>
    <row r="398" spans="1:15" ht="30" customHeight="1">
      <c r="A398" s="63"/>
      <c r="B398" s="63"/>
      <c r="C398" s="107" t="s">
        <v>489</v>
      </c>
      <c r="D398" s="107"/>
      <c r="E398" s="108" t="s">
        <v>55</v>
      </c>
      <c r="F398" s="107">
        <v>1</v>
      </c>
      <c r="G398" s="107">
        <v>416300</v>
      </c>
      <c r="H398" s="68">
        <f t="shared" si="62"/>
        <v>416300</v>
      </c>
      <c r="I398" s="68">
        <v>582800</v>
      </c>
      <c r="J398" s="68">
        <f t="shared" si="63"/>
        <v>582800</v>
      </c>
      <c r="K398" s="68"/>
      <c r="L398" s="68">
        <f t="shared" si="59"/>
        <v>0</v>
      </c>
      <c r="M398" s="63">
        <f t="shared" si="60"/>
        <v>999100</v>
      </c>
      <c r="N398" s="58">
        <f t="shared" si="61"/>
        <v>999100</v>
      </c>
      <c r="O398" s="83"/>
    </row>
    <row r="399" spans="1:15" ht="30" customHeight="1">
      <c r="A399" s="63"/>
      <c r="B399" s="63"/>
      <c r="C399" s="107" t="s">
        <v>490</v>
      </c>
      <c r="D399" s="107"/>
      <c r="E399" s="108" t="s">
        <v>55</v>
      </c>
      <c r="F399" s="107">
        <v>1</v>
      </c>
      <c r="G399" s="107">
        <v>6161300</v>
      </c>
      <c r="H399" s="68">
        <f t="shared" si="62"/>
        <v>6161300</v>
      </c>
      <c r="I399" s="93"/>
      <c r="J399" s="68">
        <f t="shared" si="63"/>
        <v>0</v>
      </c>
      <c r="K399" s="93"/>
      <c r="L399" s="68"/>
      <c r="M399" s="63">
        <f t="shared" si="60"/>
        <v>6161300</v>
      </c>
      <c r="N399" s="58">
        <f t="shared" si="61"/>
        <v>6161300</v>
      </c>
      <c r="O399" s="99"/>
    </row>
    <row r="400" spans="1:15" ht="30" customHeight="1">
      <c r="A400" s="63"/>
      <c r="B400" s="63"/>
      <c r="C400" s="102"/>
      <c r="D400" s="102"/>
      <c r="E400" s="105"/>
      <c r="F400" s="102"/>
      <c r="G400" s="107"/>
      <c r="H400" s="68"/>
      <c r="I400" s="107"/>
      <c r="J400" s="68"/>
      <c r="K400" s="107"/>
      <c r="L400" s="68"/>
      <c r="M400" s="63"/>
      <c r="N400" s="58"/>
      <c r="O400" s="99"/>
    </row>
    <row r="401" spans="1:15" ht="30" customHeight="1">
      <c r="A401" s="63"/>
      <c r="B401" s="63"/>
      <c r="C401" s="102"/>
      <c r="D401" s="102"/>
      <c r="E401" s="105"/>
      <c r="F401" s="102"/>
      <c r="G401" s="107"/>
      <c r="H401" s="68"/>
      <c r="I401" s="107"/>
      <c r="J401" s="68"/>
      <c r="K401" s="107"/>
      <c r="L401" s="68"/>
      <c r="M401" s="63"/>
      <c r="N401" s="58"/>
      <c r="O401" s="99"/>
    </row>
    <row r="402" spans="1:15" ht="30" customHeight="1">
      <c r="A402" s="63"/>
      <c r="B402" s="63"/>
      <c r="C402" s="91"/>
      <c r="D402" s="91"/>
      <c r="E402" s="101"/>
      <c r="F402" s="139"/>
      <c r="G402" s="141"/>
      <c r="H402" s="141"/>
      <c r="I402" s="142"/>
      <c r="J402" s="141"/>
      <c r="K402" s="142"/>
      <c r="L402" s="141"/>
      <c r="M402" s="68"/>
      <c r="N402" s="156"/>
      <c r="O402" s="99"/>
    </row>
    <row r="403" spans="1:15" ht="30" customHeight="1">
      <c r="A403" s="63"/>
      <c r="B403" s="63"/>
      <c r="C403" s="102"/>
      <c r="D403" s="102"/>
      <c r="E403" s="105"/>
      <c r="F403" s="102"/>
      <c r="G403" s="102"/>
      <c r="H403" s="63"/>
      <c r="I403" s="102"/>
      <c r="J403" s="63"/>
      <c r="K403" s="102"/>
      <c r="L403" s="63"/>
      <c r="M403" s="68"/>
      <c r="N403" s="156"/>
      <c r="O403" s="112"/>
    </row>
    <row r="404" spans="1:15" ht="30" customHeight="1">
      <c r="A404" s="63"/>
      <c r="B404" s="63"/>
      <c r="C404" s="102"/>
      <c r="D404" s="102"/>
      <c r="E404" s="105"/>
      <c r="F404" s="102"/>
      <c r="G404" s="102"/>
      <c r="H404" s="63"/>
      <c r="I404" s="102"/>
      <c r="J404" s="63"/>
      <c r="K404" s="102"/>
      <c r="L404" s="63"/>
      <c r="M404" s="63"/>
      <c r="N404" s="58"/>
      <c r="O404" s="112"/>
    </row>
    <row r="405" spans="1:15" ht="30" customHeight="1">
      <c r="A405" s="63"/>
      <c r="B405" s="63"/>
      <c r="C405" s="102"/>
      <c r="D405" s="102"/>
      <c r="E405" s="105"/>
      <c r="F405" s="102"/>
      <c r="G405" s="102"/>
      <c r="H405" s="63"/>
      <c r="I405" s="102"/>
      <c r="J405" s="63"/>
      <c r="K405" s="102"/>
      <c r="L405" s="63"/>
      <c r="M405" s="63"/>
      <c r="N405" s="58"/>
      <c r="O405" s="112"/>
    </row>
    <row r="406" spans="1:15" ht="30" customHeight="1">
      <c r="A406" s="63"/>
      <c r="B406" s="63"/>
      <c r="C406" s="102"/>
      <c r="D406" s="102"/>
      <c r="E406" s="105"/>
      <c r="F406" s="102"/>
      <c r="G406" s="102"/>
      <c r="H406" s="63"/>
      <c r="I406" s="102"/>
      <c r="J406" s="63"/>
      <c r="K406" s="102"/>
      <c r="L406" s="63"/>
      <c r="M406" s="63"/>
      <c r="N406" s="58"/>
      <c r="O406" s="112"/>
    </row>
    <row r="407" spans="1:15" ht="30" customHeight="1">
      <c r="A407" s="63"/>
      <c r="B407" s="63"/>
      <c r="C407" s="102"/>
      <c r="D407" s="102"/>
      <c r="E407" s="105"/>
      <c r="F407" s="102"/>
      <c r="G407" s="102"/>
      <c r="H407" s="63"/>
      <c r="I407" s="102"/>
      <c r="J407" s="63"/>
      <c r="K407" s="102"/>
      <c r="L407" s="63"/>
      <c r="M407" s="63"/>
      <c r="N407" s="58"/>
      <c r="O407" s="112"/>
    </row>
    <row r="408" spans="1:15" ht="30" customHeight="1">
      <c r="A408" s="63"/>
      <c r="B408" s="63"/>
      <c r="C408" s="107"/>
      <c r="D408" s="107"/>
      <c r="E408" s="108"/>
      <c r="F408" s="107"/>
      <c r="G408" s="107"/>
      <c r="H408" s="63">
        <f>TRUNC(F408*G408,0)</f>
        <v>0</v>
      </c>
      <c r="I408" s="102"/>
      <c r="J408" s="63">
        <f>TRUNC(F408*I408,0)</f>
        <v>0</v>
      </c>
      <c r="K408" s="102"/>
      <c r="L408" s="63">
        <f>TRUNC(F408*K408,0)</f>
        <v>0</v>
      </c>
      <c r="M408" s="63">
        <f>K408+I408+G408</f>
        <v>0</v>
      </c>
      <c r="N408" s="58">
        <f>+H408+J408+L408</f>
        <v>0</v>
      </c>
      <c r="O408" s="99"/>
    </row>
    <row r="409" spans="1:15" s="93" customFormat="1" ht="30" customHeight="1">
      <c r="A409" s="68" t="s">
        <v>427</v>
      </c>
      <c r="B409" s="68" t="s">
        <v>491</v>
      </c>
      <c r="C409" s="107"/>
      <c r="D409" s="107"/>
      <c r="E409" s="108"/>
      <c r="F409" s="107"/>
      <c r="G409" s="107"/>
      <c r="H409" s="63">
        <f>TRUNC(F409*G409,0)</f>
        <v>0</v>
      </c>
      <c r="I409" s="102"/>
      <c r="J409" s="63">
        <f>TRUNC(F409*I409,0)</f>
        <v>0</v>
      </c>
      <c r="K409" s="102"/>
      <c r="L409" s="63">
        <f>TRUNC(F409*K409,0)</f>
        <v>0</v>
      </c>
      <c r="M409" s="63">
        <f>K409+I409+G409</f>
        <v>0</v>
      </c>
      <c r="N409" s="58">
        <f>+H409+J409+L409</f>
        <v>0</v>
      </c>
      <c r="O409" s="99"/>
    </row>
    <row r="410" spans="1:15" s="93" customFormat="1" ht="30" customHeight="1">
      <c r="A410" s="68"/>
      <c r="B410" s="68"/>
      <c r="C410" s="107"/>
      <c r="D410" s="107"/>
      <c r="E410" s="108"/>
      <c r="F410" s="107"/>
      <c r="G410" s="107"/>
      <c r="H410" s="63">
        <f>TRUNC(F410*G410,0)</f>
        <v>0</v>
      </c>
      <c r="I410" s="102"/>
      <c r="J410" s="63">
        <f>TRUNC(F410*I410,0)</f>
        <v>0</v>
      </c>
      <c r="K410" s="102"/>
      <c r="L410" s="63">
        <f>TRUNC(F410*K410,0)</f>
        <v>0</v>
      </c>
      <c r="M410" s="63">
        <f>K410+I410+G410</f>
        <v>0</v>
      </c>
      <c r="N410" s="58">
        <f>+H410+J410+L410</f>
        <v>0</v>
      </c>
      <c r="O410" s="99"/>
    </row>
    <row r="411" spans="1:15" ht="30" customHeight="1">
      <c r="A411" s="63"/>
      <c r="B411" s="63"/>
      <c r="C411" s="100" t="s">
        <v>119</v>
      </c>
      <c r="D411" s="63"/>
      <c r="E411" s="112"/>
      <c r="F411" s="63"/>
      <c r="G411" s="63"/>
      <c r="H411" s="63">
        <f>SUM(H389:H410)</f>
        <v>47521300</v>
      </c>
      <c r="I411" s="63"/>
      <c r="J411" s="63">
        <f>SUM(J389:J410)</f>
        <v>6656500</v>
      </c>
      <c r="K411" s="63"/>
      <c r="L411" s="63">
        <f>SUM(L389:L410)</f>
        <v>2344200</v>
      </c>
      <c r="M411" s="63"/>
      <c r="N411" s="104">
        <f>+H411+J411+L411</f>
        <v>56522000</v>
      </c>
      <c r="O411" s="99"/>
    </row>
    <row r="413" spans="1:15">
      <c r="H413" s="54">
        <f>+H51+H123+H195+H243+H291+H339+H363+H387+H411</f>
        <v>349597150.16282976</v>
      </c>
    </row>
  </sheetData>
  <mergeCells count="12">
    <mergeCell ref="C1:O1"/>
    <mergeCell ref="A2:A3"/>
    <mergeCell ref="B2:B3"/>
    <mergeCell ref="C2:C3"/>
    <mergeCell ref="D2:D3"/>
    <mergeCell ref="E2:E3"/>
    <mergeCell ref="F2:F3"/>
    <mergeCell ref="G2:H2"/>
    <mergeCell ref="I2:J2"/>
    <mergeCell ref="K2:L2"/>
    <mergeCell ref="M2:N2"/>
    <mergeCell ref="O2:O3"/>
  </mergeCells>
  <phoneticPr fontId="14" type="noConversion"/>
  <printOptions horizontalCentered="1"/>
  <pageMargins left="0.15763888888888899" right="0.15763888888888899" top="0.70833333333333304" bottom="0.39374999999999999" header="0.35416666666666702" footer="0.511811023622047"/>
  <pageSetup paperSize="9" scale="65" orientation="landscape" horizontalDpi="300" verticalDpi="300" r:id="rId1"/>
  <headerFooter>
    <oddHeader>&amp;C&amp;16 &amp;E건 축 견 적 내 역 서</oddHeader>
  </headerFooter>
  <rowBreaks count="1" manualBreakCount="1">
    <brk id="19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pageSetUpPr fitToPage="1"/>
  </sheetPr>
  <dimension ref="A1:M424"/>
  <sheetViews>
    <sheetView view="pageBreakPreview" zoomScale="70" zoomScaleNormal="100" zoomScalePageLayoutView="70" workbookViewId="0">
      <pane xSplit="2" ySplit="5" topLeftCell="C6" activePane="bottomRight" state="frozen"/>
      <selection pane="topRight" activeCell="C1" sqref="C1"/>
      <selection pane="bottomLeft" activeCell="A12" sqref="A12"/>
      <selection pane="bottomRight" activeCell="I20" sqref="I20"/>
    </sheetView>
  </sheetViews>
  <sheetFormatPr defaultColWidth="8.21875" defaultRowHeight="16.5"/>
  <cols>
    <col min="1" max="1" width="28.109375" style="162" customWidth="1"/>
    <col min="2" max="2" width="18.88671875" style="162" customWidth="1"/>
    <col min="3" max="4" width="7.88671875" style="162" customWidth="1"/>
    <col min="5" max="5" width="11.5546875" style="162" customWidth="1"/>
    <col min="6" max="6" width="14.33203125" style="162" customWidth="1"/>
    <col min="7" max="7" width="11.5546875" style="162" customWidth="1"/>
    <col min="8" max="8" width="14.33203125" style="162" customWidth="1"/>
    <col min="9" max="9" width="11.5546875" style="162" customWidth="1"/>
    <col min="10" max="10" width="14.33203125" style="162" customWidth="1"/>
    <col min="11" max="11" width="11.5546875" style="162" customWidth="1"/>
    <col min="12" max="12" width="15.44140625" style="162" customWidth="1"/>
    <col min="13" max="13" width="14.33203125" style="162" customWidth="1"/>
    <col min="14" max="16384" width="8.21875" style="162"/>
  </cols>
  <sheetData>
    <row r="1" spans="1:13" ht="30" customHeight="1">
      <c r="A1" s="313" t="s">
        <v>492</v>
      </c>
      <c r="B1" s="313"/>
      <c r="C1" s="313"/>
      <c r="D1" s="313"/>
      <c r="E1" s="313"/>
      <c r="F1" s="313"/>
      <c r="G1" s="313"/>
      <c r="H1" s="313"/>
      <c r="I1" s="313"/>
      <c r="J1" s="313"/>
      <c r="K1" s="313"/>
      <c r="L1" s="313"/>
      <c r="M1" s="313"/>
    </row>
    <row r="2" spans="1:13" ht="30" customHeight="1">
      <c r="A2" s="313"/>
      <c r="B2" s="313"/>
      <c r="C2" s="313"/>
      <c r="D2" s="313"/>
      <c r="E2" s="313"/>
      <c r="F2" s="313"/>
      <c r="G2" s="313"/>
      <c r="H2" s="313"/>
      <c r="I2" s="313"/>
      <c r="J2" s="313"/>
      <c r="K2" s="313"/>
      <c r="L2" s="313"/>
      <c r="M2" s="313"/>
    </row>
    <row r="3" spans="1:13" ht="30" customHeight="1">
      <c r="A3" s="163" t="str">
        <f>설비내역서!A3</f>
        <v>[공사명 : 은평구 역촌동 36-9번지 근생 증축 및 대수선공사중 기계설비공사]</v>
      </c>
      <c r="B3" s="164"/>
      <c r="C3" s="165"/>
      <c r="D3" s="165"/>
      <c r="E3" s="165"/>
      <c r="F3" s="165"/>
      <c r="G3" s="165"/>
      <c r="H3" s="165"/>
      <c r="I3" s="165"/>
      <c r="J3" s="165"/>
      <c r="K3" s="165"/>
      <c r="L3" s="166"/>
      <c r="M3" s="167"/>
    </row>
    <row r="4" spans="1:13" ht="30" customHeight="1">
      <c r="A4" s="314" t="s">
        <v>43</v>
      </c>
      <c r="B4" s="314" t="s">
        <v>44</v>
      </c>
      <c r="C4" s="314" t="s">
        <v>45</v>
      </c>
      <c r="D4" s="314" t="s">
        <v>46</v>
      </c>
      <c r="E4" s="314" t="s">
        <v>493</v>
      </c>
      <c r="F4" s="314"/>
      <c r="G4" s="314" t="s">
        <v>494</v>
      </c>
      <c r="H4" s="314"/>
      <c r="I4" s="314" t="s">
        <v>495</v>
      </c>
      <c r="J4" s="314"/>
      <c r="K4" s="314" t="s">
        <v>496</v>
      </c>
      <c r="L4" s="314"/>
      <c r="M4" s="314" t="s">
        <v>497</v>
      </c>
    </row>
    <row r="5" spans="1:13" ht="30" customHeight="1">
      <c r="A5" s="314"/>
      <c r="B5" s="314"/>
      <c r="C5" s="314"/>
      <c r="D5" s="314"/>
      <c r="E5" s="168" t="s">
        <v>498</v>
      </c>
      <c r="F5" s="168" t="s">
        <v>2</v>
      </c>
      <c r="G5" s="168" t="s">
        <v>498</v>
      </c>
      <c r="H5" s="168" t="s">
        <v>2</v>
      </c>
      <c r="I5" s="168" t="s">
        <v>498</v>
      </c>
      <c r="J5" s="168" t="s">
        <v>2</v>
      </c>
      <c r="K5" s="168" t="s">
        <v>498</v>
      </c>
      <c r="L5" s="168" t="s">
        <v>2</v>
      </c>
      <c r="M5" s="314"/>
    </row>
    <row r="6" spans="1:13" s="174" customFormat="1" ht="30" customHeight="1">
      <c r="A6" s="169" t="s">
        <v>499</v>
      </c>
      <c r="B6" s="170"/>
      <c r="C6" s="171"/>
      <c r="D6" s="172"/>
      <c r="E6" s="172"/>
      <c r="F6" s="172">
        <f>SUM(F7:F14)</f>
        <v>41228080</v>
      </c>
      <c r="G6" s="172"/>
      <c r="H6" s="172">
        <f>SUM(H7:H14)</f>
        <v>33881420</v>
      </c>
      <c r="I6" s="172"/>
      <c r="J6" s="172">
        <f>SUM(J7:J27)</f>
        <v>0</v>
      </c>
      <c r="K6" s="172"/>
      <c r="L6" s="172">
        <f>SUM(L7:L14)</f>
        <v>75109500</v>
      </c>
      <c r="M6" s="173"/>
    </row>
    <row r="7" spans="1:13" ht="30" customHeight="1">
      <c r="A7" s="175" t="str">
        <f>설비내역서!A6</f>
        <v>0201 장비설치공사</v>
      </c>
      <c r="B7" s="176"/>
      <c r="C7" s="175"/>
      <c r="D7" s="175"/>
      <c r="E7" s="175"/>
      <c r="F7" s="175">
        <f>설비내역서!F27</f>
        <v>5037662</v>
      </c>
      <c r="G7" s="175"/>
      <c r="H7" s="175">
        <f>설비내역서!H27</f>
        <v>2027900</v>
      </c>
      <c r="I7" s="175"/>
      <c r="J7" s="175">
        <f>설비내역서!J6</f>
        <v>0</v>
      </c>
      <c r="K7" s="175"/>
      <c r="L7" s="175">
        <f t="shared" ref="L7:L13" si="0">F7+H7+J7</f>
        <v>7065562</v>
      </c>
      <c r="M7" s="175"/>
    </row>
    <row r="8" spans="1:13" ht="30" customHeight="1">
      <c r="A8" s="175" t="str">
        <f>설비내역서!A28</f>
        <v>0202 위생기구설치공사</v>
      </c>
      <c r="B8" s="175"/>
      <c r="C8" s="175"/>
      <c r="D8" s="175"/>
      <c r="E8" s="175"/>
      <c r="F8" s="175">
        <f>설비내역서!F49</f>
        <v>6881425</v>
      </c>
      <c r="G8" s="175"/>
      <c r="H8" s="175">
        <f>설비내역서!H49</f>
        <v>4217500</v>
      </c>
      <c r="I8" s="175"/>
      <c r="J8" s="175">
        <f>설비내역서!J28</f>
        <v>0</v>
      </c>
      <c r="K8" s="175"/>
      <c r="L8" s="175">
        <f t="shared" si="0"/>
        <v>11098925</v>
      </c>
      <c r="M8" s="175"/>
    </row>
    <row r="9" spans="1:13" ht="30" customHeight="1">
      <c r="A9" s="175" t="str">
        <f>설비내역서!A50</f>
        <v>0203 급수급탕배관공사</v>
      </c>
      <c r="B9" s="175"/>
      <c r="C9" s="175"/>
      <c r="D9" s="175"/>
      <c r="E9" s="175"/>
      <c r="F9" s="175">
        <f>설비내역서!F115</f>
        <v>4825056</v>
      </c>
      <c r="G9" s="175"/>
      <c r="H9" s="175">
        <f>설비내역서!H115</f>
        <v>7028520</v>
      </c>
      <c r="I9" s="175"/>
      <c r="J9" s="175">
        <f>설비내역서!J50</f>
        <v>0</v>
      </c>
      <c r="K9" s="175"/>
      <c r="L9" s="175">
        <f t="shared" si="0"/>
        <v>11853576</v>
      </c>
      <c r="M9" s="175"/>
    </row>
    <row r="10" spans="1:13" ht="30" customHeight="1">
      <c r="A10" s="175" t="str">
        <f>설비내역서!A116</f>
        <v>0204 오배수 및 환기배관공사</v>
      </c>
      <c r="B10" s="175"/>
      <c r="C10" s="175"/>
      <c r="D10" s="175"/>
      <c r="E10" s="175"/>
      <c r="F10" s="175">
        <f>설비내역서!F181</f>
        <v>6438546</v>
      </c>
      <c r="G10" s="175"/>
      <c r="H10" s="175">
        <f>설비내역서!H181</f>
        <v>7316450</v>
      </c>
      <c r="I10" s="175"/>
      <c r="J10" s="175">
        <f>설비내역서!J116</f>
        <v>0</v>
      </c>
      <c r="K10" s="175"/>
      <c r="L10" s="175">
        <f t="shared" si="0"/>
        <v>13754996</v>
      </c>
      <c r="M10" s="175"/>
    </row>
    <row r="11" spans="1:13" ht="30" customHeight="1">
      <c r="A11" s="175" t="str">
        <f>설비내역서!A204</f>
        <v>0206 난방배관공사</v>
      </c>
      <c r="B11" s="175"/>
      <c r="C11" s="175"/>
      <c r="D11" s="175"/>
      <c r="E11" s="175"/>
      <c r="F11" s="175">
        <f>설비내역서!F225</f>
        <v>854263</v>
      </c>
      <c r="G11" s="175"/>
      <c r="H11" s="175">
        <f>설비내역서!H225</f>
        <v>2906500</v>
      </c>
      <c r="I11" s="175"/>
      <c r="J11" s="175"/>
      <c r="K11" s="175"/>
      <c r="L11" s="175">
        <f t="shared" si="0"/>
        <v>3760763</v>
      </c>
      <c r="M11" s="175"/>
    </row>
    <row r="12" spans="1:13" ht="30" customHeight="1">
      <c r="A12" s="175" t="str">
        <f>+설비내역서!A182</f>
        <v>0205 가스배관공사</v>
      </c>
      <c r="B12" s="175"/>
      <c r="C12" s="175"/>
      <c r="D12" s="175"/>
      <c r="E12" s="175"/>
      <c r="F12" s="175">
        <f>+설비내역서!F181</f>
        <v>6438546</v>
      </c>
      <c r="G12" s="175"/>
      <c r="H12" s="175">
        <f>+설비내역서!H181</f>
        <v>7316450</v>
      </c>
      <c r="I12" s="175"/>
      <c r="J12" s="175"/>
      <c r="K12" s="175"/>
      <c r="L12" s="175">
        <f t="shared" si="0"/>
        <v>13754996</v>
      </c>
      <c r="M12" s="175"/>
    </row>
    <row r="13" spans="1:13" ht="30" customHeight="1">
      <c r="A13" s="175" t="str">
        <f>+설비내역서!A226</f>
        <v>0207 EHP,ERV 공사</v>
      </c>
      <c r="B13" s="175"/>
      <c r="C13" s="175"/>
      <c r="D13" s="175"/>
      <c r="E13" s="175"/>
      <c r="F13" s="175">
        <f>+설비내역서!F269</f>
        <v>10752582</v>
      </c>
      <c r="G13" s="175"/>
      <c r="H13" s="175">
        <f>+설비내역서!H269</f>
        <v>3068100</v>
      </c>
      <c r="I13" s="175"/>
      <c r="J13" s="175"/>
      <c r="K13" s="175"/>
      <c r="L13" s="175">
        <f t="shared" si="0"/>
        <v>13820682</v>
      </c>
      <c r="M13" s="175"/>
    </row>
    <row r="14" spans="1:13" ht="30" customHeight="1">
      <c r="A14" s="175"/>
      <c r="B14" s="175"/>
      <c r="C14" s="175"/>
      <c r="D14" s="175"/>
      <c r="E14" s="175"/>
      <c r="F14" s="175"/>
      <c r="G14" s="175"/>
      <c r="H14" s="175"/>
      <c r="I14" s="175"/>
      <c r="J14" s="175"/>
      <c r="K14" s="175"/>
      <c r="L14" s="175"/>
      <c r="M14" s="175"/>
    </row>
    <row r="15" spans="1:13" ht="30" customHeight="1">
      <c r="A15" s="177" t="s">
        <v>500</v>
      </c>
      <c r="B15" s="178"/>
      <c r="C15" s="178"/>
      <c r="D15" s="178"/>
      <c r="E15" s="178"/>
      <c r="F15" s="178">
        <f>SUM(F16:F19)</f>
        <v>53333092</v>
      </c>
      <c r="G15" s="178"/>
      <c r="H15" s="178">
        <f>SUM(H16:H19)</f>
        <v>28175675</v>
      </c>
      <c r="I15" s="178">
        <f>SUM(I16:I19)</f>
        <v>0</v>
      </c>
      <c r="J15" s="178"/>
      <c r="K15" s="178"/>
      <c r="L15" s="178">
        <f>SUM(L16:L19)</f>
        <v>81508767</v>
      </c>
      <c r="M15" s="178"/>
    </row>
    <row r="16" spans="1:13" ht="30" customHeight="1">
      <c r="A16" s="175" t="str">
        <f>설비내역서!A270</f>
        <v>0201 소화장비설치공사</v>
      </c>
      <c r="B16" s="175"/>
      <c r="C16" s="175"/>
      <c r="D16" s="175"/>
      <c r="E16" s="175"/>
      <c r="F16" s="175">
        <f>설비내역서!F291</f>
        <v>23168508</v>
      </c>
      <c r="G16" s="175"/>
      <c r="H16" s="175">
        <f>설비내역서!H291</f>
        <v>2313600</v>
      </c>
      <c r="I16" s="175"/>
      <c r="J16" s="175"/>
      <c r="K16" s="175"/>
      <c r="L16" s="175">
        <f>F16+H16+J16</f>
        <v>25482108</v>
      </c>
      <c r="M16" s="175"/>
    </row>
    <row r="17" spans="1:13" ht="30" customHeight="1">
      <c r="A17" s="175" t="str">
        <f>설비내역서!A292</f>
        <v>0202 소화기계실배관공사</v>
      </c>
      <c r="B17" s="175"/>
      <c r="C17" s="175"/>
      <c r="D17" s="175"/>
      <c r="E17" s="175"/>
      <c r="F17" s="175">
        <f>설비내역서!F357</f>
        <v>6554620</v>
      </c>
      <c r="G17" s="175"/>
      <c r="H17" s="175">
        <f>설비내역서!H357</f>
        <v>5202775</v>
      </c>
      <c r="I17" s="175"/>
      <c r="J17" s="175"/>
      <c r="K17" s="175"/>
      <c r="L17" s="175">
        <f>F17+H17+J17</f>
        <v>11757395</v>
      </c>
      <c r="M17" s="175"/>
    </row>
    <row r="18" spans="1:13" ht="30" customHeight="1">
      <c r="A18" s="175" t="str">
        <f>설비내역서!A358</f>
        <v>0203 옥내소화배관공사</v>
      </c>
      <c r="B18" s="175"/>
      <c r="C18" s="175"/>
      <c r="D18" s="175"/>
      <c r="E18" s="175"/>
      <c r="F18" s="175">
        <f>설비내역서!F445</f>
        <v>20928564</v>
      </c>
      <c r="G18" s="175"/>
      <c r="H18" s="175">
        <f>설비내역서!H445</f>
        <v>19422000</v>
      </c>
      <c r="I18" s="175"/>
      <c r="J18" s="175"/>
      <c r="K18" s="175"/>
      <c r="L18" s="175">
        <f>F18+H18+J18</f>
        <v>40350564</v>
      </c>
      <c r="M18" s="175"/>
    </row>
    <row r="19" spans="1:13" ht="30" customHeight="1">
      <c r="A19" s="175" t="str">
        <f>설비내역서!A446</f>
        <v>0205 내진설치공사</v>
      </c>
      <c r="B19" s="175"/>
      <c r="C19" s="175"/>
      <c r="D19" s="175"/>
      <c r="E19" s="175"/>
      <c r="F19" s="175">
        <f>설비내역서!F467</f>
        <v>2681400</v>
      </c>
      <c r="G19" s="175"/>
      <c r="H19" s="175">
        <f>설비내역서!H467</f>
        <v>1237300</v>
      </c>
      <c r="I19" s="175"/>
      <c r="J19" s="175"/>
      <c r="K19" s="175"/>
      <c r="L19" s="175">
        <f>F19+H19+J19</f>
        <v>3918700</v>
      </c>
      <c r="M19" s="175"/>
    </row>
    <row r="20" spans="1:13" ht="30" customHeight="1">
      <c r="A20" s="175"/>
      <c r="B20" s="175"/>
      <c r="C20" s="175"/>
      <c r="D20" s="175"/>
      <c r="E20" s="175"/>
      <c r="F20" s="175"/>
      <c r="G20" s="175"/>
      <c r="H20" s="175"/>
      <c r="I20" s="175"/>
      <c r="J20" s="175"/>
      <c r="K20" s="175"/>
      <c r="L20" s="175"/>
      <c r="M20" s="175"/>
    </row>
    <row r="21" spans="1:13" ht="30" customHeight="1">
      <c r="A21" s="175"/>
      <c r="B21" s="175"/>
      <c r="C21" s="175"/>
      <c r="D21" s="175"/>
      <c r="E21" s="175"/>
      <c r="F21" s="175"/>
      <c r="G21" s="175"/>
      <c r="H21" s="175"/>
      <c r="I21" s="175"/>
      <c r="J21" s="175"/>
      <c r="K21" s="175"/>
      <c r="L21" s="175"/>
      <c r="M21" s="175"/>
    </row>
    <row r="22" spans="1:13" ht="30" customHeight="1">
      <c r="A22" s="175"/>
      <c r="B22" s="175"/>
      <c r="C22" s="175"/>
      <c r="D22" s="175"/>
      <c r="E22" s="175"/>
      <c r="F22" s="175"/>
      <c r="G22" s="175"/>
      <c r="H22" s="175"/>
      <c r="I22" s="175"/>
      <c r="J22" s="175"/>
      <c r="K22" s="175"/>
      <c r="L22" s="175"/>
      <c r="M22" s="175"/>
    </row>
    <row r="23" spans="1:13" ht="30" customHeight="1">
      <c r="A23" s="175"/>
      <c r="B23" s="175"/>
      <c r="C23" s="175"/>
      <c r="D23" s="175"/>
      <c r="E23" s="175"/>
      <c r="F23" s="175"/>
      <c r="G23" s="175"/>
      <c r="H23" s="175"/>
      <c r="I23" s="175"/>
      <c r="J23" s="175"/>
      <c r="K23" s="175"/>
      <c r="L23" s="175"/>
      <c r="M23" s="175"/>
    </row>
    <row r="24" spans="1:13" ht="30" customHeight="1">
      <c r="A24" s="175"/>
      <c r="B24" s="175"/>
      <c r="C24" s="175"/>
      <c r="D24" s="175"/>
      <c r="E24" s="175"/>
      <c r="F24" s="175"/>
      <c r="G24" s="175"/>
      <c r="H24" s="175"/>
      <c r="I24" s="175"/>
      <c r="J24" s="175"/>
      <c r="K24" s="175"/>
      <c r="L24" s="175"/>
      <c r="M24" s="175"/>
    </row>
    <row r="25" spans="1:13" ht="30" customHeight="1">
      <c r="A25" s="175"/>
      <c r="B25" s="175"/>
      <c r="C25" s="175"/>
      <c r="D25" s="175"/>
      <c r="E25" s="175"/>
      <c r="F25" s="175"/>
      <c r="G25" s="175"/>
      <c r="H25" s="175"/>
      <c r="I25" s="175"/>
      <c r="J25" s="175"/>
      <c r="K25" s="175"/>
      <c r="L25" s="175"/>
      <c r="M25" s="175"/>
    </row>
    <row r="26" spans="1:13" ht="30" customHeight="1">
      <c r="A26" s="175"/>
      <c r="B26" s="175"/>
      <c r="C26" s="175"/>
      <c r="D26" s="175"/>
      <c r="E26" s="175"/>
      <c r="F26" s="175"/>
      <c r="G26" s="175"/>
      <c r="H26" s="175"/>
      <c r="I26" s="175"/>
      <c r="J26" s="175"/>
      <c r="K26" s="175"/>
      <c r="L26" s="175"/>
      <c r="M26" s="175"/>
    </row>
    <row r="27" spans="1:13" ht="30" customHeight="1">
      <c r="A27" s="168" t="s">
        <v>501</v>
      </c>
      <c r="B27" s="168"/>
      <c r="C27" s="168"/>
      <c r="D27" s="179"/>
      <c r="E27" s="168"/>
      <c r="F27" s="180">
        <f>+F15+F6</f>
        <v>94561172</v>
      </c>
      <c r="G27" s="180"/>
      <c r="H27" s="180">
        <f>+H15+H6</f>
        <v>62057095</v>
      </c>
      <c r="I27" s="180"/>
      <c r="J27" s="180"/>
      <c r="K27" s="180"/>
      <c r="L27" s="180">
        <f>+L15+L6</f>
        <v>156618267</v>
      </c>
      <c r="M27" s="168"/>
    </row>
    <row r="424" spans="7:7" ht="30" customHeight="1">
      <c r="G424" s="181"/>
    </row>
  </sheetData>
  <mergeCells count="10">
    <mergeCell ref="A1:M2"/>
    <mergeCell ref="A4:A5"/>
    <mergeCell ref="B4:B5"/>
    <mergeCell ref="C4:C5"/>
    <mergeCell ref="D4:D5"/>
    <mergeCell ref="E4:F4"/>
    <mergeCell ref="G4:H4"/>
    <mergeCell ref="I4:J4"/>
    <mergeCell ref="K4:L4"/>
    <mergeCell ref="M4:M5"/>
  </mergeCells>
  <phoneticPr fontId="14" type="noConversion"/>
  <printOptions horizontalCentered="1"/>
  <pageMargins left="0.39374999999999999" right="0.39374999999999999" top="0.59027777777777801" bottom="0.59027777777777801" header="0.511811023622047" footer="0.511811023622047"/>
  <pageSetup paperSize="9" scale="66"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pageSetUpPr fitToPage="1"/>
  </sheetPr>
  <dimension ref="A1:BK467"/>
  <sheetViews>
    <sheetView view="pageBreakPreview" zoomScale="70" zoomScaleNormal="70" zoomScalePageLayoutView="70" workbookViewId="0">
      <pane ySplit="5" topLeftCell="A161" activePane="bottomLeft" state="frozen"/>
      <selection pane="bottomLeft" activeCell="M3" sqref="M1:M1048576"/>
    </sheetView>
  </sheetViews>
  <sheetFormatPr defaultColWidth="8.21875" defaultRowHeight="16.5"/>
  <cols>
    <col min="1" max="1" width="28.109375" style="182" customWidth="1"/>
    <col min="2" max="2" width="28.109375" style="183" customWidth="1"/>
    <col min="3" max="3" width="7.88671875" style="184" customWidth="1"/>
    <col min="4" max="4" width="9.77734375" style="184" customWidth="1"/>
    <col min="5" max="5" width="11.5546875" style="185" customWidth="1"/>
    <col min="6" max="6" width="14.33203125" style="185" customWidth="1"/>
    <col min="7" max="7" width="11.5546875" style="185" customWidth="1"/>
    <col min="8" max="8" width="14.33203125" style="185" customWidth="1"/>
    <col min="9" max="9" width="11.5546875" style="185" customWidth="1"/>
    <col min="10" max="10" width="14.33203125" style="185" customWidth="1"/>
    <col min="11" max="11" width="11.5546875" style="185" customWidth="1"/>
    <col min="12" max="12" width="14.33203125" style="185" customWidth="1"/>
    <col min="13" max="13" width="14.33203125" style="186" customWidth="1"/>
    <col min="14" max="16384" width="8.21875" style="182"/>
  </cols>
  <sheetData>
    <row r="1" spans="1:13" ht="30" customHeight="1">
      <c r="A1" s="315" t="s">
        <v>502</v>
      </c>
      <c r="B1" s="315"/>
      <c r="C1" s="315"/>
      <c r="D1" s="315"/>
      <c r="E1" s="315"/>
      <c r="F1" s="315"/>
      <c r="G1" s="315"/>
      <c r="H1" s="315"/>
      <c r="I1" s="315"/>
      <c r="J1" s="315"/>
      <c r="K1" s="315"/>
      <c r="L1" s="315"/>
      <c r="M1" s="315"/>
    </row>
    <row r="2" spans="1:13" ht="30" customHeight="1">
      <c r="A2" s="315"/>
      <c r="B2" s="315"/>
      <c r="C2" s="315"/>
      <c r="D2" s="315"/>
      <c r="E2" s="315"/>
      <c r="F2" s="315"/>
      <c r="G2" s="315"/>
      <c r="H2" s="315"/>
      <c r="I2" s="315"/>
      <c r="J2" s="315"/>
      <c r="K2" s="315"/>
      <c r="L2" s="315"/>
      <c r="M2" s="315"/>
    </row>
    <row r="3" spans="1:13" ht="30" customHeight="1">
      <c r="A3" s="187" t="s">
        <v>503</v>
      </c>
      <c r="B3" s="187"/>
      <c r="C3" s="188"/>
      <c r="D3" s="188"/>
      <c r="E3" s="189"/>
      <c r="F3" s="189"/>
      <c r="G3" s="189"/>
      <c r="H3" s="189"/>
      <c r="I3" s="189"/>
      <c r="J3" s="189"/>
      <c r="K3" s="189"/>
      <c r="L3" s="189"/>
      <c r="M3" s="190"/>
    </row>
    <row r="4" spans="1:13" s="192" customFormat="1" ht="30" customHeight="1">
      <c r="A4" s="316" t="s">
        <v>43</v>
      </c>
      <c r="B4" s="316" t="s">
        <v>44</v>
      </c>
      <c r="C4" s="316" t="s">
        <v>45</v>
      </c>
      <c r="D4" s="316" t="s">
        <v>46</v>
      </c>
      <c r="E4" s="317" t="s">
        <v>493</v>
      </c>
      <c r="F4" s="317"/>
      <c r="G4" s="317" t="s">
        <v>494</v>
      </c>
      <c r="H4" s="317"/>
      <c r="I4" s="317" t="s">
        <v>495</v>
      </c>
      <c r="J4" s="317"/>
      <c r="K4" s="317" t="s">
        <v>496</v>
      </c>
      <c r="L4" s="317"/>
      <c r="M4" s="318" t="s">
        <v>497</v>
      </c>
    </row>
    <row r="5" spans="1:13" s="192" customFormat="1" ht="30" customHeight="1">
      <c r="A5" s="316"/>
      <c r="B5" s="316"/>
      <c r="C5" s="316"/>
      <c r="D5" s="316"/>
      <c r="E5" s="191" t="s">
        <v>498</v>
      </c>
      <c r="F5" s="191" t="s">
        <v>2</v>
      </c>
      <c r="G5" s="191" t="s">
        <v>498</v>
      </c>
      <c r="H5" s="191" t="s">
        <v>2</v>
      </c>
      <c r="I5" s="191" t="s">
        <v>498</v>
      </c>
      <c r="J5" s="191" t="s">
        <v>2</v>
      </c>
      <c r="K5" s="191" t="s">
        <v>498</v>
      </c>
      <c r="L5" s="191" t="s">
        <v>2</v>
      </c>
      <c r="M5" s="318"/>
    </row>
    <row r="6" spans="1:13" s="198" customFormat="1" ht="30" customHeight="1">
      <c r="A6" s="193" t="s">
        <v>504</v>
      </c>
      <c r="B6" s="194"/>
      <c r="C6" s="195"/>
      <c r="D6" s="195"/>
      <c r="E6" s="196"/>
      <c r="F6" s="196"/>
      <c r="G6" s="196"/>
      <c r="H6" s="196"/>
      <c r="I6" s="196"/>
      <c r="J6" s="196"/>
      <c r="K6" s="196"/>
      <c r="L6" s="196"/>
      <c r="M6" s="197"/>
    </row>
    <row r="7" spans="1:13" ht="30" customHeight="1">
      <c r="A7" s="199" t="s">
        <v>505</v>
      </c>
      <c r="B7" s="200" t="s">
        <v>506</v>
      </c>
      <c r="C7" s="201" t="s">
        <v>77</v>
      </c>
      <c r="D7" s="202">
        <v>2</v>
      </c>
      <c r="E7" s="203">
        <v>158200</v>
      </c>
      <c r="F7" s="203">
        <f t="shared" ref="F7:F16" si="0">D7*E7</f>
        <v>316400</v>
      </c>
      <c r="G7" s="203"/>
      <c r="H7" s="203"/>
      <c r="I7" s="203"/>
      <c r="J7" s="203"/>
      <c r="K7" s="203">
        <f t="shared" ref="K7:K16" si="1">E7+G7+I7</f>
        <v>158200</v>
      </c>
      <c r="L7" s="203">
        <f t="shared" ref="L7:L16" si="2">F7+H7+J7</f>
        <v>316400</v>
      </c>
      <c r="M7" s="199"/>
    </row>
    <row r="8" spans="1:13" ht="30" customHeight="1">
      <c r="A8" s="199" t="s">
        <v>507</v>
      </c>
      <c r="B8" s="200" t="s">
        <v>508</v>
      </c>
      <c r="C8" s="201" t="s">
        <v>77</v>
      </c>
      <c r="D8" s="202">
        <v>2</v>
      </c>
      <c r="E8" s="203">
        <v>582800</v>
      </c>
      <c r="F8" s="203">
        <f t="shared" si="0"/>
        <v>1165600</v>
      </c>
      <c r="G8" s="203"/>
      <c r="H8" s="203"/>
      <c r="I8" s="203"/>
      <c r="J8" s="203"/>
      <c r="K8" s="203">
        <f t="shared" si="1"/>
        <v>582800</v>
      </c>
      <c r="L8" s="203">
        <f t="shared" si="2"/>
        <v>1165600</v>
      </c>
      <c r="M8" s="199"/>
    </row>
    <row r="9" spans="1:13" ht="30" customHeight="1">
      <c r="A9" s="199" t="s">
        <v>509</v>
      </c>
      <c r="B9" s="200" t="s">
        <v>510</v>
      </c>
      <c r="C9" s="201" t="s">
        <v>77</v>
      </c>
      <c r="D9" s="202">
        <v>7</v>
      </c>
      <c r="E9" s="203">
        <v>50000</v>
      </c>
      <c r="F9" s="203">
        <f t="shared" si="0"/>
        <v>350000</v>
      </c>
      <c r="G9" s="203"/>
      <c r="H9" s="203"/>
      <c r="I9" s="203"/>
      <c r="J9" s="203"/>
      <c r="K9" s="203">
        <f t="shared" si="1"/>
        <v>50000</v>
      </c>
      <c r="L9" s="203">
        <f t="shared" si="2"/>
        <v>350000</v>
      </c>
      <c r="M9" s="199"/>
    </row>
    <row r="10" spans="1:13" ht="30" customHeight="1">
      <c r="A10" s="199" t="s">
        <v>509</v>
      </c>
      <c r="B10" s="200" t="s">
        <v>511</v>
      </c>
      <c r="C10" s="201" t="s">
        <v>77</v>
      </c>
      <c r="D10" s="202">
        <v>3</v>
      </c>
      <c r="E10" s="203">
        <v>201500</v>
      </c>
      <c r="F10" s="203">
        <f t="shared" si="0"/>
        <v>604500</v>
      </c>
      <c r="G10" s="203"/>
      <c r="H10" s="203"/>
      <c r="I10" s="203"/>
      <c r="J10" s="203"/>
      <c r="K10" s="203">
        <f t="shared" si="1"/>
        <v>201500</v>
      </c>
      <c r="L10" s="203">
        <f t="shared" si="2"/>
        <v>604500</v>
      </c>
      <c r="M10" s="200"/>
    </row>
    <row r="11" spans="1:13" ht="30" customHeight="1">
      <c r="A11" s="199" t="s">
        <v>512</v>
      </c>
      <c r="B11" s="200" t="s">
        <v>513</v>
      </c>
      <c r="C11" s="201" t="s">
        <v>77</v>
      </c>
      <c r="D11" s="202">
        <v>1</v>
      </c>
      <c r="E11" s="203">
        <v>366300</v>
      </c>
      <c r="F11" s="203">
        <f t="shared" si="0"/>
        <v>366300</v>
      </c>
      <c r="G11" s="203"/>
      <c r="H11" s="203"/>
      <c r="I11" s="203"/>
      <c r="J11" s="203"/>
      <c r="K11" s="203">
        <f t="shared" si="1"/>
        <v>366300</v>
      </c>
      <c r="L11" s="203">
        <f t="shared" si="2"/>
        <v>366300</v>
      </c>
      <c r="M11" s="200"/>
    </row>
    <row r="12" spans="1:13" ht="30" customHeight="1">
      <c r="A12" s="199" t="s">
        <v>514</v>
      </c>
      <c r="B12" s="200" t="s">
        <v>515</v>
      </c>
      <c r="C12" s="201" t="s">
        <v>77</v>
      </c>
      <c r="D12" s="202">
        <v>7</v>
      </c>
      <c r="E12" s="203">
        <v>192300</v>
      </c>
      <c r="F12" s="203">
        <f t="shared" si="0"/>
        <v>1346100</v>
      </c>
      <c r="G12" s="203"/>
      <c r="H12" s="203"/>
      <c r="I12" s="203"/>
      <c r="J12" s="203"/>
      <c r="K12" s="203">
        <f t="shared" si="1"/>
        <v>192300</v>
      </c>
      <c r="L12" s="203">
        <f t="shared" si="2"/>
        <v>1346100</v>
      </c>
      <c r="M12" s="200"/>
    </row>
    <row r="13" spans="1:13" ht="30" customHeight="1">
      <c r="A13" s="199" t="s">
        <v>516</v>
      </c>
      <c r="B13" s="200" t="s">
        <v>517</v>
      </c>
      <c r="C13" s="201" t="s">
        <v>77</v>
      </c>
      <c r="D13" s="202">
        <v>7</v>
      </c>
      <c r="E13" s="203">
        <v>119100</v>
      </c>
      <c r="F13" s="203">
        <f t="shared" si="0"/>
        <v>833700</v>
      </c>
      <c r="G13" s="203">
        <v>27500</v>
      </c>
      <c r="H13" s="203">
        <f>G13*D13</f>
        <v>192500</v>
      </c>
      <c r="I13" s="203"/>
      <c r="J13" s="203"/>
      <c r="K13" s="203">
        <f t="shared" si="1"/>
        <v>146600</v>
      </c>
      <c r="L13" s="203">
        <f t="shared" si="2"/>
        <v>1026200</v>
      </c>
      <c r="M13" s="200"/>
    </row>
    <row r="14" spans="1:13" ht="30" customHeight="1">
      <c r="A14" s="199" t="s">
        <v>16</v>
      </c>
      <c r="B14" s="199" t="s">
        <v>518</v>
      </c>
      <c r="C14" s="204" t="s">
        <v>165</v>
      </c>
      <c r="D14" s="202">
        <v>6</v>
      </c>
      <c r="E14" s="203"/>
      <c r="F14" s="203">
        <f t="shared" si="0"/>
        <v>0</v>
      </c>
      <c r="G14" s="203">
        <v>226200</v>
      </c>
      <c r="H14" s="203">
        <f>G14*D14</f>
        <v>1357200</v>
      </c>
      <c r="I14" s="203"/>
      <c r="J14" s="203"/>
      <c r="K14" s="203">
        <f t="shared" si="1"/>
        <v>226200</v>
      </c>
      <c r="L14" s="203">
        <f t="shared" si="2"/>
        <v>1357200</v>
      </c>
      <c r="M14" s="200"/>
    </row>
    <row r="15" spans="1:13" ht="30" customHeight="1">
      <c r="A15" s="199" t="s">
        <v>16</v>
      </c>
      <c r="B15" s="199" t="s">
        <v>519</v>
      </c>
      <c r="C15" s="204" t="s">
        <v>165</v>
      </c>
      <c r="D15" s="202">
        <v>3</v>
      </c>
      <c r="E15" s="203"/>
      <c r="F15" s="203">
        <f t="shared" si="0"/>
        <v>0</v>
      </c>
      <c r="G15" s="203">
        <v>159400</v>
      </c>
      <c r="H15" s="203">
        <f>G15*D15</f>
        <v>478200</v>
      </c>
      <c r="I15" s="203"/>
      <c r="J15" s="203"/>
      <c r="K15" s="203">
        <f t="shared" si="1"/>
        <v>159400</v>
      </c>
      <c r="L15" s="203">
        <f t="shared" si="2"/>
        <v>478200</v>
      </c>
      <c r="M15" s="200"/>
    </row>
    <row r="16" spans="1:13" ht="30" customHeight="1">
      <c r="A16" s="199" t="s">
        <v>520</v>
      </c>
      <c r="B16" s="199" t="s">
        <v>521</v>
      </c>
      <c r="C16" s="204" t="s">
        <v>55</v>
      </c>
      <c r="D16" s="202">
        <v>1</v>
      </c>
      <c r="E16" s="203">
        <f>TRUNC(SUM(H14:H15)*0.03,0)</f>
        <v>55062</v>
      </c>
      <c r="F16" s="203">
        <f t="shared" si="0"/>
        <v>55062</v>
      </c>
      <c r="G16" s="203"/>
      <c r="H16" s="203"/>
      <c r="I16" s="203"/>
      <c r="J16" s="203"/>
      <c r="K16" s="203">
        <f t="shared" si="1"/>
        <v>55062</v>
      </c>
      <c r="L16" s="203">
        <f t="shared" si="2"/>
        <v>55062</v>
      </c>
      <c r="M16" s="200"/>
    </row>
    <row r="17" spans="1:13" ht="30" customHeight="1">
      <c r="A17" s="200"/>
      <c r="B17" s="200"/>
      <c r="C17" s="201"/>
      <c r="D17" s="202"/>
      <c r="E17" s="203"/>
      <c r="F17" s="203"/>
      <c r="G17" s="203"/>
      <c r="H17" s="203"/>
      <c r="I17" s="203"/>
      <c r="J17" s="203"/>
      <c r="K17" s="203"/>
      <c r="L17" s="203"/>
      <c r="M17" s="200"/>
    </row>
    <row r="18" spans="1:13" ht="30" customHeight="1">
      <c r="A18" s="200"/>
      <c r="B18" s="200"/>
      <c r="C18" s="201"/>
      <c r="D18" s="202"/>
      <c r="E18" s="203"/>
      <c r="F18" s="203"/>
      <c r="G18" s="203"/>
      <c r="H18" s="203"/>
      <c r="I18" s="203"/>
      <c r="J18" s="203"/>
      <c r="K18" s="203"/>
      <c r="L18" s="203"/>
      <c r="M18" s="200"/>
    </row>
    <row r="19" spans="1:13" ht="30" customHeight="1">
      <c r="A19" s="200"/>
      <c r="B19" s="200"/>
      <c r="C19" s="201"/>
      <c r="D19" s="202"/>
      <c r="E19" s="203"/>
      <c r="F19" s="203"/>
      <c r="G19" s="203"/>
      <c r="H19" s="203"/>
      <c r="I19" s="203"/>
      <c r="J19" s="203"/>
      <c r="K19" s="203"/>
      <c r="L19" s="203"/>
      <c r="M19" s="200"/>
    </row>
    <row r="20" spans="1:13" ht="30" customHeight="1">
      <c r="A20" s="205"/>
      <c r="B20" s="200"/>
      <c r="C20" s="201"/>
      <c r="D20" s="202"/>
      <c r="E20" s="203"/>
      <c r="F20" s="203"/>
      <c r="G20" s="203"/>
      <c r="H20" s="203"/>
      <c r="I20" s="203"/>
      <c r="J20" s="203"/>
      <c r="K20" s="203"/>
      <c r="L20" s="203"/>
      <c r="M20" s="200"/>
    </row>
    <row r="21" spans="1:13" ht="30" customHeight="1">
      <c r="A21" s="205"/>
      <c r="B21" s="200"/>
      <c r="C21" s="201"/>
      <c r="D21" s="202"/>
      <c r="E21" s="203"/>
      <c r="F21" s="203"/>
      <c r="G21" s="203"/>
      <c r="H21" s="203"/>
      <c r="I21" s="203"/>
      <c r="J21" s="203"/>
      <c r="K21" s="203"/>
      <c r="L21" s="203"/>
      <c r="M21" s="200"/>
    </row>
    <row r="22" spans="1:13" ht="30" customHeight="1">
      <c r="A22" s="200"/>
      <c r="B22" s="200"/>
      <c r="C22" s="201"/>
      <c r="D22" s="202"/>
      <c r="E22" s="203"/>
      <c r="F22" s="203"/>
      <c r="G22" s="203"/>
      <c r="H22" s="203"/>
      <c r="I22" s="203"/>
      <c r="J22" s="203"/>
      <c r="K22" s="203"/>
      <c r="L22" s="203"/>
      <c r="M22" s="200"/>
    </row>
    <row r="23" spans="1:13" ht="30" customHeight="1">
      <c r="A23" s="200"/>
      <c r="B23" s="200"/>
      <c r="C23" s="201"/>
      <c r="D23" s="202"/>
      <c r="E23" s="203"/>
      <c r="F23" s="203"/>
      <c r="G23" s="203"/>
      <c r="H23" s="203"/>
      <c r="I23" s="203"/>
      <c r="J23" s="203"/>
      <c r="K23" s="203"/>
      <c r="L23" s="203"/>
      <c r="M23" s="200"/>
    </row>
    <row r="24" spans="1:13" ht="30" customHeight="1">
      <c r="A24" s="200"/>
      <c r="B24" s="200"/>
      <c r="C24" s="201"/>
      <c r="D24" s="206"/>
      <c r="E24" s="203"/>
      <c r="F24" s="203"/>
      <c r="G24" s="203"/>
      <c r="H24" s="203"/>
      <c r="I24" s="203"/>
      <c r="J24" s="203"/>
      <c r="K24" s="203"/>
      <c r="L24" s="203"/>
      <c r="M24" s="200"/>
    </row>
    <row r="25" spans="1:13" ht="30" customHeight="1">
      <c r="A25" s="200"/>
      <c r="B25" s="200"/>
      <c r="C25" s="201"/>
      <c r="D25" s="206"/>
      <c r="E25" s="203"/>
      <c r="F25" s="203"/>
      <c r="G25" s="203"/>
      <c r="H25" s="203"/>
      <c r="I25" s="203"/>
      <c r="J25" s="203"/>
      <c r="K25" s="203"/>
      <c r="L25" s="203"/>
      <c r="M25" s="200"/>
    </row>
    <row r="26" spans="1:13" ht="30" customHeight="1">
      <c r="A26" s="200"/>
      <c r="B26" s="200"/>
      <c r="C26" s="201"/>
      <c r="D26" s="206"/>
      <c r="E26" s="203"/>
      <c r="F26" s="203"/>
      <c r="G26" s="203"/>
      <c r="H26" s="203"/>
      <c r="I26" s="203"/>
      <c r="J26" s="203"/>
      <c r="K26" s="203"/>
      <c r="L26" s="203"/>
      <c r="M26" s="200"/>
    </row>
    <row r="27" spans="1:13" ht="30" customHeight="1">
      <c r="A27" s="207" t="s">
        <v>522</v>
      </c>
      <c r="B27" s="200"/>
      <c r="C27" s="201"/>
      <c r="D27" s="206"/>
      <c r="E27" s="203"/>
      <c r="F27" s="203">
        <f>SUM(F7:F26)</f>
        <v>5037662</v>
      </c>
      <c r="G27" s="203"/>
      <c r="H27" s="203">
        <f>SUM(H7:H26)</f>
        <v>2027900</v>
      </c>
      <c r="I27" s="203"/>
      <c r="J27" s="203"/>
      <c r="K27" s="203"/>
      <c r="L27" s="203">
        <f>SUM(L7:L26)</f>
        <v>7065562</v>
      </c>
      <c r="M27" s="200"/>
    </row>
    <row r="28" spans="1:13" s="198" customFormat="1" ht="30" customHeight="1">
      <c r="A28" s="193" t="s">
        <v>523</v>
      </c>
      <c r="B28" s="194"/>
      <c r="C28" s="195"/>
      <c r="D28" s="195"/>
      <c r="E28" s="196"/>
      <c r="F28" s="196"/>
      <c r="G28" s="196"/>
      <c r="H28" s="196"/>
      <c r="I28" s="196"/>
      <c r="J28" s="196"/>
      <c r="K28" s="196"/>
      <c r="L28" s="196"/>
      <c r="M28" s="197"/>
    </row>
    <row r="29" spans="1:13" ht="30" customHeight="1">
      <c r="A29" s="208" t="s">
        <v>524</v>
      </c>
      <c r="B29" s="200"/>
      <c r="C29" s="201" t="s">
        <v>77</v>
      </c>
      <c r="D29" s="209">
        <v>10</v>
      </c>
      <c r="E29" s="203">
        <v>325100</v>
      </c>
      <c r="F29" s="203">
        <f t="shared" ref="F29:F41" si="3">D29*E29</f>
        <v>3251000</v>
      </c>
      <c r="G29" s="203">
        <v>73300</v>
      </c>
      <c r="H29" s="203">
        <f>D29*G29</f>
        <v>733000</v>
      </c>
      <c r="I29" s="203"/>
      <c r="J29" s="203"/>
      <c r="K29" s="203">
        <f t="shared" ref="K29:K41" si="4">E29+G29+I29</f>
        <v>398400</v>
      </c>
      <c r="L29" s="203">
        <f t="shared" ref="L29:L41" si="5">F29+H29+J29</f>
        <v>3984000</v>
      </c>
      <c r="M29" s="200"/>
    </row>
    <row r="30" spans="1:13" ht="30" customHeight="1">
      <c r="A30" s="208" t="s">
        <v>525</v>
      </c>
      <c r="B30" s="200"/>
      <c r="C30" s="201" t="s">
        <v>77</v>
      </c>
      <c r="D30" s="209">
        <v>10</v>
      </c>
      <c r="E30" s="203">
        <v>247300</v>
      </c>
      <c r="F30" s="203">
        <f t="shared" si="3"/>
        <v>2473000</v>
      </c>
      <c r="G30" s="203">
        <v>73300</v>
      </c>
      <c r="H30" s="203">
        <f>G30*D30</f>
        <v>733000</v>
      </c>
      <c r="I30" s="203"/>
      <c r="J30" s="203"/>
      <c r="K30" s="203">
        <f t="shared" si="4"/>
        <v>320600</v>
      </c>
      <c r="L30" s="203">
        <f t="shared" si="5"/>
        <v>3206000</v>
      </c>
      <c r="M30" s="200"/>
    </row>
    <row r="31" spans="1:13" ht="30" customHeight="1">
      <c r="A31" s="208" t="s">
        <v>526</v>
      </c>
      <c r="B31" s="200"/>
      <c r="C31" s="201" t="s">
        <v>77</v>
      </c>
      <c r="D31" s="209">
        <v>1</v>
      </c>
      <c r="E31" s="203">
        <v>274800</v>
      </c>
      <c r="F31" s="203">
        <f t="shared" si="3"/>
        <v>274800</v>
      </c>
      <c r="G31" s="203">
        <v>7300</v>
      </c>
      <c r="H31" s="203">
        <f t="shared" ref="H31:H40" si="6">D31*G31</f>
        <v>7300</v>
      </c>
      <c r="I31" s="203"/>
      <c r="J31" s="203"/>
      <c r="K31" s="203">
        <f t="shared" si="4"/>
        <v>282100</v>
      </c>
      <c r="L31" s="203">
        <f t="shared" si="5"/>
        <v>282100</v>
      </c>
      <c r="M31" s="200"/>
    </row>
    <row r="32" spans="1:13" ht="30" customHeight="1">
      <c r="A32" s="208" t="s">
        <v>527</v>
      </c>
      <c r="B32" s="200"/>
      <c r="C32" s="201" t="s">
        <v>77</v>
      </c>
      <c r="D32" s="209">
        <v>1</v>
      </c>
      <c r="E32" s="203">
        <v>108200</v>
      </c>
      <c r="F32" s="203">
        <f t="shared" si="3"/>
        <v>108200</v>
      </c>
      <c r="G32" s="203">
        <v>36600</v>
      </c>
      <c r="H32" s="203">
        <f t="shared" si="6"/>
        <v>36600</v>
      </c>
      <c r="I32" s="203"/>
      <c r="J32" s="203"/>
      <c r="K32" s="203">
        <f t="shared" si="4"/>
        <v>144800</v>
      </c>
      <c r="L32" s="203">
        <f t="shared" si="5"/>
        <v>144800</v>
      </c>
      <c r="M32" s="199"/>
    </row>
    <row r="33" spans="1:13" ht="30" customHeight="1">
      <c r="A33" s="208" t="s">
        <v>528</v>
      </c>
      <c r="B33" s="200"/>
      <c r="C33" s="201" t="s">
        <v>77</v>
      </c>
      <c r="D33" s="209">
        <v>1</v>
      </c>
      <c r="E33" s="203">
        <v>20800</v>
      </c>
      <c r="F33" s="203">
        <f t="shared" si="3"/>
        <v>20800</v>
      </c>
      <c r="G33" s="203">
        <v>18300</v>
      </c>
      <c r="H33" s="203">
        <f t="shared" si="6"/>
        <v>18300</v>
      </c>
      <c r="I33" s="203"/>
      <c r="J33" s="203"/>
      <c r="K33" s="203">
        <f t="shared" si="4"/>
        <v>39100</v>
      </c>
      <c r="L33" s="203">
        <f t="shared" si="5"/>
        <v>39100</v>
      </c>
      <c r="M33" s="199"/>
    </row>
    <row r="34" spans="1:13" ht="30" customHeight="1">
      <c r="A34" s="208" t="s">
        <v>529</v>
      </c>
      <c r="B34" s="200"/>
      <c r="C34" s="201" t="s">
        <v>77</v>
      </c>
      <c r="D34" s="209">
        <v>2</v>
      </c>
      <c r="E34" s="203">
        <v>25000</v>
      </c>
      <c r="F34" s="203">
        <f t="shared" si="3"/>
        <v>50000</v>
      </c>
      <c r="G34" s="203">
        <v>18300</v>
      </c>
      <c r="H34" s="203">
        <f t="shared" si="6"/>
        <v>36600</v>
      </c>
      <c r="I34" s="203"/>
      <c r="J34" s="203"/>
      <c r="K34" s="203">
        <f t="shared" si="4"/>
        <v>43300</v>
      </c>
      <c r="L34" s="203">
        <f t="shared" si="5"/>
        <v>86600</v>
      </c>
      <c r="M34" s="199"/>
    </row>
    <row r="35" spans="1:13" ht="30" customHeight="1">
      <c r="A35" s="208" t="s">
        <v>530</v>
      </c>
      <c r="B35" s="205"/>
      <c r="C35" s="210" t="s">
        <v>77</v>
      </c>
      <c r="D35" s="211">
        <v>2</v>
      </c>
      <c r="E35" s="212">
        <v>45800</v>
      </c>
      <c r="F35" s="212">
        <f t="shared" si="3"/>
        <v>91600</v>
      </c>
      <c r="G35" s="203">
        <v>18300</v>
      </c>
      <c r="H35" s="203">
        <f t="shared" si="6"/>
        <v>36600</v>
      </c>
      <c r="I35" s="203"/>
      <c r="J35" s="203"/>
      <c r="K35" s="203">
        <f t="shared" si="4"/>
        <v>64100</v>
      </c>
      <c r="L35" s="203">
        <f t="shared" si="5"/>
        <v>128200</v>
      </c>
      <c r="M35" s="199"/>
    </row>
    <row r="36" spans="1:13" ht="30" customHeight="1">
      <c r="A36" s="208" t="s">
        <v>531</v>
      </c>
      <c r="B36" s="205"/>
      <c r="C36" s="210" t="s">
        <v>77</v>
      </c>
      <c r="D36" s="211">
        <v>10</v>
      </c>
      <c r="E36" s="212">
        <v>34800</v>
      </c>
      <c r="F36" s="212">
        <f t="shared" si="3"/>
        <v>348000</v>
      </c>
      <c r="G36" s="203">
        <v>7400</v>
      </c>
      <c r="H36" s="203">
        <f t="shared" si="6"/>
        <v>74000</v>
      </c>
      <c r="I36" s="203"/>
      <c r="J36" s="203"/>
      <c r="K36" s="203">
        <f t="shared" si="4"/>
        <v>42200</v>
      </c>
      <c r="L36" s="203">
        <f t="shared" si="5"/>
        <v>422000</v>
      </c>
      <c r="M36" s="200"/>
    </row>
    <row r="37" spans="1:13" ht="30" customHeight="1">
      <c r="A37" s="208" t="s">
        <v>532</v>
      </c>
      <c r="B37" s="200" t="s">
        <v>533</v>
      </c>
      <c r="C37" s="201" t="s">
        <v>77</v>
      </c>
      <c r="D37" s="209">
        <v>10</v>
      </c>
      <c r="E37" s="203">
        <v>10000</v>
      </c>
      <c r="F37" s="203">
        <f t="shared" si="3"/>
        <v>100000</v>
      </c>
      <c r="G37" s="203">
        <v>7300</v>
      </c>
      <c r="H37" s="203">
        <f t="shared" si="6"/>
        <v>73000</v>
      </c>
      <c r="I37" s="203"/>
      <c r="J37" s="203"/>
      <c r="K37" s="203">
        <f t="shared" si="4"/>
        <v>17300</v>
      </c>
      <c r="L37" s="203">
        <f t="shared" si="5"/>
        <v>173000</v>
      </c>
      <c r="M37" s="199"/>
    </row>
    <row r="38" spans="1:13" ht="30" customHeight="1">
      <c r="A38" s="208" t="s">
        <v>534</v>
      </c>
      <c r="B38" s="200" t="s">
        <v>533</v>
      </c>
      <c r="C38" s="201" t="s">
        <v>77</v>
      </c>
      <c r="D38" s="209">
        <v>3</v>
      </c>
      <c r="E38" s="203">
        <v>12500</v>
      </c>
      <c r="F38" s="203">
        <f t="shared" si="3"/>
        <v>37500</v>
      </c>
      <c r="G38" s="203">
        <v>7300</v>
      </c>
      <c r="H38" s="203">
        <f t="shared" si="6"/>
        <v>21900</v>
      </c>
      <c r="I38" s="203"/>
      <c r="J38" s="203"/>
      <c r="K38" s="203">
        <f t="shared" si="4"/>
        <v>19800</v>
      </c>
      <c r="L38" s="203">
        <f t="shared" si="5"/>
        <v>59400</v>
      </c>
      <c r="M38" s="199"/>
    </row>
    <row r="39" spans="1:13" ht="30" customHeight="1">
      <c r="A39" s="208" t="s">
        <v>16</v>
      </c>
      <c r="B39" s="199" t="s">
        <v>535</v>
      </c>
      <c r="C39" s="204" t="s">
        <v>165</v>
      </c>
      <c r="D39" s="209">
        <v>8</v>
      </c>
      <c r="E39" s="203"/>
      <c r="F39" s="203">
        <f t="shared" si="3"/>
        <v>0</v>
      </c>
      <c r="G39" s="203">
        <v>226200</v>
      </c>
      <c r="H39" s="203">
        <f t="shared" si="6"/>
        <v>1809600</v>
      </c>
      <c r="I39" s="203"/>
      <c r="J39" s="203"/>
      <c r="K39" s="203">
        <f t="shared" si="4"/>
        <v>226200</v>
      </c>
      <c r="L39" s="203">
        <f t="shared" si="5"/>
        <v>1809600</v>
      </c>
      <c r="M39" s="200"/>
    </row>
    <row r="40" spans="1:13" ht="30" customHeight="1">
      <c r="A40" s="208" t="s">
        <v>16</v>
      </c>
      <c r="B40" s="199" t="s">
        <v>519</v>
      </c>
      <c r="C40" s="204" t="s">
        <v>165</v>
      </c>
      <c r="D40" s="209">
        <v>4</v>
      </c>
      <c r="E40" s="203"/>
      <c r="F40" s="203">
        <f t="shared" si="3"/>
        <v>0</v>
      </c>
      <c r="G40" s="203">
        <v>159400</v>
      </c>
      <c r="H40" s="203">
        <f t="shared" si="6"/>
        <v>637600</v>
      </c>
      <c r="I40" s="203"/>
      <c r="J40" s="203"/>
      <c r="K40" s="203">
        <f t="shared" si="4"/>
        <v>159400</v>
      </c>
      <c r="L40" s="203">
        <f t="shared" si="5"/>
        <v>637600</v>
      </c>
      <c r="M40" s="200"/>
    </row>
    <row r="41" spans="1:13" ht="30" customHeight="1">
      <c r="A41" s="199" t="s">
        <v>520</v>
      </c>
      <c r="B41" s="199" t="s">
        <v>536</v>
      </c>
      <c r="C41" s="204" t="s">
        <v>55</v>
      </c>
      <c r="D41" s="209">
        <v>1</v>
      </c>
      <c r="E41" s="203">
        <f>TRUNC(SUM(H29:H40)*0.03,0)</f>
        <v>126525</v>
      </c>
      <c r="F41" s="203">
        <f t="shared" si="3"/>
        <v>126525</v>
      </c>
      <c r="G41" s="203"/>
      <c r="H41" s="203"/>
      <c r="I41" s="203"/>
      <c r="J41" s="203"/>
      <c r="K41" s="203">
        <f t="shared" si="4"/>
        <v>126525</v>
      </c>
      <c r="L41" s="203">
        <f t="shared" si="5"/>
        <v>126525</v>
      </c>
      <c r="M41" s="200"/>
    </row>
    <row r="42" spans="1:13" ht="30" customHeight="1">
      <c r="A42" s="200"/>
      <c r="B42" s="200"/>
      <c r="C42" s="201"/>
      <c r="D42" s="206"/>
      <c r="E42" s="203"/>
      <c r="F42" s="203"/>
      <c r="G42" s="203"/>
      <c r="H42" s="203"/>
      <c r="I42" s="203"/>
      <c r="J42" s="203"/>
      <c r="K42" s="203"/>
      <c r="L42" s="203"/>
      <c r="M42" s="200"/>
    </row>
    <row r="43" spans="1:13" ht="30" customHeight="1">
      <c r="A43" s="200"/>
      <c r="B43" s="200"/>
      <c r="C43" s="201"/>
      <c r="D43" s="206"/>
      <c r="E43" s="203"/>
      <c r="F43" s="203"/>
      <c r="G43" s="203"/>
      <c r="H43" s="203"/>
      <c r="I43" s="203"/>
      <c r="J43" s="203"/>
      <c r="K43" s="203"/>
      <c r="L43" s="203"/>
      <c r="M43" s="200"/>
    </row>
    <row r="44" spans="1:13" ht="30" customHeight="1">
      <c r="A44" s="200"/>
      <c r="B44" s="200"/>
      <c r="C44" s="201"/>
      <c r="D44" s="206"/>
      <c r="E44" s="203"/>
      <c r="F44" s="203"/>
      <c r="G44" s="203"/>
      <c r="H44" s="203"/>
      <c r="I44" s="203"/>
      <c r="J44" s="203"/>
      <c r="K44" s="203"/>
      <c r="L44" s="203"/>
      <c r="M44" s="200"/>
    </row>
    <row r="45" spans="1:13" ht="30" customHeight="1">
      <c r="A45" s="200"/>
      <c r="B45" s="200"/>
      <c r="C45" s="201"/>
      <c r="D45" s="206"/>
      <c r="E45" s="203"/>
      <c r="F45" s="203"/>
      <c r="G45" s="203"/>
      <c r="H45" s="203"/>
      <c r="I45" s="203"/>
      <c r="J45" s="203"/>
      <c r="K45" s="203"/>
      <c r="L45" s="203"/>
      <c r="M45" s="200"/>
    </row>
    <row r="46" spans="1:13" ht="30" customHeight="1">
      <c r="A46" s="200"/>
      <c r="B46" s="200"/>
      <c r="C46" s="201"/>
      <c r="D46" s="206"/>
      <c r="E46" s="203"/>
      <c r="F46" s="203"/>
      <c r="G46" s="203"/>
      <c r="H46" s="203"/>
      <c r="I46" s="203"/>
      <c r="J46" s="203"/>
      <c r="K46" s="203"/>
      <c r="L46" s="203"/>
      <c r="M46" s="200"/>
    </row>
    <row r="47" spans="1:13" ht="30" customHeight="1">
      <c r="A47" s="200"/>
      <c r="B47" s="200"/>
      <c r="C47" s="201"/>
      <c r="D47" s="206"/>
      <c r="E47" s="203"/>
      <c r="F47" s="203"/>
      <c r="G47" s="203"/>
      <c r="H47" s="203"/>
      <c r="I47" s="203"/>
      <c r="J47" s="203"/>
      <c r="K47" s="203"/>
      <c r="L47" s="203"/>
      <c r="M47" s="200"/>
    </row>
    <row r="48" spans="1:13" ht="30" customHeight="1">
      <c r="A48" s="200"/>
      <c r="B48" s="200"/>
      <c r="C48" s="201"/>
      <c r="D48" s="206"/>
      <c r="E48" s="203"/>
      <c r="F48" s="203"/>
      <c r="G48" s="203"/>
      <c r="H48" s="203"/>
      <c r="I48" s="203"/>
      <c r="J48" s="203"/>
      <c r="K48" s="203"/>
      <c r="L48" s="203"/>
      <c r="M48" s="200"/>
    </row>
    <row r="49" spans="1:13" ht="30" customHeight="1">
      <c r="A49" s="207" t="s">
        <v>522</v>
      </c>
      <c r="B49" s="200"/>
      <c r="C49" s="201"/>
      <c r="D49" s="206"/>
      <c r="E49" s="203"/>
      <c r="F49" s="203">
        <f>SUM(F29:F48)</f>
        <v>6881425</v>
      </c>
      <c r="G49" s="203"/>
      <c r="H49" s="203">
        <f>SUM(H29:H48)</f>
        <v>4217500</v>
      </c>
      <c r="I49" s="203"/>
      <c r="J49" s="203"/>
      <c r="K49" s="203"/>
      <c r="L49" s="203">
        <f>SUM(L29:L48)</f>
        <v>11098925</v>
      </c>
      <c r="M49" s="200"/>
    </row>
    <row r="50" spans="1:13" s="198" customFormat="1" ht="30" customHeight="1">
      <c r="A50" s="193" t="s">
        <v>537</v>
      </c>
      <c r="B50" s="194"/>
      <c r="C50" s="195"/>
      <c r="D50" s="195"/>
      <c r="E50" s="196"/>
      <c r="F50" s="196"/>
      <c r="G50" s="196"/>
      <c r="H50" s="196"/>
      <c r="I50" s="196"/>
      <c r="J50" s="196"/>
      <c r="K50" s="196"/>
      <c r="L50" s="196"/>
      <c r="M50" s="197"/>
    </row>
    <row r="51" spans="1:13" s="162" customFormat="1" ht="30" customHeight="1">
      <c r="A51" s="213" t="s">
        <v>538</v>
      </c>
      <c r="B51" s="213" t="s">
        <v>539</v>
      </c>
      <c r="C51" s="214" t="s">
        <v>124</v>
      </c>
      <c r="D51" s="215">
        <v>128</v>
      </c>
      <c r="E51" s="175">
        <v>1900</v>
      </c>
      <c r="F51" s="175">
        <f t="shared" ref="F51:F82" si="7">D51*E51</f>
        <v>243200</v>
      </c>
      <c r="G51" s="175"/>
      <c r="H51" s="175">
        <f t="shared" ref="H51:H82" si="8">D51*G51</f>
        <v>0</v>
      </c>
      <c r="I51" s="175"/>
      <c r="J51" s="175"/>
      <c r="K51" s="175">
        <f t="shared" ref="K51:K82" si="9">E51+G51+I51</f>
        <v>1900</v>
      </c>
      <c r="L51" s="175">
        <f t="shared" ref="L51:L82" si="10">F51+H51+J51</f>
        <v>243200</v>
      </c>
      <c r="M51" s="213"/>
    </row>
    <row r="52" spans="1:13" s="162" customFormat="1" ht="30" customHeight="1">
      <c r="A52" s="213" t="s">
        <v>538</v>
      </c>
      <c r="B52" s="213" t="s">
        <v>540</v>
      </c>
      <c r="C52" s="214" t="s">
        <v>124</v>
      </c>
      <c r="D52" s="215">
        <v>181</v>
      </c>
      <c r="E52" s="175">
        <v>3200</v>
      </c>
      <c r="F52" s="175">
        <f t="shared" si="7"/>
        <v>579200</v>
      </c>
      <c r="G52" s="175"/>
      <c r="H52" s="175">
        <f t="shared" si="8"/>
        <v>0</v>
      </c>
      <c r="I52" s="175"/>
      <c r="J52" s="175"/>
      <c r="K52" s="175">
        <f t="shared" si="9"/>
        <v>3200</v>
      </c>
      <c r="L52" s="175">
        <f t="shared" si="10"/>
        <v>579200</v>
      </c>
      <c r="M52" s="213"/>
    </row>
    <row r="53" spans="1:13" s="162" customFormat="1" ht="30" customHeight="1">
      <c r="A53" s="213" t="s">
        <v>538</v>
      </c>
      <c r="B53" s="213" t="s">
        <v>541</v>
      </c>
      <c r="C53" s="214" t="s">
        <v>124</v>
      </c>
      <c r="D53" s="215">
        <v>35</v>
      </c>
      <c r="E53" s="175">
        <v>4100</v>
      </c>
      <c r="F53" s="175">
        <f t="shared" si="7"/>
        <v>143500</v>
      </c>
      <c r="G53" s="175"/>
      <c r="H53" s="175">
        <f t="shared" si="8"/>
        <v>0</v>
      </c>
      <c r="I53" s="175"/>
      <c r="J53" s="175"/>
      <c r="K53" s="175">
        <f t="shared" si="9"/>
        <v>4100</v>
      </c>
      <c r="L53" s="175">
        <f t="shared" si="10"/>
        <v>143500</v>
      </c>
      <c r="M53" s="213"/>
    </row>
    <row r="54" spans="1:13" s="162" customFormat="1" ht="30" customHeight="1">
      <c r="A54" s="213" t="s">
        <v>538</v>
      </c>
      <c r="B54" s="213" t="s">
        <v>542</v>
      </c>
      <c r="C54" s="214" t="s">
        <v>124</v>
      </c>
      <c r="D54" s="215">
        <v>28</v>
      </c>
      <c r="E54" s="175">
        <v>5600</v>
      </c>
      <c r="F54" s="175">
        <f t="shared" si="7"/>
        <v>156800</v>
      </c>
      <c r="G54" s="175"/>
      <c r="H54" s="175">
        <f t="shared" si="8"/>
        <v>0</v>
      </c>
      <c r="I54" s="175"/>
      <c r="J54" s="175"/>
      <c r="K54" s="175">
        <f t="shared" si="9"/>
        <v>5600</v>
      </c>
      <c r="L54" s="175">
        <f t="shared" si="10"/>
        <v>156800</v>
      </c>
      <c r="M54" s="213"/>
    </row>
    <row r="55" spans="1:13" s="162" customFormat="1" ht="30" customHeight="1">
      <c r="A55" s="216" t="s">
        <v>543</v>
      </c>
      <c r="B55" s="216" t="s">
        <v>544</v>
      </c>
      <c r="C55" s="217" t="s">
        <v>55</v>
      </c>
      <c r="D55" s="215">
        <v>1</v>
      </c>
      <c r="E55" s="175">
        <f>TRUNC(SUM(F51:F54)*0.03,0)</f>
        <v>33681</v>
      </c>
      <c r="F55" s="175">
        <f t="shared" si="7"/>
        <v>33681</v>
      </c>
      <c r="G55" s="175"/>
      <c r="H55" s="175">
        <f t="shared" si="8"/>
        <v>0</v>
      </c>
      <c r="I55" s="175"/>
      <c r="J55" s="175"/>
      <c r="K55" s="175">
        <f t="shared" si="9"/>
        <v>33681</v>
      </c>
      <c r="L55" s="175">
        <f t="shared" si="10"/>
        <v>33681</v>
      </c>
      <c r="M55" s="213"/>
    </row>
    <row r="56" spans="1:13" s="162" customFormat="1" ht="30" customHeight="1">
      <c r="A56" s="216" t="s">
        <v>545</v>
      </c>
      <c r="B56" s="213" t="s">
        <v>546</v>
      </c>
      <c r="C56" s="214" t="s">
        <v>547</v>
      </c>
      <c r="D56" s="215">
        <v>122</v>
      </c>
      <c r="E56" s="175">
        <v>3100</v>
      </c>
      <c r="F56" s="175">
        <f t="shared" si="7"/>
        <v>378200</v>
      </c>
      <c r="G56" s="175">
        <v>3500</v>
      </c>
      <c r="H56" s="175">
        <f t="shared" si="8"/>
        <v>427000</v>
      </c>
      <c r="I56" s="175"/>
      <c r="J56" s="175"/>
      <c r="K56" s="175">
        <f t="shared" si="9"/>
        <v>6600</v>
      </c>
      <c r="L56" s="175">
        <f t="shared" si="10"/>
        <v>805200</v>
      </c>
      <c r="M56" s="213"/>
    </row>
    <row r="57" spans="1:13" s="162" customFormat="1" ht="30" customHeight="1">
      <c r="A57" s="216" t="s">
        <v>545</v>
      </c>
      <c r="B57" s="213" t="s">
        <v>548</v>
      </c>
      <c r="C57" s="214" t="s">
        <v>547</v>
      </c>
      <c r="D57" s="215">
        <v>181</v>
      </c>
      <c r="E57" s="175">
        <v>3400</v>
      </c>
      <c r="F57" s="175">
        <f t="shared" si="7"/>
        <v>615400</v>
      </c>
      <c r="G57" s="175">
        <v>4100</v>
      </c>
      <c r="H57" s="175">
        <f t="shared" si="8"/>
        <v>742100</v>
      </c>
      <c r="I57" s="175"/>
      <c r="J57" s="175"/>
      <c r="K57" s="175">
        <f t="shared" si="9"/>
        <v>7500</v>
      </c>
      <c r="L57" s="175">
        <f t="shared" si="10"/>
        <v>1357500</v>
      </c>
      <c r="M57" s="213"/>
    </row>
    <row r="58" spans="1:13" s="162" customFormat="1" ht="30" customHeight="1">
      <c r="A58" s="216" t="s">
        <v>545</v>
      </c>
      <c r="B58" s="213" t="s">
        <v>549</v>
      </c>
      <c r="C58" s="214" t="s">
        <v>547</v>
      </c>
      <c r="D58" s="215">
        <v>31</v>
      </c>
      <c r="E58" s="175">
        <v>3600</v>
      </c>
      <c r="F58" s="175">
        <f t="shared" si="7"/>
        <v>111600</v>
      </c>
      <c r="G58" s="175">
        <v>4500</v>
      </c>
      <c r="H58" s="175">
        <f t="shared" si="8"/>
        <v>139500</v>
      </c>
      <c r="I58" s="175"/>
      <c r="J58" s="175"/>
      <c r="K58" s="175">
        <f t="shared" si="9"/>
        <v>8100</v>
      </c>
      <c r="L58" s="175">
        <f t="shared" si="10"/>
        <v>251100</v>
      </c>
      <c r="M58" s="213"/>
    </row>
    <row r="59" spans="1:13" s="162" customFormat="1" ht="30" customHeight="1">
      <c r="A59" s="216" t="s">
        <v>545</v>
      </c>
      <c r="B59" s="213" t="s">
        <v>550</v>
      </c>
      <c r="C59" s="214" t="s">
        <v>547</v>
      </c>
      <c r="D59" s="215">
        <v>25</v>
      </c>
      <c r="E59" s="175">
        <v>4000</v>
      </c>
      <c r="F59" s="175">
        <f t="shared" si="7"/>
        <v>100000</v>
      </c>
      <c r="G59" s="175">
        <v>5200</v>
      </c>
      <c r="H59" s="175">
        <f t="shared" si="8"/>
        <v>130000</v>
      </c>
      <c r="I59" s="175"/>
      <c r="J59" s="175"/>
      <c r="K59" s="175">
        <f t="shared" si="9"/>
        <v>9200</v>
      </c>
      <c r="L59" s="175">
        <f t="shared" si="10"/>
        <v>230000</v>
      </c>
      <c r="M59" s="213"/>
    </row>
    <row r="60" spans="1:13" s="162" customFormat="1" ht="30" customHeight="1">
      <c r="A60" s="213" t="s">
        <v>551</v>
      </c>
      <c r="B60" s="213" t="s">
        <v>539</v>
      </c>
      <c r="C60" s="214" t="s">
        <v>77</v>
      </c>
      <c r="D60" s="215">
        <v>125</v>
      </c>
      <c r="E60" s="175">
        <v>1800</v>
      </c>
      <c r="F60" s="175">
        <f t="shared" si="7"/>
        <v>225000</v>
      </c>
      <c r="G60" s="175"/>
      <c r="H60" s="175">
        <f t="shared" si="8"/>
        <v>0</v>
      </c>
      <c r="I60" s="175"/>
      <c r="J60" s="175"/>
      <c r="K60" s="175">
        <f t="shared" si="9"/>
        <v>1800</v>
      </c>
      <c r="L60" s="175">
        <f t="shared" si="10"/>
        <v>225000</v>
      </c>
      <c r="M60" s="213"/>
    </row>
    <row r="61" spans="1:13" s="162" customFormat="1" ht="30" customHeight="1">
      <c r="A61" s="213" t="s">
        <v>551</v>
      </c>
      <c r="B61" s="213" t="s">
        <v>540</v>
      </c>
      <c r="C61" s="214" t="s">
        <v>77</v>
      </c>
      <c r="D61" s="215">
        <v>86</v>
      </c>
      <c r="E61" s="175">
        <v>2600</v>
      </c>
      <c r="F61" s="175">
        <f t="shared" si="7"/>
        <v>223600</v>
      </c>
      <c r="G61" s="175"/>
      <c r="H61" s="175">
        <f t="shared" si="8"/>
        <v>0</v>
      </c>
      <c r="I61" s="175"/>
      <c r="J61" s="175"/>
      <c r="K61" s="175">
        <f t="shared" si="9"/>
        <v>2600</v>
      </c>
      <c r="L61" s="175">
        <f t="shared" si="10"/>
        <v>223600</v>
      </c>
      <c r="M61" s="213"/>
    </row>
    <row r="62" spans="1:13" s="162" customFormat="1" ht="30" customHeight="1">
      <c r="A62" s="213" t="s">
        <v>551</v>
      </c>
      <c r="B62" s="213" t="s">
        <v>541</v>
      </c>
      <c r="C62" s="214" t="s">
        <v>77</v>
      </c>
      <c r="D62" s="215">
        <v>8</v>
      </c>
      <c r="E62" s="175">
        <v>3200</v>
      </c>
      <c r="F62" s="175">
        <f t="shared" si="7"/>
        <v>25600</v>
      </c>
      <c r="G62" s="175"/>
      <c r="H62" s="175">
        <f t="shared" si="8"/>
        <v>0</v>
      </c>
      <c r="I62" s="175"/>
      <c r="J62" s="175"/>
      <c r="K62" s="175">
        <f t="shared" si="9"/>
        <v>3200</v>
      </c>
      <c r="L62" s="175">
        <f t="shared" si="10"/>
        <v>25600</v>
      </c>
      <c r="M62" s="213"/>
    </row>
    <row r="63" spans="1:13" s="162" customFormat="1" ht="30" customHeight="1">
      <c r="A63" s="213" t="s">
        <v>552</v>
      </c>
      <c r="B63" s="213" t="s">
        <v>540</v>
      </c>
      <c r="C63" s="214" t="s">
        <v>77</v>
      </c>
      <c r="D63" s="215">
        <v>25</v>
      </c>
      <c r="E63" s="175">
        <v>5800</v>
      </c>
      <c r="F63" s="175">
        <f t="shared" si="7"/>
        <v>145000</v>
      </c>
      <c r="G63" s="175"/>
      <c r="H63" s="175">
        <f t="shared" si="8"/>
        <v>0</v>
      </c>
      <c r="I63" s="175"/>
      <c r="J63" s="175"/>
      <c r="K63" s="175">
        <f t="shared" si="9"/>
        <v>5800</v>
      </c>
      <c r="L63" s="175">
        <f t="shared" si="10"/>
        <v>145000</v>
      </c>
      <c r="M63" s="213"/>
    </row>
    <row r="64" spans="1:13" s="162" customFormat="1" ht="30" customHeight="1">
      <c r="A64" s="213" t="s">
        <v>552</v>
      </c>
      <c r="B64" s="213" t="s">
        <v>541</v>
      </c>
      <c r="C64" s="214" t="s">
        <v>77</v>
      </c>
      <c r="D64" s="215">
        <v>12</v>
      </c>
      <c r="E64" s="175">
        <v>7200</v>
      </c>
      <c r="F64" s="175">
        <f t="shared" si="7"/>
        <v>86400</v>
      </c>
      <c r="G64" s="175"/>
      <c r="H64" s="175">
        <f t="shared" si="8"/>
        <v>0</v>
      </c>
      <c r="I64" s="175"/>
      <c r="J64" s="175"/>
      <c r="K64" s="175">
        <f t="shared" si="9"/>
        <v>7200</v>
      </c>
      <c r="L64" s="175">
        <f t="shared" si="10"/>
        <v>86400</v>
      </c>
      <c r="M64" s="213"/>
    </row>
    <row r="65" spans="1:13" s="162" customFormat="1" ht="30" customHeight="1">
      <c r="A65" s="213" t="s">
        <v>552</v>
      </c>
      <c r="B65" s="213" t="s">
        <v>542</v>
      </c>
      <c r="C65" s="214" t="s">
        <v>77</v>
      </c>
      <c r="D65" s="215">
        <v>6</v>
      </c>
      <c r="E65" s="175">
        <v>8700</v>
      </c>
      <c r="F65" s="175">
        <f t="shared" si="7"/>
        <v>52200</v>
      </c>
      <c r="G65" s="175"/>
      <c r="H65" s="175">
        <f t="shared" si="8"/>
        <v>0</v>
      </c>
      <c r="I65" s="175"/>
      <c r="J65" s="175"/>
      <c r="K65" s="175">
        <f t="shared" si="9"/>
        <v>8700</v>
      </c>
      <c r="L65" s="175">
        <f t="shared" si="10"/>
        <v>52200</v>
      </c>
      <c r="M65" s="213"/>
    </row>
    <row r="66" spans="1:13" s="162" customFormat="1" ht="30" customHeight="1">
      <c r="A66" s="213" t="s">
        <v>553</v>
      </c>
      <c r="B66" s="213" t="s">
        <v>540</v>
      </c>
      <c r="C66" s="214" t="s">
        <v>77</v>
      </c>
      <c r="D66" s="215">
        <v>4</v>
      </c>
      <c r="E66" s="175">
        <v>3900</v>
      </c>
      <c r="F66" s="175">
        <f t="shared" si="7"/>
        <v>15600</v>
      </c>
      <c r="G66" s="175"/>
      <c r="H66" s="175">
        <f t="shared" si="8"/>
        <v>0</v>
      </c>
      <c r="I66" s="175"/>
      <c r="J66" s="175"/>
      <c r="K66" s="175">
        <f t="shared" si="9"/>
        <v>3900</v>
      </c>
      <c r="L66" s="175">
        <f t="shared" si="10"/>
        <v>15600</v>
      </c>
      <c r="M66" s="213"/>
    </row>
    <row r="67" spans="1:13" s="162" customFormat="1" ht="30" customHeight="1">
      <c r="A67" s="213" t="s">
        <v>553</v>
      </c>
      <c r="B67" s="213" t="s">
        <v>541</v>
      </c>
      <c r="C67" s="214" t="s">
        <v>77</v>
      </c>
      <c r="D67" s="215">
        <v>1</v>
      </c>
      <c r="E67" s="175">
        <v>4300</v>
      </c>
      <c r="F67" s="175">
        <f t="shared" si="7"/>
        <v>4300</v>
      </c>
      <c r="G67" s="175"/>
      <c r="H67" s="175">
        <f t="shared" si="8"/>
        <v>0</v>
      </c>
      <c r="I67" s="175"/>
      <c r="J67" s="175"/>
      <c r="K67" s="175">
        <f t="shared" si="9"/>
        <v>4300</v>
      </c>
      <c r="L67" s="175">
        <f t="shared" si="10"/>
        <v>4300</v>
      </c>
      <c r="M67" s="216"/>
    </row>
    <row r="68" spans="1:13" s="162" customFormat="1" ht="30" customHeight="1">
      <c r="A68" s="213" t="s">
        <v>553</v>
      </c>
      <c r="B68" s="213" t="s">
        <v>542</v>
      </c>
      <c r="C68" s="214" t="s">
        <v>77</v>
      </c>
      <c r="D68" s="215">
        <v>1</v>
      </c>
      <c r="E68" s="175">
        <v>5400</v>
      </c>
      <c r="F68" s="175">
        <f t="shared" si="7"/>
        <v>5400</v>
      </c>
      <c r="G68" s="175"/>
      <c r="H68" s="175">
        <f t="shared" si="8"/>
        <v>0</v>
      </c>
      <c r="I68" s="175"/>
      <c r="J68" s="175"/>
      <c r="K68" s="175">
        <f t="shared" si="9"/>
        <v>5400</v>
      </c>
      <c r="L68" s="175">
        <f t="shared" si="10"/>
        <v>5400</v>
      </c>
      <c r="M68" s="216"/>
    </row>
    <row r="69" spans="1:13" s="162" customFormat="1" ht="30" customHeight="1">
      <c r="A69" s="213" t="s">
        <v>554</v>
      </c>
      <c r="B69" s="213" t="s">
        <v>540</v>
      </c>
      <c r="C69" s="214" t="s">
        <v>77</v>
      </c>
      <c r="D69" s="215">
        <v>1</v>
      </c>
      <c r="E69" s="175">
        <v>1800</v>
      </c>
      <c r="F69" s="175">
        <f t="shared" si="7"/>
        <v>1800</v>
      </c>
      <c r="G69" s="175"/>
      <c r="H69" s="175">
        <f t="shared" si="8"/>
        <v>0</v>
      </c>
      <c r="I69" s="175"/>
      <c r="J69" s="175"/>
      <c r="K69" s="175">
        <f t="shared" si="9"/>
        <v>1800</v>
      </c>
      <c r="L69" s="175">
        <f t="shared" si="10"/>
        <v>1800</v>
      </c>
      <c r="M69" s="213"/>
    </row>
    <row r="70" spans="1:13" s="162" customFormat="1" ht="30" customHeight="1">
      <c r="A70" s="213" t="s">
        <v>555</v>
      </c>
      <c r="B70" s="213" t="s">
        <v>539</v>
      </c>
      <c r="C70" s="214" t="s">
        <v>77</v>
      </c>
      <c r="D70" s="215">
        <v>22</v>
      </c>
      <c r="E70" s="175">
        <v>1300</v>
      </c>
      <c r="F70" s="175">
        <f t="shared" si="7"/>
        <v>28600</v>
      </c>
      <c r="G70" s="175"/>
      <c r="H70" s="175">
        <f t="shared" si="8"/>
        <v>0</v>
      </c>
      <c r="I70" s="175"/>
      <c r="J70" s="175"/>
      <c r="K70" s="175">
        <f t="shared" si="9"/>
        <v>1300</v>
      </c>
      <c r="L70" s="175">
        <f t="shared" si="10"/>
        <v>28600</v>
      </c>
      <c r="M70" s="216"/>
    </row>
    <row r="71" spans="1:13" s="162" customFormat="1" ht="30" customHeight="1">
      <c r="A71" s="213" t="s">
        <v>555</v>
      </c>
      <c r="B71" s="213" t="s">
        <v>540</v>
      </c>
      <c r="C71" s="214" t="s">
        <v>77</v>
      </c>
      <c r="D71" s="215">
        <v>2</v>
      </c>
      <c r="E71" s="175">
        <v>1700</v>
      </c>
      <c r="F71" s="175">
        <f t="shared" si="7"/>
        <v>3400</v>
      </c>
      <c r="G71" s="175"/>
      <c r="H71" s="175">
        <f t="shared" si="8"/>
        <v>0</v>
      </c>
      <c r="I71" s="175"/>
      <c r="J71" s="175"/>
      <c r="K71" s="175">
        <f t="shared" si="9"/>
        <v>1700</v>
      </c>
      <c r="L71" s="175">
        <f t="shared" si="10"/>
        <v>3400</v>
      </c>
      <c r="M71" s="216"/>
    </row>
    <row r="72" spans="1:13" s="162" customFormat="1" ht="30" customHeight="1">
      <c r="A72" s="213" t="s">
        <v>555</v>
      </c>
      <c r="B72" s="213" t="s">
        <v>541</v>
      </c>
      <c r="C72" s="214" t="s">
        <v>77</v>
      </c>
      <c r="D72" s="215">
        <v>1</v>
      </c>
      <c r="E72" s="175">
        <v>2200</v>
      </c>
      <c r="F72" s="175">
        <f t="shared" si="7"/>
        <v>2200</v>
      </c>
      <c r="G72" s="175"/>
      <c r="H72" s="175">
        <f t="shared" si="8"/>
        <v>0</v>
      </c>
      <c r="I72" s="175"/>
      <c r="J72" s="175"/>
      <c r="K72" s="175">
        <f t="shared" si="9"/>
        <v>2200</v>
      </c>
      <c r="L72" s="175">
        <f t="shared" si="10"/>
        <v>2200</v>
      </c>
      <c r="M72" s="216"/>
    </row>
    <row r="73" spans="1:13" s="162" customFormat="1" ht="30" customHeight="1">
      <c r="A73" s="213" t="s">
        <v>556</v>
      </c>
      <c r="B73" s="213" t="s">
        <v>539</v>
      </c>
      <c r="C73" s="214" t="s">
        <v>77</v>
      </c>
      <c r="D73" s="215">
        <v>1</v>
      </c>
      <c r="E73" s="175">
        <v>2700</v>
      </c>
      <c r="F73" s="175">
        <f t="shared" si="7"/>
        <v>2700</v>
      </c>
      <c r="G73" s="175"/>
      <c r="H73" s="175">
        <f t="shared" si="8"/>
        <v>0</v>
      </c>
      <c r="I73" s="175"/>
      <c r="J73" s="175"/>
      <c r="K73" s="175">
        <f t="shared" si="9"/>
        <v>2700</v>
      </c>
      <c r="L73" s="175">
        <f t="shared" si="10"/>
        <v>2700</v>
      </c>
      <c r="M73" s="216"/>
    </row>
    <row r="74" spans="1:13" s="162" customFormat="1" ht="30" customHeight="1">
      <c r="A74" s="213" t="s">
        <v>556</v>
      </c>
      <c r="B74" s="213" t="s">
        <v>540</v>
      </c>
      <c r="C74" s="214" t="s">
        <v>77</v>
      </c>
      <c r="D74" s="215">
        <v>14</v>
      </c>
      <c r="E74" s="175">
        <v>3500</v>
      </c>
      <c r="F74" s="175">
        <f t="shared" si="7"/>
        <v>49000</v>
      </c>
      <c r="G74" s="175"/>
      <c r="H74" s="175">
        <f t="shared" si="8"/>
        <v>0</v>
      </c>
      <c r="I74" s="175"/>
      <c r="J74" s="175"/>
      <c r="K74" s="175">
        <f t="shared" si="9"/>
        <v>3500</v>
      </c>
      <c r="L74" s="175">
        <f t="shared" si="10"/>
        <v>49000</v>
      </c>
      <c r="M74" s="216"/>
    </row>
    <row r="75" spans="1:13" s="162" customFormat="1" ht="30" customHeight="1">
      <c r="A75" s="213" t="s">
        <v>557</v>
      </c>
      <c r="B75" s="213" t="s">
        <v>540</v>
      </c>
      <c r="C75" s="214" t="s">
        <v>77</v>
      </c>
      <c r="D75" s="215">
        <v>1</v>
      </c>
      <c r="E75" s="175">
        <v>3500</v>
      </c>
      <c r="F75" s="175">
        <f t="shared" si="7"/>
        <v>3500</v>
      </c>
      <c r="G75" s="175"/>
      <c r="H75" s="175">
        <f t="shared" si="8"/>
        <v>0</v>
      </c>
      <c r="I75" s="175"/>
      <c r="J75" s="175"/>
      <c r="K75" s="175">
        <f t="shared" si="9"/>
        <v>3500</v>
      </c>
      <c r="L75" s="175">
        <f t="shared" si="10"/>
        <v>3500</v>
      </c>
      <c r="M75" s="216"/>
    </row>
    <row r="76" spans="1:13" s="162" customFormat="1" ht="30" customHeight="1">
      <c r="A76" s="213" t="s">
        <v>558</v>
      </c>
      <c r="B76" s="213" t="s">
        <v>539</v>
      </c>
      <c r="C76" s="214" t="s">
        <v>77</v>
      </c>
      <c r="D76" s="215">
        <v>1</v>
      </c>
      <c r="E76" s="175">
        <v>8300</v>
      </c>
      <c r="F76" s="175">
        <f t="shared" si="7"/>
        <v>8300</v>
      </c>
      <c r="G76" s="175"/>
      <c r="H76" s="175">
        <f t="shared" si="8"/>
        <v>0</v>
      </c>
      <c r="I76" s="175"/>
      <c r="J76" s="175"/>
      <c r="K76" s="175">
        <f t="shared" si="9"/>
        <v>8300</v>
      </c>
      <c r="L76" s="175">
        <f t="shared" si="10"/>
        <v>8300</v>
      </c>
      <c r="M76" s="213"/>
    </row>
    <row r="77" spans="1:13" s="162" customFormat="1" ht="30" customHeight="1">
      <c r="A77" s="213" t="s">
        <v>558</v>
      </c>
      <c r="B77" s="213" t="s">
        <v>540</v>
      </c>
      <c r="C77" s="214" t="s">
        <v>77</v>
      </c>
      <c r="D77" s="215">
        <v>6</v>
      </c>
      <c r="E77" s="175">
        <v>10400</v>
      </c>
      <c r="F77" s="175">
        <f t="shared" si="7"/>
        <v>62400</v>
      </c>
      <c r="G77" s="175"/>
      <c r="H77" s="175">
        <f t="shared" si="8"/>
        <v>0</v>
      </c>
      <c r="I77" s="175"/>
      <c r="J77" s="175"/>
      <c r="K77" s="175">
        <f t="shared" si="9"/>
        <v>10400</v>
      </c>
      <c r="L77" s="175">
        <f t="shared" si="10"/>
        <v>62400</v>
      </c>
      <c r="M77" s="216"/>
    </row>
    <row r="78" spans="1:13" s="162" customFormat="1" ht="30" customHeight="1">
      <c r="A78" s="213" t="s">
        <v>559</v>
      </c>
      <c r="B78" s="213" t="s">
        <v>539</v>
      </c>
      <c r="C78" s="214" t="s">
        <v>77</v>
      </c>
      <c r="D78" s="215">
        <v>4</v>
      </c>
      <c r="E78" s="175">
        <v>3800</v>
      </c>
      <c r="F78" s="175">
        <f t="shared" si="7"/>
        <v>15200</v>
      </c>
      <c r="G78" s="175"/>
      <c r="H78" s="175">
        <f t="shared" si="8"/>
        <v>0</v>
      </c>
      <c r="I78" s="175"/>
      <c r="J78" s="175"/>
      <c r="K78" s="175">
        <f t="shared" si="9"/>
        <v>3800</v>
      </c>
      <c r="L78" s="175">
        <f t="shared" si="10"/>
        <v>15200</v>
      </c>
      <c r="M78" s="213"/>
    </row>
    <row r="79" spans="1:13" s="162" customFormat="1" ht="30" customHeight="1">
      <c r="A79" s="213" t="s">
        <v>559</v>
      </c>
      <c r="B79" s="213" t="s">
        <v>540</v>
      </c>
      <c r="C79" s="214" t="s">
        <v>77</v>
      </c>
      <c r="D79" s="215">
        <v>3</v>
      </c>
      <c r="E79" s="175">
        <v>5400</v>
      </c>
      <c r="F79" s="175">
        <f t="shared" si="7"/>
        <v>16200</v>
      </c>
      <c r="G79" s="175"/>
      <c r="H79" s="175">
        <f t="shared" si="8"/>
        <v>0</v>
      </c>
      <c r="I79" s="175"/>
      <c r="J79" s="175"/>
      <c r="K79" s="175">
        <f t="shared" si="9"/>
        <v>5400</v>
      </c>
      <c r="L79" s="175">
        <f t="shared" si="10"/>
        <v>16200</v>
      </c>
      <c r="M79" s="216"/>
    </row>
    <row r="80" spans="1:13" s="162" customFormat="1" ht="30" customHeight="1">
      <c r="A80" s="213" t="s">
        <v>560</v>
      </c>
      <c r="B80" s="213" t="s">
        <v>539</v>
      </c>
      <c r="C80" s="214" t="s">
        <v>77</v>
      </c>
      <c r="D80" s="215">
        <v>22</v>
      </c>
      <c r="E80" s="175">
        <v>5700</v>
      </c>
      <c r="F80" s="175">
        <f t="shared" si="7"/>
        <v>125400</v>
      </c>
      <c r="G80" s="175"/>
      <c r="H80" s="175">
        <f t="shared" si="8"/>
        <v>0</v>
      </c>
      <c r="I80" s="175"/>
      <c r="J80" s="175"/>
      <c r="K80" s="175">
        <f t="shared" si="9"/>
        <v>5700</v>
      </c>
      <c r="L80" s="175">
        <f t="shared" si="10"/>
        <v>125400</v>
      </c>
      <c r="M80" s="216"/>
    </row>
    <row r="81" spans="1:13" s="162" customFormat="1" ht="30" customHeight="1">
      <c r="A81" s="213" t="s">
        <v>560</v>
      </c>
      <c r="B81" s="213" t="s">
        <v>540</v>
      </c>
      <c r="C81" s="214" t="s">
        <v>77</v>
      </c>
      <c r="D81" s="215">
        <v>1</v>
      </c>
      <c r="E81" s="175">
        <v>7100</v>
      </c>
      <c r="F81" s="175">
        <f t="shared" si="7"/>
        <v>7100</v>
      </c>
      <c r="G81" s="175"/>
      <c r="H81" s="175">
        <f t="shared" si="8"/>
        <v>0</v>
      </c>
      <c r="I81" s="175"/>
      <c r="J81" s="175"/>
      <c r="K81" s="175">
        <f t="shared" si="9"/>
        <v>7100</v>
      </c>
      <c r="L81" s="175">
        <f t="shared" si="10"/>
        <v>7100</v>
      </c>
      <c r="M81" s="216"/>
    </row>
    <row r="82" spans="1:13" s="162" customFormat="1" ht="30" customHeight="1">
      <c r="A82" s="216" t="s">
        <v>561</v>
      </c>
      <c r="B82" s="213" t="s">
        <v>562</v>
      </c>
      <c r="C82" s="214" t="s">
        <v>77</v>
      </c>
      <c r="D82" s="215">
        <v>6</v>
      </c>
      <c r="E82" s="175">
        <v>6000</v>
      </c>
      <c r="F82" s="175">
        <f t="shared" si="7"/>
        <v>36000</v>
      </c>
      <c r="G82" s="175"/>
      <c r="H82" s="175">
        <f t="shared" si="8"/>
        <v>0</v>
      </c>
      <c r="I82" s="175"/>
      <c r="J82" s="175"/>
      <c r="K82" s="175">
        <f t="shared" si="9"/>
        <v>6000</v>
      </c>
      <c r="L82" s="175">
        <f t="shared" si="10"/>
        <v>36000</v>
      </c>
      <c r="M82" s="213"/>
    </row>
    <row r="83" spans="1:13" s="162" customFormat="1" ht="30" customHeight="1">
      <c r="A83" s="216" t="s">
        <v>561</v>
      </c>
      <c r="B83" s="213" t="s">
        <v>540</v>
      </c>
      <c r="C83" s="214" t="s">
        <v>77</v>
      </c>
      <c r="D83" s="215">
        <v>6</v>
      </c>
      <c r="E83" s="175">
        <v>9600</v>
      </c>
      <c r="F83" s="175">
        <f t="shared" ref="F83:F106" si="11">D83*E83</f>
        <v>57600</v>
      </c>
      <c r="G83" s="175"/>
      <c r="H83" s="175">
        <f t="shared" ref="H83:H106" si="12">D83*G83</f>
        <v>0</v>
      </c>
      <c r="I83" s="175"/>
      <c r="J83" s="175"/>
      <c r="K83" s="175">
        <f t="shared" ref="K83:K106" si="13">E83+G83+I83</f>
        <v>9600</v>
      </c>
      <c r="L83" s="175">
        <f t="shared" ref="L83:L106" si="14">F83+H83+J83</f>
        <v>57600</v>
      </c>
      <c r="M83" s="216"/>
    </row>
    <row r="84" spans="1:13" s="162" customFormat="1" ht="30" customHeight="1">
      <c r="A84" s="216" t="s">
        <v>563</v>
      </c>
      <c r="B84" s="213" t="s">
        <v>540</v>
      </c>
      <c r="C84" s="214" t="s">
        <v>77</v>
      </c>
      <c r="D84" s="215">
        <v>5</v>
      </c>
      <c r="E84" s="175">
        <v>4600</v>
      </c>
      <c r="F84" s="175">
        <f t="shared" si="11"/>
        <v>23000</v>
      </c>
      <c r="G84" s="175"/>
      <c r="H84" s="175">
        <f t="shared" si="12"/>
        <v>0</v>
      </c>
      <c r="I84" s="175"/>
      <c r="J84" s="175"/>
      <c r="K84" s="175">
        <f t="shared" si="13"/>
        <v>4600</v>
      </c>
      <c r="L84" s="175">
        <f t="shared" si="14"/>
        <v>23000</v>
      </c>
      <c r="M84" s="216"/>
    </row>
    <row r="85" spans="1:13" s="162" customFormat="1" ht="30" customHeight="1">
      <c r="A85" s="216" t="s">
        <v>564</v>
      </c>
      <c r="B85" s="213" t="s">
        <v>540</v>
      </c>
      <c r="C85" s="214" t="s">
        <v>77</v>
      </c>
      <c r="D85" s="215">
        <v>5</v>
      </c>
      <c r="E85" s="175">
        <v>23300</v>
      </c>
      <c r="F85" s="175">
        <f t="shared" si="11"/>
        <v>116500</v>
      </c>
      <c r="G85" s="175"/>
      <c r="H85" s="175">
        <f t="shared" si="12"/>
        <v>0</v>
      </c>
      <c r="I85" s="175"/>
      <c r="J85" s="175"/>
      <c r="K85" s="175">
        <f t="shared" si="13"/>
        <v>23300</v>
      </c>
      <c r="L85" s="175">
        <f t="shared" si="14"/>
        <v>116500</v>
      </c>
      <c r="M85" s="216"/>
    </row>
    <row r="86" spans="1:13" s="162" customFormat="1" ht="30" customHeight="1">
      <c r="A86" s="216" t="s">
        <v>565</v>
      </c>
      <c r="B86" s="213" t="s">
        <v>540</v>
      </c>
      <c r="C86" s="214" t="s">
        <v>77</v>
      </c>
      <c r="D86" s="215">
        <v>3</v>
      </c>
      <c r="E86" s="175">
        <v>16700</v>
      </c>
      <c r="F86" s="175">
        <f t="shared" si="11"/>
        <v>50100</v>
      </c>
      <c r="G86" s="175"/>
      <c r="H86" s="175">
        <f t="shared" si="12"/>
        <v>0</v>
      </c>
      <c r="I86" s="175"/>
      <c r="J86" s="175"/>
      <c r="K86" s="175">
        <f t="shared" si="13"/>
        <v>16700</v>
      </c>
      <c r="L86" s="175">
        <f t="shared" si="14"/>
        <v>50100</v>
      </c>
      <c r="M86" s="216"/>
    </row>
    <row r="87" spans="1:13" s="162" customFormat="1" ht="30" customHeight="1">
      <c r="A87" s="216" t="s">
        <v>566</v>
      </c>
      <c r="B87" s="213" t="s">
        <v>562</v>
      </c>
      <c r="C87" s="217" t="s">
        <v>122</v>
      </c>
      <c r="D87" s="215">
        <v>32</v>
      </c>
      <c r="E87" s="175">
        <v>1500</v>
      </c>
      <c r="F87" s="175">
        <f t="shared" si="11"/>
        <v>48000</v>
      </c>
      <c r="G87" s="175"/>
      <c r="H87" s="175">
        <f t="shared" si="12"/>
        <v>0</v>
      </c>
      <c r="I87" s="175"/>
      <c r="J87" s="175"/>
      <c r="K87" s="175">
        <f t="shared" si="13"/>
        <v>1500</v>
      </c>
      <c r="L87" s="175">
        <f t="shared" si="14"/>
        <v>48000</v>
      </c>
      <c r="M87" s="216"/>
    </row>
    <row r="88" spans="1:13" s="162" customFormat="1" ht="30" customHeight="1">
      <c r="A88" s="216" t="s">
        <v>566</v>
      </c>
      <c r="B88" s="213" t="s">
        <v>540</v>
      </c>
      <c r="C88" s="217" t="s">
        <v>122</v>
      </c>
      <c r="D88" s="215">
        <v>88</v>
      </c>
      <c r="E88" s="175">
        <v>1600</v>
      </c>
      <c r="F88" s="175">
        <f t="shared" si="11"/>
        <v>140800</v>
      </c>
      <c r="G88" s="175"/>
      <c r="H88" s="175">
        <f t="shared" si="12"/>
        <v>0</v>
      </c>
      <c r="I88" s="175"/>
      <c r="J88" s="175"/>
      <c r="K88" s="175">
        <f t="shared" si="13"/>
        <v>1600</v>
      </c>
      <c r="L88" s="175">
        <f t="shared" si="14"/>
        <v>140800</v>
      </c>
      <c r="M88" s="216"/>
    </row>
    <row r="89" spans="1:13" s="162" customFormat="1" ht="30" customHeight="1">
      <c r="A89" s="216" t="s">
        <v>566</v>
      </c>
      <c r="B89" s="213" t="s">
        <v>541</v>
      </c>
      <c r="C89" s="217" t="s">
        <v>122</v>
      </c>
      <c r="D89" s="215">
        <v>4</v>
      </c>
      <c r="E89" s="175">
        <v>1700</v>
      </c>
      <c r="F89" s="175">
        <f t="shared" si="11"/>
        <v>6800</v>
      </c>
      <c r="G89" s="175"/>
      <c r="H89" s="175">
        <f t="shared" si="12"/>
        <v>0</v>
      </c>
      <c r="I89" s="175"/>
      <c r="J89" s="175"/>
      <c r="K89" s="175">
        <f t="shared" si="13"/>
        <v>1700</v>
      </c>
      <c r="L89" s="175">
        <f t="shared" si="14"/>
        <v>6800</v>
      </c>
      <c r="M89" s="213"/>
    </row>
    <row r="90" spans="1:13" s="162" customFormat="1" ht="30" customHeight="1">
      <c r="A90" s="216" t="s">
        <v>566</v>
      </c>
      <c r="B90" s="213" t="s">
        <v>567</v>
      </c>
      <c r="C90" s="217" t="s">
        <v>122</v>
      </c>
      <c r="D90" s="215">
        <v>1</v>
      </c>
      <c r="E90" s="175">
        <v>1700</v>
      </c>
      <c r="F90" s="175">
        <f t="shared" si="11"/>
        <v>1700</v>
      </c>
      <c r="G90" s="175"/>
      <c r="H90" s="175">
        <f t="shared" si="12"/>
        <v>0</v>
      </c>
      <c r="I90" s="175"/>
      <c r="J90" s="175"/>
      <c r="K90" s="175">
        <f t="shared" si="13"/>
        <v>1700</v>
      </c>
      <c r="L90" s="175">
        <f t="shared" si="14"/>
        <v>1700</v>
      </c>
      <c r="M90" s="213"/>
    </row>
    <row r="91" spans="1:13" s="162" customFormat="1" ht="30" customHeight="1">
      <c r="A91" s="216" t="s">
        <v>568</v>
      </c>
      <c r="B91" s="213" t="s">
        <v>541</v>
      </c>
      <c r="C91" s="214" t="s">
        <v>77</v>
      </c>
      <c r="D91" s="215">
        <v>1</v>
      </c>
      <c r="E91" s="175">
        <v>400</v>
      </c>
      <c r="F91" s="175">
        <f t="shared" si="11"/>
        <v>400</v>
      </c>
      <c r="G91" s="175"/>
      <c r="H91" s="175">
        <f t="shared" si="12"/>
        <v>0</v>
      </c>
      <c r="I91" s="175"/>
      <c r="J91" s="175"/>
      <c r="K91" s="175">
        <f t="shared" si="13"/>
        <v>400</v>
      </c>
      <c r="L91" s="175">
        <f t="shared" si="14"/>
        <v>400</v>
      </c>
      <c r="M91" s="216"/>
    </row>
    <row r="92" spans="1:13" s="162" customFormat="1" ht="30" customHeight="1">
      <c r="A92" s="216" t="s">
        <v>568</v>
      </c>
      <c r="B92" s="213" t="s">
        <v>567</v>
      </c>
      <c r="C92" s="214" t="s">
        <v>77</v>
      </c>
      <c r="D92" s="215">
        <v>1</v>
      </c>
      <c r="E92" s="175">
        <v>500</v>
      </c>
      <c r="F92" s="175">
        <f t="shared" si="11"/>
        <v>500</v>
      </c>
      <c r="G92" s="175"/>
      <c r="H92" s="175">
        <f t="shared" si="12"/>
        <v>0</v>
      </c>
      <c r="I92" s="175"/>
      <c r="J92" s="175"/>
      <c r="K92" s="175">
        <f t="shared" si="13"/>
        <v>500</v>
      </c>
      <c r="L92" s="175">
        <f t="shared" si="14"/>
        <v>500</v>
      </c>
      <c r="M92" s="216"/>
    </row>
    <row r="93" spans="1:13" s="162" customFormat="1" ht="30" customHeight="1">
      <c r="A93" s="216" t="s">
        <v>569</v>
      </c>
      <c r="B93" s="213" t="s">
        <v>541</v>
      </c>
      <c r="C93" s="214" t="s">
        <v>77</v>
      </c>
      <c r="D93" s="215">
        <v>29</v>
      </c>
      <c r="E93" s="175">
        <v>2100</v>
      </c>
      <c r="F93" s="175">
        <f t="shared" si="11"/>
        <v>60900</v>
      </c>
      <c r="G93" s="175"/>
      <c r="H93" s="175">
        <f t="shared" si="12"/>
        <v>0</v>
      </c>
      <c r="I93" s="175"/>
      <c r="J93" s="175"/>
      <c r="K93" s="175">
        <f t="shared" si="13"/>
        <v>2100</v>
      </c>
      <c r="L93" s="175">
        <f t="shared" si="14"/>
        <v>60900</v>
      </c>
      <c r="M93" s="216"/>
    </row>
    <row r="94" spans="1:13" s="162" customFormat="1" ht="30" customHeight="1">
      <c r="A94" s="216" t="s">
        <v>569</v>
      </c>
      <c r="B94" s="213" t="s">
        <v>567</v>
      </c>
      <c r="C94" s="214" t="s">
        <v>77</v>
      </c>
      <c r="D94" s="215">
        <v>1</v>
      </c>
      <c r="E94" s="175">
        <v>2500</v>
      </c>
      <c r="F94" s="175">
        <f t="shared" si="11"/>
        <v>2500</v>
      </c>
      <c r="G94" s="175"/>
      <c r="H94" s="175">
        <f t="shared" si="12"/>
        <v>0</v>
      </c>
      <c r="I94" s="175"/>
      <c r="J94" s="175"/>
      <c r="K94" s="175">
        <f t="shared" si="13"/>
        <v>2500</v>
      </c>
      <c r="L94" s="175">
        <f t="shared" si="14"/>
        <v>2500</v>
      </c>
      <c r="M94" s="216"/>
    </row>
    <row r="95" spans="1:13" s="162" customFormat="1" ht="30" customHeight="1">
      <c r="A95" s="216" t="s">
        <v>570</v>
      </c>
      <c r="B95" s="213" t="s">
        <v>541</v>
      </c>
      <c r="C95" s="214" t="s">
        <v>77</v>
      </c>
      <c r="D95" s="215">
        <v>13</v>
      </c>
      <c r="E95" s="175">
        <v>2100</v>
      </c>
      <c r="F95" s="175">
        <f t="shared" si="11"/>
        <v>27300</v>
      </c>
      <c r="G95" s="175"/>
      <c r="H95" s="175">
        <f t="shared" si="12"/>
        <v>0</v>
      </c>
      <c r="I95" s="175"/>
      <c r="J95" s="175"/>
      <c r="K95" s="175">
        <f t="shared" si="13"/>
        <v>2100</v>
      </c>
      <c r="L95" s="175">
        <f t="shared" si="14"/>
        <v>27300</v>
      </c>
      <c r="M95" s="216"/>
    </row>
    <row r="96" spans="1:13" s="162" customFormat="1" ht="30" customHeight="1">
      <c r="A96" s="216" t="s">
        <v>571</v>
      </c>
      <c r="B96" s="213" t="s">
        <v>541</v>
      </c>
      <c r="C96" s="214" t="s">
        <v>77</v>
      </c>
      <c r="D96" s="215">
        <v>16</v>
      </c>
      <c r="E96" s="175">
        <v>10000</v>
      </c>
      <c r="F96" s="175">
        <f t="shared" si="11"/>
        <v>160000</v>
      </c>
      <c r="G96" s="175"/>
      <c r="H96" s="175">
        <f t="shared" si="12"/>
        <v>0</v>
      </c>
      <c r="I96" s="175"/>
      <c r="J96" s="175"/>
      <c r="K96" s="175">
        <f t="shared" si="13"/>
        <v>10000</v>
      </c>
      <c r="L96" s="175">
        <f t="shared" si="14"/>
        <v>160000</v>
      </c>
      <c r="M96" s="216"/>
    </row>
    <row r="97" spans="1:63" s="162" customFormat="1" ht="30" customHeight="1">
      <c r="A97" s="216" t="s">
        <v>571</v>
      </c>
      <c r="B97" s="213" t="s">
        <v>567</v>
      </c>
      <c r="C97" s="214" t="s">
        <v>77</v>
      </c>
      <c r="D97" s="215">
        <v>1</v>
      </c>
      <c r="E97" s="175">
        <v>11700</v>
      </c>
      <c r="F97" s="175">
        <f t="shared" si="11"/>
        <v>11700</v>
      </c>
      <c r="G97" s="175"/>
      <c r="H97" s="175">
        <f t="shared" si="12"/>
        <v>0</v>
      </c>
      <c r="I97" s="175"/>
      <c r="J97" s="175"/>
      <c r="K97" s="175">
        <f t="shared" si="13"/>
        <v>11700</v>
      </c>
      <c r="L97" s="175">
        <f t="shared" si="14"/>
        <v>11700</v>
      </c>
      <c r="M97" s="216"/>
    </row>
    <row r="98" spans="1:63" s="162" customFormat="1" ht="30" customHeight="1">
      <c r="A98" s="216" t="s">
        <v>572</v>
      </c>
      <c r="B98" s="213" t="s">
        <v>541</v>
      </c>
      <c r="C98" s="214" t="s">
        <v>77</v>
      </c>
      <c r="D98" s="215">
        <v>13</v>
      </c>
      <c r="E98" s="175">
        <v>10000</v>
      </c>
      <c r="F98" s="175">
        <f t="shared" si="11"/>
        <v>130000</v>
      </c>
      <c r="G98" s="175"/>
      <c r="H98" s="175">
        <f t="shared" si="12"/>
        <v>0</v>
      </c>
      <c r="I98" s="175"/>
      <c r="J98" s="175"/>
      <c r="K98" s="175">
        <f t="shared" si="13"/>
        <v>10000</v>
      </c>
      <c r="L98" s="175">
        <f t="shared" si="14"/>
        <v>130000</v>
      </c>
      <c r="M98" s="216"/>
    </row>
    <row r="99" spans="1:63" s="162" customFormat="1" ht="30" customHeight="1">
      <c r="A99" s="216" t="s">
        <v>573</v>
      </c>
      <c r="B99" s="213" t="s">
        <v>541</v>
      </c>
      <c r="C99" s="214" t="s">
        <v>77</v>
      </c>
      <c r="D99" s="215">
        <v>13</v>
      </c>
      <c r="E99" s="175">
        <v>10000</v>
      </c>
      <c r="F99" s="175">
        <f t="shared" si="11"/>
        <v>130000</v>
      </c>
      <c r="G99" s="175"/>
      <c r="H99" s="175">
        <f t="shared" si="12"/>
        <v>0</v>
      </c>
      <c r="I99" s="175"/>
      <c r="J99" s="175"/>
      <c r="K99" s="175">
        <f t="shared" si="13"/>
        <v>10000</v>
      </c>
      <c r="L99" s="175">
        <f t="shared" si="14"/>
        <v>130000</v>
      </c>
      <c r="M99" s="216"/>
    </row>
    <row r="100" spans="1:63" s="162" customFormat="1" ht="30" customHeight="1">
      <c r="A100" s="216" t="s">
        <v>574</v>
      </c>
      <c r="B100" s="213" t="s">
        <v>575</v>
      </c>
      <c r="C100" s="217" t="s">
        <v>576</v>
      </c>
      <c r="D100" s="215">
        <v>10.4</v>
      </c>
      <c r="E100" s="175"/>
      <c r="F100" s="175">
        <f t="shared" si="11"/>
        <v>0</v>
      </c>
      <c r="G100" s="175">
        <v>2100</v>
      </c>
      <c r="H100" s="175">
        <f t="shared" si="12"/>
        <v>21840</v>
      </c>
      <c r="I100" s="175">
        <v>2500</v>
      </c>
      <c r="J100" s="175">
        <f>I100*D100</f>
        <v>26000</v>
      </c>
      <c r="K100" s="175">
        <f t="shared" si="13"/>
        <v>4600</v>
      </c>
      <c r="L100" s="175">
        <f t="shared" si="14"/>
        <v>47840</v>
      </c>
      <c r="M100" s="216"/>
    </row>
    <row r="101" spans="1:63" s="162" customFormat="1" ht="30" customHeight="1">
      <c r="A101" s="216" t="s">
        <v>577</v>
      </c>
      <c r="B101" s="213"/>
      <c r="C101" s="217" t="s">
        <v>576</v>
      </c>
      <c r="D101" s="215">
        <v>8</v>
      </c>
      <c r="E101" s="175"/>
      <c r="F101" s="175">
        <f t="shared" si="11"/>
        <v>0</v>
      </c>
      <c r="G101" s="175">
        <v>2500</v>
      </c>
      <c r="H101" s="175">
        <f t="shared" si="12"/>
        <v>20000</v>
      </c>
      <c r="I101" s="175">
        <v>1700</v>
      </c>
      <c r="J101" s="175">
        <f>I101*D101</f>
        <v>13600</v>
      </c>
      <c r="K101" s="175">
        <f t="shared" si="13"/>
        <v>4200</v>
      </c>
      <c r="L101" s="175">
        <f t="shared" si="14"/>
        <v>33600</v>
      </c>
      <c r="M101" s="216"/>
    </row>
    <row r="102" spans="1:63" s="162" customFormat="1" ht="30" customHeight="1">
      <c r="A102" s="216" t="s">
        <v>578</v>
      </c>
      <c r="B102" s="213"/>
      <c r="C102" s="217" t="s">
        <v>576</v>
      </c>
      <c r="D102" s="215">
        <v>2.4</v>
      </c>
      <c r="E102" s="175"/>
      <c r="F102" s="175">
        <f t="shared" si="11"/>
        <v>0</v>
      </c>
      <c r="G102" s="175"/>
      <c r="H102" s="175">
        <f t="shared" si="12"/>
        <v>0</v>
      </c>
      <c r="I102" s="175">
        <v>8300</v>
      </c>
      <c r="J102" s="175">
        <f>I102*D102</f>
        <v>19920</v>
      </c>
      <c r="K102" s="175">
        <f t="shared" si="13"/>
        <v>8300</v>
      </c>
      <c r="L102" s="175">
        <f t="shared" si="14"/>
        <v>19920</v>
      </c>
      <c r="M102" s="216"/>
    </row>
    <row r="103" spans="1:63" s="162" customFormat="1" ht="30" customHeight="1">
      <c r="A103" s="216" t="s">
        <v>579</v>
      </c>
      <c r="B103" s="213"/>
      <c r="C103" s="217" t="s">
        <v>576</v>
      </c>
      <c r="D103" s="215">
        <v>2.4</v>
      </c>
      <c r="E103" s="175">
        <v>58300</v>
      </c>
      <c r="F103" s="175">
        <f t="shared" si="11"/>
        <v>139920</v>
      </c>
      <c r="G103" s="175">
        <v>6700</v>
      </c>
      <c r="H103" s="175">
        <f t="shared" si="12"/>
        <v>16080</v>
      </c>
      <c r="I103" s="175"/>
      <c r="J103" s="175"/>
      <c r="K103" s="175">
        <f t="shared" si="13"/>
        <v>65000</v>
      </c>
      <c r="L103" s="175">
        <f t="shared" si="14"/>
        <v>156000</v>
      </c>
      <c r="M103" s="216"/>
    </row>
    <row r="104" spans="1:63" s="162" customFormat="1" ht="30" customHeight="1">
      <c r="A104" s="216" t="s">
        <v>16</v>
      </c>
      <c r="B104" s="216" t="s">
        <v>580</v>
      </c>
      <c r="C104" s="217" t="s">
        <v>165</v>
      </c>
      <c r="D104" s="215">
        <v>16</v>
      </c>
      <c r="E104" s="175"/>
      <c r="F104" s="175">
        <f t="shared" si="11"/>
        <v>0</v>
      </c>
      <c r="G104" s="175">
        <v>226200</v>
      </c>
      <c r="H104" s="175">
        <f t="shared" si="12"/>
        <v>3619200</v>
      </c>
      <c r="I104" s="175"/>
      <c r="J104" s="175"/>
      <c r="K104" s="175">
        <f t="shared" si="13"/>
        <v>226200</v>
      </c>
      <c r="L104" s="175">
        <f t="shared" si="14"/>
        <v>3619200</v>
      </c>
      <c r="M104" s="213"/>
    </row>
    <row r="105" spans="1:63" s="162" customFormat="1" ht="30" customHeight="1">
      <c r="A105" s="216" t="s">
        <v>16</v>
      </c>
      <c r="B105" s="216" t="s">
        <v>519</v>
      </c>
      <c r="C105" s="217" t="s">
        <v>165</v>
      </c>
      <c r="D105" s="215">
        <v>12</v>
      </c>
      <c r="E105" s="175"/>
      <c r="F105" s="175">
        <f t="shared" si="11"/>
        <v>0</v>
      </c>
      <c r="G105" s="175">
        <v>159400</v>
      </c>
      <c r="H105" s="175">
        <f t="shared" si="12"/>
        <v>1912800</v>
      </c>
      <c r="I105" s="175"/>
      <c r="J105" s="175"/>
      <c r="K105" s="175">
        <f t="shared" si="13"/>
        <v>159400</v>
      </c>
      <c r="L105" s="175">
        <f t="shared" si="14"/>
        <v>1912800</v>
      </c>
      <c r="M105" s="213"/>
    </row>
    <row r="106" spans="1:63" s="162" customFormat="1" ht="30" customHeight="1">
      <c r="A106" s="216" t="s">
        <v>520</v>
      </c>
      <c r="B106" s="216" t="s">
        <v>581</v>
      </c>
      <c r="C106" s="217" t="s">
        <v>55</v>
      </c>
      <c r="D106" s="215">
        <v>1</v>
      </c>
      <c r="E106" s="175">
        <f>TRUNC(SUM(H51:H105)*0.03,0)</f>
        <v>210855</v>
      </c>
      <c r="F106" s="175">
        <f t="shared" si="11"/>
        <v>210855</v>
      </c>
      <c r="G106" s="175"/>
      <c r="H106" s="175">
        <f t="shared" si="12"/>
        <v>0</v>
      </c>
      <c r="I106" s="175"/>
      <c r="J106" s="175"/>
      <c r="K106" s="175">
        <f t="shared" si="13"/>
        <v>210855</v>
      </c>
      <c r="L106" s="175">
        <f t="shared" si="14"/>
        <v>210855</v>
      </c>
      <c r="M106" s="213"/>
    </row>
    <row r="107" spans="1:63" s="162" customFormat="1" ht="30" customHeight="1">
      <c r="A107" s="213"/>
      <c r="B107" s="213"/>
      <c r="C107" s="214"/>
      <c r="D107" s="218"/>
      <c r="E107" s="175"/>
      <c r="F107" s="175"/>
      <c r="G107" s="175"/>
      <c r="H107" s="175"/>
      <c r="I107" s="175"/>
      <c r="J107" s="175"/>
      <c r="K107" s="175"/>
      <c r="L107" s="175"/>
      <c r="M107" s="213"/>
    </row>
    <row r="108" spans="1:63" s="223" customFormat="1" ht="30" customHeight="1">
      <c r="A108" s="219"/>
      <c r="B108" s="219"/>
      <c r="C108" s="220"/>
      <c r="D108" s="221"/>
      <c r="E108" s="222"/>
      <c r="F108" s="222">
        <f t="shared" ref="F108:F114" si="15">E108*D108</f>
        <v>0</v>
      </c>
      <c r="G108" s="222"/>
      <c r="H108" s="222">
        <f t="shared" ref="H108:H114" si="16">G108*D108</f>
        <v>0</v>
      </c>
      <c r="I108" s="222">
        <v>0</v>
      </c>
      <c r="J108" s="222">
        <v>0</v>
      </c>
      <c r="K108" s="222">
        <f t="shared" ref="K108:K114" si="17">E108+G108+I108</f>
        <v>0</v>
      </c>
      <c r="L108" s="222">
        <f t="shared" ref="L108:L114" si="18">K108*D108</f>
        <v>0</v>
      </c>
      <c r="M108" s="219"/>
      <c r="AE108" s="223" t="s">
        <v>582</v>
      </c>
      <c r="AF108" s="223">
        <v>264</v>
      </c>
      <c r="AS108" s="224">
        <v>1973</v>
      </c>
      <c r="AT108" s="224">
        <v>11256</v>
      </c>
      <c r="AU108" s="224"/>
      <c r="AV108" s="224"/>
      <c r="AW108" s="224" t="e">
        <f>TRUNC(#REF!*#REF!)+TRUNC(#REF!*#REF!)+TRUNC(#REF!*#REF!)</f>
        <v>#REF!</v>
      </c>
      <c r="AX108" s="225"/>
      <c r="AY108" s="225"/>
      <c r="AZ108" s="225"/>
      <c r="BA108" s="225"/>
      <c r="BB108" s="224">
        <v>1973</v>
      </c>
      <c r="BC108" s="224">
        <v>11256</v>
      </c>
      <c r="BD108" s="224"/>
      <c r="BE108" s="224"/>
      <c r="BF108" s="224">
        <f t="shared" ref="BF108:BF114" si="19">TRUNC(D108*E108)+TRUNC(D108*G108)+TRUNC(D108*I108)</f>
        <v>0</v>
      </c>
      <c r="BG108" s="225"/>
      <c r="BH108" s="225"/>
      <c r="BI108" s="225"/>
      <c r="BJ108" s="225"/>
      <c r="BK108" s="225"/>
    </row>
    <row r="109" spans="1:63" s="223" customFormat="1" ht="30" customHeight="1">
      <c r="A109" s="219"/>
      <c r="B109" s="219"/>
      <c r="C109" s="220"/>
      <c r="D109" s="221"/>
      <c r="E109" s="222"/>
      <c r="F109" s="222">
        <f t="shared" si="15"/>
        <v>0</v>
      </c>
      <c r="G109" s="222"/>
      <c r="H109" s="222">
        <f t="shared" si="16"/>
        <v>0</v>
      </c>
      <c r="I109" s="222">
        <v>0</v>
      </c>
      <c r="J109" s="222">
        <v>0</v>
      </c>
      <c r="K109" s="222">
        <f t="shared" si="17"/>
        <v>0</v>
      </c>
      <c r="L109" s="222">
        <f t="shared" si="18"/>
        <v>0</v>
      </c>
      <c r="M109" s="219"/>
      <c r="AE109" s="223" t="s">
        <v>583</v>
      </c>
      <c r="AF109" s="223">
        <v>265</v>
      </c>
      <c r="AS109" s="224">
        <v>3200</v>
      </c>
      <c r="AT109" s="224">
        <v>14793</v>
      </c>
      <c r="AU109" s="224"/>
      <c r="AV109" s="224"/>
      <c r="AW109" s="224" t="e">
        <f>TRUNC(#REF!*#REF!)+TRUNC(#REF!*#REF!)+TRUNC(#REF!*#REF!)</f>
        <v>#REF!</v>
      </c>
      <c r="AX109" s="225"/>
      <c r="AY109" s="225"/>
      <c r="AZ109" s="225"/>
      <c r="BA109" s="225"/>
      <c r="BB109" s="224">
        <v>3200</v>
      </c>
      <c r="BC109" s="224">
        <v>14793</v>
      </c>
      <c r="BD109" s="224"/>
      <c r="BE109" s="224"/>
      <c r="BF109" s="224">
        <f t="shared" si="19"/>
        <v>0</v>
      </c>
      <c r="BG109" s="225"/>
      <c r="BH109" s="225"/>
      <c r="BI109" s="225"/>
      <c r="BJ109" s="225"/>
      <c r="BK109" s="225"/>
    </row>
    <row r="110" spans="1:63" s="223" customFormat="1" ht="30" customHeight="1">
      <c r="A110" s="219"/>
      <c r="B110" s="219"/>
      <c r="C110" s="220"/>
      <c r="D110" s="221"/>
      <c r="E110" s="222"/>
      <c r="F110" s="222">
        <f t="shared" si="15"/>
        <v>0</v>
      </c>
      <c r="G110" s="222"/>
      <c r="H110" s="222">
        <f t="shared" si="16"/>
        <v>0</v>
      </c>
      <c r="I110" s="222">
        <v>0</v>
      </c>
      <c r="J110" s="222">
        <v>0</v>
      </c>
      <c r="K110" s="222">
        <f t="shared" si="17"/>
        <v>0</v>
      </c>
      <c r="L110" s="222">
        <f t="shared" si="18"/>
        <v>0</v>
      </c>
      <c r="M110" s="219"/>
      <c r="AE110" s="223" t="s">
        <v>584</v>
      </c>
      <c r="AF110" s="223">
        <v>266</v>
      </c>
      <c r="AS110" s="224">
        <v>3990</v>
      </c>
      <c r="AT110" s="224">
        <v>17684</v>
      </c>
      <c r="AU110" s="224"/>
      <c r="AV110" s="224"/>
      <c r="AW110" s="224" t="e">
        <f>TRUNC(#REF!*#REF!)+TRUNC(#REF!*#REF!)+TRUNC(#REF!*#REF!)</f>
        <v>#REF!</v>
      </c>
      <c r="AX110" s="225"/>
      <c r="AY110" s="225"/>
      <c r="AZ110" s="225"/>
      <c r="BA110" s="225"/>
      <c r="BB110" s="224">
        <v>3990</v>
      </c>
      <c r="BC110" s="224">
        <v>17684</v>
      </c>
      <c r="BD110" s="224"/>
      <c r="BE110" s="224"/>
      <c r="BF110" s="224">
        <f t="shared" si="19"/>
        <v>0</v>
      </c>
      <c r="BG110" s="225"/>
      <c r="BH110" s="225"/>
      <c r="BI110" s="225"/>
      <c r="BJ110" s="225"/>
      <c r="BK110" s="225"/>
    </row>
    <row r="111" spans="1:63" s="223" customFormat="1" ht="30" customHeight="1">
      <c r="A111" s="219"/>
      <c r="B111" s="219"/>
      <c r="C111" s="220"/>
      <c r="D111" s="221"/>
      <c r="E111" s="222"/>
      <c r="F111" s="222">
        <f t="shared" si="15"/>
        <v>0</v>
      </c>
      <c r="G111" s="222"/>
      <c r="H111" s="222">
        <f t="shared" si="16"/>
        <v>0</v>
      </c>
      <c r="I111" s="222">
        <v>0</v>
      </c>
      <c r="J111" s="222">
        <v>0</v>
      </c>
      <c r="K111" s="222">
        <f t="shared" si="17"/>
        <v>0</v>
      </c>
      <c r="L111" s="222">
        <f t="shared" si="18"/>
        <v>0</v>
      </c>
      <c r="M111" s="219"/>
      <c r="AE111" s="223" t="s">
        <v>585</v>
      </c>
      <c r="AF111" s="223">
        <v>267</v>
      </c>
      <c r="AS111" s="224">
        <v>5595</v>
      </c>
      <c r="AT111" s="224">
        <v>22105</v>
      </c>
      <c r="AU111" s="224"/>
      <c r="AV111" s="224"/>
      <c r="AW111" s="224" t="e">
        <f>TRUNC(#REF!*#REF!)+TRUNC(#REF!*#REF!)+TRUNC(#REF!*#REF!)</f>
        <v>#REF!</v>
      </c>
      <c r="AX111" s="225"/>
      <c r="AY111" s="225"/>
      <c r="AZ111" s="225"/>
      <c r="BA111" s="225"/>
      <c r="BB111" s="224">
        <v>5595</v>
      </c>
      <c r="BC111" s="224">
        <v>22105</v>
      </c>
      <c r="BD111" s="224"/>
      <c r="BE111" s="224"/>
      <c r="BF111" s="224">
        <f t="shared" si="19"/>
        <v>0</v>
      </c>
      <c r="BG111" s="225"/>
      <c r="BH111" s="225"/>
      <c r="BI111" s="225"/>
      <c r="BJ111" s="225"/>
      <c r="BK111" s="225"/>
    </row>
    <row r="112" spans="1:63" s="223" customFormat="1" ht="30" customHeight="1">
      <c r="A112" s="219"/>
      <c r="B112" s="219"/>
      <c r="C112" s="220"/>
      <c r="D112" s="221"/>
      <c r="E112" s="222"/>
      <c r="F112" s="222">
        <f t="shared" si="15"/>
        <v>0</v>
      </c>
      <c r="G112" s="222"/>
      <c r="H112" s="222">
        <f t="shared" si="16"/>
        <v>0</v>
      </c>
      <c r="I112" s="222">
        <v>0</v>
      </c>
      <c r="J112" s="222">
        <v>0</v>
      </c>
      <c r="K112" s="222">
        <f t="shared" si="17"/>
        <v>0</v>
      </c>
      <c r="L112" s="222">
        <f t="shared" si="18"/>
        <v>0</v>
      </c>
      <c r="M112" s="219"/>
      <c r="AE112" s="223" t="s">
        <v>586</v>
      </c>
      <c r="AF112" s="223">
        <v>268</v>
      </c>
      <c r="AS112" s="224">
        <v>6815</v>
      </c>
      <c r="AT112" s="224">
        <v>25404</v>
      </c>
      <c r="AU112" s="224"/>
      <c r="AV112" s="224"/>
      <c r="AW112" s="224" t="e">
        <f>TRUNC(#REF!*#REF!)+TRUNC(#REF!*#REF!)+TRUNC(#REF!*#REF!)</f>
        <v>#REF!</v>
      </c>
      <c r="AX112" s="225"/>
      <c r="AY112" s="225"/>
      <c r="AZ112" s="225"/>
      <c r="BA112" s="225"/>
      <c r="BB112" s="224">
        <v>6815</v>
      </c>
      <c r="BC112" s="224">
        <v>25404</v>
      </c>
      <c r="BD112" s="224"/>
      <c r="BE112" s="224"/>
      <c r="BF112" s="224">
        <f t="shared" si="19"/>
        <v>0</v>
      </c>
      <c r="BG112" s="225"/>
      <c r="BH112" s="225"/>
      <c r="BI112" s="225"/>
      <c r="BJ112" s="225"/>
      <c r="BK112" s="225"/>
    </row>
    <row r="113" spans="1:63" s="223" customFormat="1" ht="30" customHeight="1">
      <c r="A113" s="219"/>
      <c r="B113" s="219"/>
      <c r="C113" s="220"/>
      <c r="D113" s="221"/>
      <c r="E113" s="222"/>
      <c r="F113" s="222">
        <f t="shared" si="15"/>
        <v>0</v>
      </c>
      <c r="G113" s="222"/>
      <c r="H113" s="222">
        <f t="shared" si="16"/>
        <v>0</v>
      </c>
      <c r="I113" s="222">
        <v>0</v>
      </c>
      <c r="J113" s="222">
        <v>0</v>
      </c>
      <c r="K113" s="222">
        <f t="shared" si="17"/>
        <v>0</v>
      </c>
      <c r="L113" s="222">
        <f t="shared" si="18"/>
        <v>0</v>
      </c>
      <c r="M113" s="219"/>
      <c r="AE113" s="223" t="s">
        <v>587</v>
      </c>
      <c r="AF113" s="223">
        <v>273</v>
      </c>
      <c r="AS113" s="224">
        <v>379</v>
      </c>
      <c r="AT113" s="224">
        <v>4777</v>
      </c>
      <c r="AU113" s="224"/>
      <c r="AV113" s="224"/>
      <c r="AW113" s="224" t="e">
        <f>TRUNC(#REF!*#REF!)+TRUNC(#REF!*#REF!)+TRUNC(#REF!*#REF!)</f>
        <v>#REF!</v>
      </c>
      <c r="AX113" s="225"/>
      <c r="AY113" s="225"/>
      <c r="AZ113" s="225"/>
      <c r="BA113" s="225"/>
      <c r="BB113" s="224">
        <v>379</v>
      </c>
      <c r="BC113" s="224">
        <v>4777</v>
      </c>
      <c r="BD113" s="224"/>
      <c r="BE113" s="224"/>
      <c r="BF113" s="224">
        <f t="shared" si="19"/>
        <v>0</v>
      </c>
      <c r="BG113" s="225"/>
      <c r="BH113" s="225"/>
      <c r="BI113" s="225"/>
      <c r="BJ113" s="225"/>
      <c r="BK113" s="225"/>
    </row>
    <row r="114" spans="1:63" s="223" customFormat="1" ht="30" customHeight="1">
      <c r="A114" s="219"/>
      <c r="B114" s="219"/>
      <c r="C114" s="220"/>
      <c r="D114" s="221"/>
      <c r="E114" s="222"/>
      <c r="F114" s="222">
        <f t="shared" si="15"/>
        <v>0</v>
      </c>
      <c r="G114" s="222"/>
      <c r="H114" s="222">
        <f t="shared" si="16"/>
        <v>0</v>
      </c>
      <c r="I114" s="222">
        <v>0</v>
      </c>
      <c r="J114" s="222">
        <v>0</v>
      </c>
      <c r="K114" s="222">
        <f t="shared" si="17"/>
        <v>0</v>
      </c>
      <c r="L114" s="222">
        <f t="shared" si="18"/>
        <v>0</v>
      </c>
      <c r="M114" s="219"/>
      <c r="AE114" s="223" t="s">
        <v>588</v>
      </c>
      <c r="AF114" s="223">
        <v>275</v>
      </c>
      <c r="AS114" s="224">
        <v>485</v>
      </c>
      <c r="AT114" s="224">
        <v>6186</v>
      </c>
      <c r="AU114" s="224"/>
      <c r="AV114" s="224"/>
      <c r="AW114" s="224" t="e">
        <f>TRUNC(#REF!*#REF!)+TRUNC(#REF!*#REF!)+TRUNC(#REF!*#REF!)</f>
        <v>#REF!</v>
      </c>
      <c r="AX114" s="225"/>
      <c r="AY114" s="225"/>
      <c r="AZ114" s="225"/>
      <c r="BA114" s="225"/>
      <c r="BB114" s="224">
        <v>485</v>
      </c>
      <c r="BC114" s="224">
        <v>6186</v>
      </c>
      <c r="BD114" s="224"/>
      <c r="BE114" s="224"/>
      <c r="BF114" s="224">
        <f t="shared" si="19"/>
        <v>0</v>
      </c>
      <c r="BG114" s="225"/>
      <c r="BH114" s="225"/>
      <c r="BI114" s="225"/>
      <c r="BJ114" s="225"/>
      <c r="BK114" s="225"/>
    </row>
    <row r="115" spans="1:63" ht="30" customHeight="1">
      <c r="A115" s="207" t="s">
        <v>522</v>
      </c>
      <c r="B115" s="200"/>
      <c r="C115" s="201"/>
      <c r="D115" s="206"/>
      <c r="E115" s="203"/>
      <c r="F115" s="203">
        <f>SUM(F51:F114)</f>
        <v>4825056</v>
      </c>
      <c r="G115" s="203"/>
      <c r="H115" s="203">
        <f>SUM(H51:H114)</f>
        <v>7028520</v>
      </c>
      <c r="I115" s="203"/>
      <c r="J115" s="203"/>
      <c r="K115" s="203"/>
      <c r="L115" s="203">
        <f>SUM(L51:L114)</f>
        <v>11913096</v>
      </c>
      <c r="M115" s="200"/>
    </row>
    <row r="116" spans="1:63" s="198" customFormat="1" ht="30" customHeight="1">
      <c r="A116" s="193" t="s">
        <v>589</v>
      </c>
      <c r="B116" s="194"/>
      <c r="C116" s="195"/>
      <c r="D116" s="195"/>
      <c r="E116" s="196"/>
      <c r="F116" s="196"/>
      <c r="G116" s="196"/>
      <c r="H116" s="196"/>
      <c r="I116" s="196"/>
      <c r="J116" s="196"/>
      <c r="K116" s="196"/>
      <c r="L116" s="196"/>
      <c r="M116" s="197"/>
    </row>
    <row r="117" spans="1:63" s="162" customFormat="1" ht="30" customHeight="1">
      <c r="A117" s="213" t="s">
        <v>590</v>
      </c>
      <c r="B117" s="213" t="s">
        <v>591</v>
      </c>
      <c r="C117" s="214" t="s">
        <v>124</v>
      </c>
      <c r="D117" s="215">
        <v>139</v>
      </c>
      <c r="E117" s="175">
        <v>3900</v>
      </c>
      <c r="F117" s="175">
        <f t="shared" ref="F117:F148" si="20">D117*E117</f>
        <v>542100</v>
      </c>
      <c r="G117" s="175"/>
      <c r="H117" s="175">
        <f>D117*G117</f>
        <v>0</v>
      </c>
      <c r="I117" s="175"/>
      <c r="J117" s="175"/>
      <c r="K117" s="175">
        <f t="shared" ref="K117:K148" si="21">E117+G117+I117</f>
        <v>3900</v>
      </c>
      <c r="L117" s="175">
        <f t="shared" ref="L117:L148" si="22">F117+H117+J117</f>
        <v>542100</v>
      </c>
      <c r="M117" s="213"/>
    </row>
    <row r="118" spans="1:63" s="162" customFormat="1" ht="30" customHeight="1">
      <c r="A118" s="213" t="s">
        <v>590</v>
      </c>
      <c r="B118" s="213" t="s">
        <v>592</v>
      </c>
      <c r="C118" s="214" t="s">
        <v>124</v>
      </c>
      <c r="D118" s="215">
        <v>62</v>
      </c>
      <c r="E118" s="175">
        <v>6900</v>
      </c>
      <c r="F118" s="175">
        <f t="shared" si="20"/>
        <v>427800</v>
      </c>
      <c r="G118" s="175"/>
      <c r="H118" s="175"/>
      <c r="I118" s="175"/>
      <c r="J118" s="175"/>
      <c r="K118" s="175">
        <f t="shared" si="21"/>
        <v>6900</v>
      </c>
      <c r="L118" s="175">
        <f t="shared" si="22"/>
        <v>427800</v>
      </c>
      <c r="M118" s="213"/>
    </row>
    <row r="119" spans="1:63" s="162" customFormat="1" ht="30" customHeight="1">
      <c r="A119" s="213" t="s">
        <v>590</v>
      </c>
      <c r="B119" s="213" t="s">
        <v>593</v>
      </c>
      <c r="C119" s="214" t="s">
        <v>124</v>
      </c>
      <c r="D119" s="215">
        <v>198</v>
      </c>
      <c r="E119" s="175">
        <v>11400</v>
      </c>
      <c r="F119" s="175">
        <f t="shared" si="20"/>
        <v>2257200</v>
      </c>
      <c r="G119" s="175"/>
      <c r="H119" s="175">
        <f t="shared" ref="H119:H165" si="23">D119*G119</f>
        <v>0</v>
      </c>
      <c r="I119" s="175"/>
      <c r="J119" s="175"/>
      <c r="K119" s="175">
        <f t="shared" si="21"/>
        <v>11400</v>
      </c>
      <c r="L119" s="175">
        <f t="shared" si="22"/>
        <v>2257200</v>
      </c>
      <c r="M119" s="213"/>
    </row>
    <row r="120" spans="1:63" s="162" customFormat="1" ht="30" customHeight="1">
      <c r="A120" s="213" t="s">
        <v>594</v>
      </c>
      <c r="B120" s="213" t="s">
        <v>593</v>
      </c>
      <c r="C120" s="214" t="s">
        <v>124</v>
      </c>
      <c r="D120" s="215">
        <v>45</v>
      </c>
      <c r="E120" s="175">
        <v>6200</v>
      </c>
      <c r="F120" s="175">
        <f t="shared" si="20"/>
        <v>279000</v>
      </c>
      <c r="G120" s="175"/>
      <c r="H120" s="175">
        <f t="shared" si="23"/>
        <v>0</v>
      </c>
      <c r="I120" s="175"/>
      <c r="J120" s="175"/>
      <c r="K120" s="175">
        <f t="shared" si="21"/>
        <v>6200</v>
      </c>
      <c r="L120" s="175">
        <f t="shared" si="22"/>
        <v>279000</v>
      </c>
      <c r="M120" s="213"/>
    </row>
    <row r="121" spans="1:63" s="162" customFormat="1" ht="30" customHeight="1">
      <c r="A121" s="216" t="s">
        <v>543</v>
      </c>
      <c r="B121" s="216" t="s">
        <v>544</v>
      </c>
      <c r="C121" s="217" t="s">
        <v>55</v>
      </c>
      <c r="D121" s="215">
        <v>1</v>
      </c>
      <c r="E121" s="175">
        <f>TRUNC(SUM(F117:F120)*0.03,0)</f>
        <v>105183</v>
      </c>
      <c r="F121" s="175">
        <f t="shared" si="20"/>
        <v>105183</v>
      </c>
      <c r="G121" s="175"/>
      <c r="H121" s="175">
        <f t="shared" si="23"/>
        <v>0</v>
      </c>
      <c r="I121" s="175"/>
      <c r="J121" s="175"/>
      <c r="K121" s="175">
        <f t="shared" si="21"/>
        <v>105183</v>
      </c>
      <c r="L121" s="175">
        <f t="shared" si="22"/>
        <v>105183</v>
      </c>
      <c r="M121" s="213"/>
    </row>
    <row r="122" spans="1:63" s="162" customFormat="1" ht="30" customHeight="1">
      <c r="A122" s="213" t="s">
        <v>595</v>
      </c>
      <c r="B122" s="213" t="s">
        <v>593</v>
      </c>
      <c r="C122" s="214" t="s">
        <v>77</v>
      </c>
      <c r="D122" s="215">
        <v>18</v>
      </c>
      <c r="E122" s="175">
        <v>2300</v>
      </c>
      <c r="F122" s="175">
        <f t="shared" si="20"/>
        <v>41400</v>
      </c>
      <c r="G122" s="175"/>
      <c r="H122" s="175">
        <f t="shared" si="23"/>
        <v>0</v>
      </c>
      <c r="I122" s="175"/>
      <c r="J122" s="175"/>
      <c r="K122" s="175">
        <f t="shared" si="21"/>
        <v>2300</v>
      </c>
      <c r="L122" s="175">
        <f t="shared" si="22"/>
        <v>41400</v>
      </c>
      <c r="M122" s="213"/>
    </row>
    <row r="123" spans="1:63" s="162" customFormat="1" ht="30" customHeight="1">
      <c r="A123" s="213" t="s">
        <v>596</v>
      </c>
      <c r="B123" s="213" t="s">
        <v>591</v>
      </c>
      <c r="C123" s="214" t="s">
        <v>77</v>
      </c>
      <c r="D123" s="215">
        <v>2</v>
      </c>
      <c r="E123" s="175">
        <v>900</v>
      </c>
      <c r="F123" s="175">
        <f t="shared" si="20"/>
        <v>1800</v>
      </c>
      <c r="G123" s="175"/>
      <c r="H123" s="175">
        <f t="shared" si="23"/>
        <v>0</v>
      </c>
      <c r="I123" s="175"/>
      <c r="J123" s="175"/>
      <c r="K123" s="175">
        <f t="shared" si="21"/>
        <v>900</v>
      </c>
      <c r="L123" s="175">
        <f t="shared" si="22"/>
        <v>1800</v>
      </c>
      <c r="M123" s="216"/>
    </row>
    <row r="124" spans="1:63" s="162" customFormat="1" ht="30" customHeight="1">
      <c r="A124" s="213" t="s">
        <v>597</v>
      </c>
      <c r="B124" s="213" t="s">
        <v>598</v>
      </c>
      <c r="C124" s="214" t="s">
        <v>77</v>
      </c>
      <c r="D124" s="215">
        <v>2</v>
      </c>
      <c r="E124" s="175">
        <v>2700</v>
      </c>
      <c r="F124" s="175">
        <f t="shared" si="20"/>
        <v>5400</v>
      </c>
      <c r="G124" s="175"/>
      <c r="H124" s="175">
        <f t="shared" si="23"/>
        <v>0</v>
      </c>
      <c r="I124" s="175"/>
      <c r="J124" s="175"/>
      <c r="K124" s="175">
        <f t="shared" si="21"/>
        <v>2700</v>
      </c>
      <c r="L124" s="175">
        <f t="shared" si="22"/>
        <v>5400</v>
      </c>
      <c r="M124" s="216"/>
    </row>
    <row r="125" spans="1:63" s="162" customFormat="1" ht="30" customHeight="1">
      <c r="A125" s="213" t="s">
        <v>599</v>
      </c>
      <c r="B125" s="213" t="s">
        <v>598</v>
      </c>
      <c r="C125" s="214" t="s">
        <v>77</v>
      </c>
      <c r="D125" s="215">
        <v>2</v>
      </c>
      <c r="E125" s="175">
        <v>2500</v>
      </c>
      <c r="F125" s="175">
        <f t="shared" si="20"/>
        <v>5000</v>
      </c>
      <c r="G125" s="175"/>
      <c r="H125" s="175">
        <f t="shared" si="23"/>
        <v>0</v>
      </c>
      <c r="I125" s="175"/>
      <c r="J125" s="175"/>
      <c r="K125" s="175">
        <f t="shared" si="21"/>
        <v>2500</v>
      </c>
      <c r="L125" s="175">
        <f t="shared" si="22"/>
        <v>5000</v>
      </c>
      <c r="M125" s="216"/>
    </row>
    <row r="126" spans="1:63" s="162" customFormat="1" ht="30" customHeight="1">
      <c r="A126" s="213" t="s">
        <v>600</v>
      </c>
      <c r="B126" s="213">
        <v>100</v>
      </c>
      <c r="C126" s="214" t="s">
        <v>77</v>
      </c>
      <c r="D126" s="215">
        <v>5</v>
      </c>
      <c r="E126" s="175">
        <v>1300</v>
      </c>
      <c r="F126" s="175">
        <f t="shared" si="20"/>
        <v>6500</v>
      </c>
      <c r="G126" s="175"/>
      <c r="H126" s="175">
        <f t="shared" si="23"/>
        <v>0</v>
      </c>
      <c r="I126" s="175"/>
      <c r="J126" s="175"/>
      <c r="K126" s="175">
        <f t="shared" si="21"/>
        <v>1300</v>
      </c>
      <c r="L126" s="175">
        <f t="shared" si="22"/>
        <v>6500</v>
      </c>
      <c r="M126" s="213"/>
    </row>
    <row r="127" spans="1:63" s="162" customFormat="1" ht="30" customHeight="1">
      <c r="A127" s="213" t="s">
        <v>601</v>
      </c>
      <c r="B127" s="213" t="s">
        <v>591</v>
      </c>
      <c r="C127" s="214" t="s">
        <v>77</v>
      </c>
      <c r="D127" s="215">
        <v>4</v>
      </c>
      <c r="E127" s="175">
        <v>1900</v>
      </c>
      <c r="F127" s="175">
        <f t="shared" si="20"/>
        <v>7600</v>
      </c>
      <c r="G127" s="175"/>
      <c r="H127" s="175">
        <f t="shared" si="23"/>
        <v>0</v>
      </c>
      <c r="I127" s="175"/>
      <c r="J127" s="175"/>
      <c r="K127" s="175">
        <f t="shared" si="21"/>
        <v>1900</v>
      </c>
      <c r="L127" s="175">
        <f t="shared" si="22"/>
        <v>7600</v>
      </c>
      <c r="M127" s="213"/>
    </row>
    <row r="128" spans="1:63" s="162" customFormat="1" ht="30" customHeight="1">
      <c r="A128" s="213" t="s">
        <v>601</v>
      </c>
      <c r="B128" s="213" t="s">
        <v>593</v>
      </c>
      <c r="C128" s="214" t="s">
        <v>77</v>
      </c>
      <c r="D128" s="215">
        <v>26</v>
      </c>
      <c r="E128" s="175">
        <v>6600</v>
      </c>
      <c r="F128" s="175">
        <f t="shared" si="20"/>
        <v>171600</v>
      </c>
      <c r="G128" s="175"/>
      <c r="H128" s="175">
        <f t="shared" si="23"/>
        <v>0</v>
      </c>
      <c r="I128" s="175"/>
      <c r="J128" s="175"/>
      <c r="K128" s="175">
        <f t="shared" si="21"/>
        <v>6600</v>
      </c>
      <c r="L128" s="175">
        <f t="shared" si="22"/>
        <v>171600</v>
      </c>
      <c r="M128" s="213"/>
    </row>
    <row r="129" spans="1:13" s="162" customFormat="1" ht="30" customHeight="1">
      <c r="A129" s="213" t="s">
        <v>602</v>
      </c>
      <c r="B129" s="213" t="s">
        <v>591</v>
      </c>
      <c r="C129" s="214" t="s">
        <v>77</v>
      </c>
      <c r="D129" s="215">
        <v>32</v>
      </c>
      <c r="E129" s="175">
        <v>1900</v>
      </c>
      <c r="F129" s="175">
        <f t="shared" si="20"/>
        <v>60800</v>
      </c>
      <c r="G129" s="175"/>
      <c r="H129" s="175">
        <f t="shared" si="23"/>
        <v>0</v>
      </c>
      <c r="I129" s="175"/>
      <c r="J129" s="175"/>
      <c r="K129" s="175">
        <f t="shared" si="21"/>
        <v>1900</v>
      </c>
      <c r="L129" s="175">
        <f t="shared" si="22"/>
        <v>60800</v>
      </c>
      <c r="M129" s="213"/>
    </row>
    <row r="130" spans="1:13" s="162" customFormat="1" ht="30" customHeight="1">
      <c r="A130" s="213" t="s">
        <v>602</v>
      </c>
      <c r="B130" s="213" t="s">
        <v>593</v>
      </c>
      <c r="C130" s="214" t="s">
        <v>77</v>
      </c>
      <c r="D130" s="215">
        <v>5</v>
      </c>
      <c r="E130" s="175">
        <v>6600</v>
      </c>
      <c r="F130" s="175">
        <f t="shared" si="20"/>
        <v>33000</v>
      </c>
      <c r="G130" s="175"/>
      <c r="H130" s="175">
        <f t="shared" si="23"/>
        <v>0</v>
      </c>
      <c r="I130" s="175"/>
      <c r="J130" s="175"/>
      <c r="K130" s="175">
        <f t="shared" si="21"/>
        <v>6600</v>
      </c>
      <c r="L130" s="175">
        <f t="shared" si="22"/>
        <v>33000</v>
      </c>
      <c r="M130" s="213"/>
    </row>
    <row r="131" spans="1:13" s="162" customFormat="1" ht="30" customHeight="1">
      <c r="A131" s="213" t="s">
        <v>603</v>
      </c>
      <c r="B131" s="213" t="s">
        <v>591</v>
      </c>
      <c r="C131" s="214" t="s">
        <v>77</v>
      </c>
      <c r="D131" s="215">
        <v>20</v>
      </c>
      <c r="E131" s="175">
        <v>3600</v>
      </c>
      <c r="F131" s="175">
        <f t="shared" si="20"/>
        <v>72000</v>
      </c>
      <c r="G131" s="175"/>
      <c r="H131" s="175">
        <f t="shared" si="23"/>
        <v>0</v>
      </c>
      <c r="I131" s="175"/>
      <c r="J131" s="175"/>
      <c r="K131" s="175">
        <f t="shared" si="21"/>
        <v>3600</v>
      </c>
      <c r="L131" s="175">
        <f t="shared" si="22"/>
        <v>72000</v>
      </c>
      <c r="M131" s="213"/>
    </row>
    <row r="132" spans="1:13" s="162" customFormat="1" ht="30" customHeight="1">
      <c r="A132" s="213" t="s">
        <v>603</v>
      </c>
      <c r="B132" s="213" t="s">
        <v>593</v>
      </c>
      <c r="C132" s="214" t="s">
        <v>77</v>
      </c>
      <c r="D132" s="215">
        <v>8</v>
      </c>
      <c r="E132" s="175">
        <v>10100</v>
      </c>
      <c r="F132" s="175">
        <f t="shared" si="20"/>
        <v>80800</v>
      </c>
      <c r="G132" s="175"/>
      <c r="H132" s="175">
        <f t="shared" si="23"/>
        <v>0</v>
      </c>
      <c r="I132" s="175"/>
      <c r="J132" s="175"/>
      <c r="K132" s="175">
        <f t="shared" si="21"/>
        <v>10100</v>
      </c>
      <c r="L132" s="175">
        <f t="shared" si="22"/>
        <v>80800</v>
      </c>
      <c r="M132" s="213"/>
    </row>
    <row r="133" spans="1:13" s="162" customFormat="1" ht="30" customHeight="1">
      <c r="A133" s="213" t="s">
        <v>604</v>
      </c>
      <c r="B133" s="213" t="s">
        <v>591</v>
      </c>
      <c r="C133" s="214" t="s">
        <v>77</v>
      </c>
      <c r="D133" s="215">
        <v>15</v>
      </c>
      <c r="E133" s="175">
        <v>2900</v>
      </c>
      <c r="F133" s="175">
        <f t="shared" si="20"/>
        <v>43500</v>
      </c>
      <c r="G133" s="175"/>
      <c r="H133" s="175">
        <f t="shared" si="23"/>
        <v>0</v>
      </c>
      <c r="I133" s="175"/>
      <c r="J133" s="175"/>
      <c r="K133" s="175">
        <f t="shared" si="21"/>
        <v>2900</v>
      </c>
      <c r="L133" s="175">
        <f t="shared" si="22"/>
        <v>43500</v>
      </c>
      <c r="M133" s="216"/>
    </row>
    <row r="134" spans="1:13" s="162" customFormat="1" ht="30" customHeight="1">
      <c r="A134" s="213" t="s">
        <v>604</v>
      </c>
      <c r="B134" s="213" t="s">
        <v>593</v>
      </c>
      <c r="C134" s="214" t="s">
        <v>77</v>
      </c>
      <c r="D134" s="215">
        <v>8</v>
      </c>
      <c r="E134" s="175">
        <v>7500</v>
      </c>
      <c r="F134" s="175">
        <f t="shared" si="20"/>
        <v>60000</v>
      </c>
      <c r="G134" s="175"/>
      <c r="H134" s="175">
        <f t="shared" si="23"/>
        <v>0</v>
      </c>
      <c r="I134" s="175"/>
      <c r="J134" s="175"/>
      <c r="K134" s="175">
        <f t="shared" si="21"/>
        <v>7500</v>
      </c>
      <c r="L134" s="175">
        <f t="shared" si="22"/>
        <v>60000</v>
      </c>
      <c r="M134" s="216"/>
    </row>
    <row r="135" spans="1:13" s="162" customFormat="1" ht="30" customHeight="1">
      <c r="A135" s="213" t="s">
        <v>604</v>
      </c>
      <c r="B135" s="213" t="s">
        <v>605</v>
      </c>
      <c r="C135" s="214" t="s">
        <v>77</v>
      </c>
      <c r="D135" s="215">
        <v>4</v>
      </c>
      <c r="E135" s="175">
        <v>11700</v>
      </c>
      <c r="F135" s="175">
        <f t="shared" si="20"/>
        <v>46800</v>
      </c>
      <c r="G135" s="175"/>
      <c r="H135" s="175">
        <f t="shared" si="23"/>
        <v>0</v>
      </c>
      <c r="I135" s="175"/>
      <c r="J135" s="175"/>
      <c r="K135" s="175">
        <f t="shared" si="21"/>
        <v>11700</v>
      </c>
      <c r="L135" s="175">
        <f t="shared" si="22"/>
        <v>46800</v>
      </c>
      <c r="M135" s="216"/>
    </row>
    <row r="136" spans="1:13" s="162" customFormat="1" ht="30" customHeight="1">
      <c r="A136" s="213" t="s">
        <v>606</v>
      </c>
      <c r="B136" s="213" t="s">
        <v>591</v>
      </c>
      <c r="C136" s="214" t="s">
        <v>77</v>
      </c>
      <c r="D136" s="215">
        <v>21</v>
      </c>
      <c r="E136" s="175">
        <v>6200</v>
      </c>
      <c r="F136" s="175">
        <f t="shared" si="20"/>
        <v>130200</v>
      </c>
      <c r="G136" s="175"/>
      <c r="H136" s="175">
        <f t="shared" si="23"/>
        <v>0</v>
      </c>
      <c r="I136" s="175"/>
      <c r="J136" s="175"/>
      <c r="K136" s="175">
        <f t="shared" si="21"/>
        <v>6200</v>
      </c>
      <c r="L136" s="175">
        <f t="shared" si="22"/>
        <v>130200</v>
      </c>
      <c r="M136" s="216"/>
    </row>
    <row r="137" spans="1:13" s="162" customFormat="1" ht="30" customHeight="1">
      <c r="A137" s="213" t="s">
        <v>607</v>
      </c>
      <c r="B137" s="213" t="s">
        <v>593</v>
      </c>
      <c r="C137" s="214" t="s">
        <v>77</v>
      </c>
      <c r="D137" s="215">
        <v>1</v>
      </c>
      <c r="E137" s="175">
        <v>33500</v>
      </c>
      <c r="F137" s="175">
        <f t="shared" si="20"/>
        <v>33500</v>
      </c>
      <c r="G137" s="175"/>
      <c r="H137" s="175">
        <f t="shared" si="23"/>
        <v>0</v>
      </c>
      <c r="I137" s="175"/>
      <c r="J137" s="175"/>
      <c r="K137" s="175">
        <f t="shared" si="21"/>
        <v>33500</v>
      </c>
      <c r="L137" s="175">
        <f t="shared" si="22"/>
        <v>33500</v>
      </c>
      <c r="M137" s="213"/>
    </row>
    <row r="138" spans="1:13" s="162" customFormat="1" ht="30" customHeight="1">
      <c r="A138" s="216" t="s">
        <v>608</v>
      </c>
      <c r="B138" s="213" t="s">
        <v>591</v>
      </c>
      <c r="C138" s="214" t="s">
        <v>77</v>
      </c>
      <c r="D138" s="215">
        <v>12</v>
      </c>
      <c r="E138" s="175">
        <v>19200</v>
      </c>
      <c r="F138" s="175">
        <f t="shared" si="20"/>
        <v>230400</v>
      </c>
      <c r="G138" s="175"/>
      <c r="H138" s="175">
        <f t="shared" si="23"/>
        <v>0</v>
      </c>
      <c r="I138" s="175"/>
      <c r="J138" s="175"/>
      <c r="K138" s="175">
        <f t="shared" si="21"/>
        <v>19200</v>
      </c>
      <c r="L138" s="175">
        <f t="shared" si="22"/>
        <v>230400</v>
      </c>
      <c r="M138" s="213"/>
    </row>
    <row r="139" spans="1:13" s="162" customFormat="1" ht="30" customHeight="1">
      <c r="A139" s="216" t="s">
        <v>609</v>
      </c>
      <c r="B139" s="213" t="s">
        <v>591</v>
      </c>
      <c r="C139" s="217" t="s">
        <v>122</v>
      </c>
      <c r="D139" s="215">
        <v>52</v>
      </c>
      <c r="E139" s="175">
        <v>2400</v>
      </c>
      <c r="F139" s="175">
        <f t="shared" si="20"/>
        <v>124800</v>
      </c>
      <c r="G139" s="175"/>
      <c r="H139" s="175">
        <f t="shared" si="23"/>
        <v>0</v>
      </c>
      <c r="I139" s="175"/>
      <c r="J139" s="175"/>
      <c r="K139" s="175">
        <f t="shared" si="21"/>
        <v>2400</v>
      </c>
      <c r="L139" s="175">
        <f t="shared" si="22"/>
        <v>124800</v>
      </c>
      <c r="M139" s="213"/>
    </row>
    <row r="140" spans="1:13" s="162" customFormat="1" ht="30" customHeight="1">
      <c r="A140" s="216" t="s">
        <v>609</v>
      </c>
      <c r="B140" s="213" t="s">
        <v>592</v>
      </c>
      <c r="C140" s="217" t="s">
        <v>122</v>
      </c>
      <c r="D140" s="215">
        <v>32</v>
      </c>
      <c r="E140" s="175">
        <v>2400</v>
      </c>
      <c r="F140" s="175">
        <f t="shared" si="20"/>
        <v>76800</v>
      </c>
      <c r="G140" s="175"/>
      <c r="H140" s="175">
        <f t="shared" si="23"/>
        <v>0</v>
      </c>
      <c r="I140" s="175"/>
      <c r="J140" s="175"/>
      <c r="K140" s="175">
        <f t="shared" si="21"/>
        <v>2400</v>
      </c>
      <c r="L140" s="175">
        <f t="shared" si="22"/>
        <v>76800</v>
      </c>
      <c r="M140" s="213"/>
    </row>
    <row r="141" spans="1:13" s="162" customFormat="1" ht="30" customHeight="1">
      <c r="A141" s="216" t="s">
        <v>609</v>
      </c>
      <c r="B141" s="213" t="s">
        <v>593</v>
      </c>
      <c r="C141" s="217" t="s">
        <v>122</v>
      </c>
      <c r="D141" s="215">
        <v>68</v>
      </c>
      <c r="E141" s="175">
        <v>3600</v>
      </c>
      <c r="F141" s="175">
        <f t="shared" si="20"/>
        <v>244800</v>
      </c>
      <c r="G141" s="175"/>
      <c r="H141" s="175">
        <f t="shared" si="23"/>
        <v>0</v>
      </c>
      <c r="I141" s="175"/>
      <c r="J141" s="175"/>
      <c r="K141" s="175">
        <f t="shared" si="21"/>
        <v>3600</v>
      </c>
      <c r="L141" s="175">
        <f t="shared" si="22"/>
        <v>244800</v>
      </c>
      <c r="M141" s="213"/>
    </row>
    <row r="142" spans="1:13" s="162" customFormat="1" ht="30" customHeight="1">
      <c r="A142" s="216" t="s">
        <v>610</v>
      </c>
      <c r="B142" s="213" t="s">
        <v>591</v>
      </c>
      <c r="C142" s="214" t="s">
        <v>77</v>
      </c>
      <c r="D142" s="215">
        <v>6</v>
      </c>
      <c r="E142" s="175">
        <v>400</v>
      </c>
      <c r="F142" s="175">
        <f t="shared" si="20"/>
        <v>2400</v>
      </c>
      <c r="G142" s="175"/>
      <c r="H142" s="175">
        <f t="shared" si="23"/>
        <v>0</v>
      </c>
      <c r="I142" s="175"/>
      <c r="J142" s="175"/>
      <c r="K142" s="175">
        <f t="shared" si="21"/>
        <v>400</v>
      </c>
      <c r="L142" s="175">
        <f t="shared" si="22"/>
        <v>2400</v>
      </c>
      <c r="M142" s="213"/>
    </row>
    <row r="143" spans="1:13" s="162" customFormat="1" ht="30" customHeight="1">
      <c r="A143" s="216" t="s">
        <v>610</v>
      </c>
      <c r="B143" s="213" t="s">
        <v>593</v>
      </c>
      <c r="C143" s="214" t="s">
        <v>77</v>
      </c>
      <c r="D143" s="215">
        <v>8</v>
      </c>
      <c r="E143" s="175">
        <v>1000</v>
      </c>
      <c r="F143" s="175">
        <f t="shared" si="20"/>
        <v>8000</v>
      </c>
      <c r="G143" s="175"/>
      <c r="H143" s="175">
        <f t="shared" si="23"/>
        <v>0</v>
      </c>
      <c r="I143" s="175"/>
      <c r="J143" s="175"/>
      <c r="K143" s="175">
        <f t="shared" si="21"/>
        <v>1000</v>
      </c>
      <c r="L143" s="175">
        <f t="shared" si="22"/>
        <v>8000</v>
      </c>
      <c r="M143" s="213"/>
    </row>
    <row r="144" spans="1:13" s="162" customFormat="1" ht="30" customHeight="1">
      <c r="A144" s="216" t="s">
        <v>569</v>
      </c>
      <c r="B144" s="213" t="s">
        <v>591</v>
      </c>
      <c r="C144" s="214" t="s">
        <v>77</v>
      </c>
      <c r="D144" s="215">
        <v>3</v>
      </c>
      <c r="E144" s="175">
        <v>2500</v>
      </c>
      <c r="F144" s="175">
        <f t="shared" si="20"/>
        <v>7500</v>
      </c>
      <c r="G144" s="175"/>
      <c r="H144" s="175">
        <f t="shared" si="23"/>
        <v>0</v>
      </c>
      <c r="I144" s="175"/>
      <c r="J144" s="175"/>
      <c r="K144" s="175">
        <f t="shared" si="21"/>
        <v>2500</v>
      </c>
      <c r="L144" s="175">
        <f t="shared" si="22"/>
        <v>7500</v>
      </c>
      <c r="M144" s="216"/>
    </row>
    <row r="145" spans="1:13" s="162" customFormat="1" ht="30" customHeight="1">
      <c r="A145" s="216" t="s">
        <v>569</v>
      </c>
      <c r="B145" s="213" t="s">
        <v>593</v>
      </c>
      <c r="C145" s="214" t="s">
        <v>77</v>
      </c>
      <c r="D145" s="215">
        <v>4</v>
      </c>
      <c r="E145" s="175">
        <v>4600</v>
      </c>
      <c r="F145" s="175">
        <f t="shared" si="20"/>
        <v>18400</v>
      </c>
      <c r="G145" s="175"/>
      <c r="H145" s="175">
        <f t="shared" si="23"/>
        <v>0</v>
      </c>
      <c r="I145" s="175"/>
      <c r="J145" s="175"/>
      <c r="K145" s="175">
        <f t="shared" si="21"/>
        <v>4600</v>
      </c>
      <c r="L145" s="175">
        <f t="shared" si="22"/>
        <v>18400</v>
      </c>
      <c r="M145" s="216"/>
    </row>
    <row r="146" spans="1:13" s="162" customFormat="1" ht="30" customHeight="1">
      <c r="A146" s="216" t="s">
        <v>569</v>
      </c>
      <c r="B146" s="213" t="s">
        <v>605</v>
      </c>
      <c r="C146" s="214" t="s">
        <v>77</v>
      </c>
      <c r="D146" s="215">
        <v>12</v>
      </c>
      <c r="E146" s="175">
        <v>6200</v>
      </c>
      <c r="F146" s="175">
        <f t="shared" si="20"/>
        <v>74400</v>
      </c>
      <c r="G146" s="175"/>
      <c r="H146" s="175">
        <f t="shared" si="23"/>
        <v>0</v>
      </c>
      <c r="I146" s="175"/>
      <c r="J146" s="175"/>
      <c r="K146" s="175">
        <f t="shared" si="21"/>
        <v>6200</v>
      </c>
      <c r="L146" s="175">
        <f t="shared" si="22"/>
        <v>74400</v>
      </c>
      <c r="M146" s="216"/>
    </row>
    <row r="147" spans="1:13" s="162" customFormat="1" ht="30" customHeight="1">
      <c r="A147" s="216" t="s">
        <v>611</v>
      </c>
      <c r="B147" s="213" t="s">
        <v>591</v>
      </c>
      <c r="C147" s="214" t="s">
        <v>77</v>
      </c>
      <c r="D147" s="215">
        <v>20</v>
      </c>
      <c r="E147" s="175">
        <v>2900</v>
      </c>
      <c r="F147" s="175">
        <f t="shared" si="20"/>
        <v>58000</v>
      </c>
      <c r="G147" s="175"/>
      <c r="H147" s="175">
        <f t="shared" si="23"/>
        <v>0</v>
      </c>
      <c r="I147" s="175"/>
      <c r="J147" s="175"/>
      <c r="K147" s="175">
        <f t="shared" si="21"/>
        <v>2900</v>
      </c>
      <c r="L147" s="175">
        <f t="shared" si="22"/>
        <v>58000</v>
      </c>
      <c r="M147" s="216"/>
    </row>
    <row r="148" spans="1:13" s="162" customFormat="1" ht="30" customHeight="1">
      <c r="A148" s="216" t="s">
        <v>611</v>
      </c>
      <c r="B148" s="213" t="s">
        <v>612</v>
      </c>
      <c r="C148" s="214" t="s">
        <v>77</v>
      </c>
      <c r="D148" s="215">
        <v>6</v>
      </c>
      <c r="E148" s="175">
        <v>4200</v>
      </c>
      <c r="F148" s="175">
        <f t="shared" si="20"/>
        <v>25200</v>
      </c>
      <c r="G148" s="175"/>
      <c r="H148" s="175">
        <f t="shared" si="23"/>
        <v>0</v>
      </c>
      <c r="I148" s="175"/>
      <c r="J148" s="175"/>
      <c r="K148" s="175">
        <f t="shared" si="21"/>
        <v>4200</v>
      </c>
      <c r="L148" s="175">
        <f t="shared" si="22"/>
        <v>25200</v>
      </c>
      <c r="M148" s="216"/>
    </row>
    <row r="149" spans="1:13" s="162" customFormat="1" ht="30" customHeight="1">
      <c r="A149" s="216" t="s">
        <v>611</v>
      </c>
      <c r="B149" s="213" t="s">
        <v>593</v>
      </c>
      <c r="C149" s="214" t="s">
        <v>77</v>
      </c>
      <c r="D149" s="215">
        <v>12</v>
      </c>
      <c r="E149" s="175">
        <v>5400</v>
      </c>
      <c r="F149" s="175">
        <f t="shared" ref="F149:F165" si="24">D149*E149</f>
        <v>64800</v>
      </c>
      <c r="G149" s="175"/>
      <c r="H149" s="175">
        <f t="shared" si="23"/>
        <v>0</v>
      </c>
      <c r="I149" s="175"/>
      <c r="J149" s="175"/>
      <c r="K149" s="175">
        <f t="shared" ref="K149:K165" si="25">E149+G149+I149</f>
        <v>5400</v>
      </c>
      <c r="L149" s="175">
        <f t="shared" ref="L149:L165" si="26">F149+H149+J149</f>
        <v>64800</v>
      </c>
      <c r="M149" s="216"/>
    </row>
    <row r="150" spans="1:13" s="162" customFormat="1" ht="30" customHeight="1">
      <c r="A150" s="216" t="s">
        <v>570</v>
      </c>
      <c r="B150" s="213" t="s">
        <v>591</v>
      </c>
      <c r="C150" s="214" t="s">
        <v>77</v>
      </c>
      <c r="D150" s="215">
        <v>14</v>
      </c>
      <c r="E150" s="175">
        <v>2500</v>
      </c>
      <c r="F150" s="175">
        <f t="shared" si="24"/>
        <v>35000</v>
      </c>
      <c r="G150" s="175"/>
      <c r="H150" s="175">
        <f t="shared" si="23"/>
        <v>0</v>
      </c>
      <c r="I150" s="175"/>
      <c r="J150" s="175"/>
      <c r="K150" s="175">
        <f t="shared" si="25"/>
        <v>2500</v>
      </c>
      <c r="L150" s="175">
        <f t="shared" si="26"/>
        <v>35000</v>
      </c>
      <c r="M150" s="216"/>
    </row>
    <row r="151" spans="1:13" s="162" customFormat="1" ht="30" customHeight="1">
      <c r="A151" s="216" t="s">
        <v>570</v>
      </c>
      <c r="B151" s="213" t="s">
        <v>593</v>
      </c>
      <c r="C151" s="214" t="s">
        <v>77</v>
      </c>
      <c r="D151" s="215">
        <v>7</v>
      </c>
      <c r="E151" s="175">
        <v>4600</v>
      </c>
      <c r="F151" s="175">
        <f t="shared" si="24"/>
        <v>32200</v>
      </c>
      <c r="G151" s="175"/>
      <c r="H151" s="175">
        <f t="shared" si="23"/>
        <v>0</v>
      </c>
      <c r="I151" s="175"/>
      <c r="J151" s="175"/>
      <c r="K151" s="175">
        <f t="shared" si="25"/>
        <v>4600</v>
      </c>
      <c r="L151" s="175">
        <f t="shared" si="26"/>
        <v>32200</v>
      </c>
      <c r="M151" s="216"/>
    </row>
    <row r="152" spans="1:13" s="162" customFormat="1" ht="30" customHeight="1">
      <c r="A152" s="216" t="s">
        <v>613</v>
      </c>
      <c r="B152" s="213" t="s">
        <v>593</v>
      </c>
      <c r="C152" s="217" t="s">
        <v>122</v>
      </c>
      <c r="D152" s="215">
        <v>2</v>
      </c>
      <c r="E152" s="175">
        <v>23300</v>
      </c>
      <c r="F152" s="175">
        <f t="shared" si="24"/>
        <v>46600</v>
      </c>
      <c r="G152" s="175"/>
      <c r="H152" s="175">
        <f t="shared" si="23"/>
        <v>0</v>
      </c>
      <c r="I152" s="175"/>
      <c r="J152" s="175"/>
      <c r="K152" s="175">
        <f t="shared" si="25"/>
        <v>23300</v>
      </c>
      <c r="L152" s="175">
        <f t="shared" si="26"/>
        <v>46600</v>
      </c>
      <c r="M152" s="216"/>
    </row>
    <row r="153" spans="1:13" s="162" customFormat="1" ht="30" customHeight="1">
      <c r="A153" s="216" t="s">
        <v>614</v>
      </c>
      <c r="B153" s="213" t="s">
        <v>591</v>
      </c>
      <c r="C153" s="214" t="s">
        <v>77</v>
      </c>
      <c r="D153" s="215">
        <v>3</v>
      </c>
      <c r="E153" s="175">
        <v>14400</v>
      </c>
      <c r="F153" s="175">
        <f t="shared" si="24"/>
        <v>43200</v>
      </c>
      <c r="G153" s="175"/>
      <c r="H153" s="175">
        <f t="shared" si="23"/>
        <v>0</v>
      </c>
      <c r="I153" s="175"/>
      <c r="J153" s="175"/>
      <c r="K153" s="175">
        <f t="shared" si="25"/>
        <v>14400</v>
      </c>
      <c r="L153" s="175">
        <f t="shared" si="26"/>
        <v>43200</v>
      </c>
      <c r="M153" s="213"/>
    </row>
    <row r="154" spans="1:13" s="162" customFormat="1" ht="30" customHeight="1">
      <c r="A154" s="216" t="s">
        <v>614</v>
      </c>
      <c r="B154" s="213" t="s">
        <v>593</v>
      </c>
      <c r="C154" s="214" t="s">
        <v>77</v>
      </c>
      <c r="D154" s="215">
        <v>4</v>
      </c>
      <c r="E154" s="175">
        <v>23900</v>
      </c>
      <c r="F154" s="175">
        <f t="shared" si="24"/>
        <v>95600</v>
      </c>
      <c r="G154" s="175"/>
      <c r="H154" s="175">
        <f t="shared" si="23"/>
        <v>0</v>
      </c>
      <c r="I154" s="175"/>
      <c r="J154" s="175"/>
      <c r="K154" s="175">
        <f t="shared" si="25"/>
        <v>23900</v>
      </c>
      <c r="L154" s="175">
        <f t="shared" si="26"/>
        <v>95600</v>
      </c>
      <c r="M154" s="213"/>
    </row>
    <row r="155" spans="1:13" s="162" customFormat="1" ht="30" customHeight="1">
      <c r="A155" s="216" t="s">
        <v>614</v>
      </c>
      <c r="B155" s="213" t="s">
        <v>605</v>
      </c>
      <c r="C155" s="214" t="s">
        <v>77</v>
      </c>
      <c r="D155" s="215">
        <v>1</v>
      </c>
      <c r="E155" s="175">
        <v>25800</v>
      </c>
      <c r="F155" s="175">
        <f t="shared" si="24"/>
        <v>25800</v>
      </c>
      <c r="G155" s="175"/>
      <c r="H155" s="175">
        <f t="shared" si="23"/>
        <v>0</v>
      </c>
      <c r="I155" s="175"/>
      <c r="J155" s="175"/>
      <c r="K155" s="175">
        <f t="shared" si="25"/>
        <v>25800</v>
      </c>
      <c r="L155" s="175">
        <f t="shared" si="26"/>
        <v>25800</v>
      </c>
      <c r="M155" s="216"/>
    </row>
    <row r="156" spans="1:13" s="162" customFormat="1" ht="30" customHeight="1">
      <c r="A156" s="216" t="s">
        <v>573</v>
      </c>
      <c r="B156" s="213" t="s">
        <v>591</v>
      </c>
      <c r="C156" s="214" t="s">
        <v>77</v>
      </c>
      <c r="D156" s="215">
        <v>14</v>
      </c>
      <c r="E156" s="175">
        <v>16800</v>
      </c>
      <c r="F156" s="175">
        <f t="shared" si="24"/>
        <v>235200</v>
      </c>
      <c r="G156" s="175"/>
      <c r="H156" s="175">
        <f t="shared" si="23"/>
        <v>0</v>
      </c>
      <c r="I156" s="175"/>
      <c r="J156" s="175"/>
      <c r="K156" s="175">
        <f t="shared" si="25"/>
        <v>16800</v>
      </c>
      <c r="L156" s="175">
        <f t="shared" si="26"/>
        <v>235200</v>
      </c>
      <c r="M156" s="213"/>
    </row>
    <row r="157" spans="1:13" s="162" customFormat="1" ht="30" customHeight="1">
      <c r="A157" s="216" t="s">
        <v>573</v>
      </c>
      <c r="B157" s="213" t="s">
        <v>593</v>
      </c>
      <c r="C157" s="214" t="s">
        <v>77</v>
      </c>
      <c r="D157" s="215">
        <v>7</v>
      </c>
      <c r="E157" s="175">
        <v>23900</v>
      </c>
      <c r="F157" s="175">
        <f t="shared" si="24"/>
        <v>167300</v>
      </c>
      <c r="G157" s="175"/>
      <c r="H157" s="175">
        <f t="shared" si="23"/>
        <v>0</v>
      </c>
      <c r="I157" s="175"/>
      <c r="J157" s="175"/>
      <c r="K157" s="175">
        <f t="shared" si="25"/>
        <v>23900</v>
      </c>
      <c r="L157" s="175">
        <f t="shared" si="26"/>
        <v>167300</v>
      </c>
      <c r="M157" s="213"/>
    </row>
    <row r="158" spans="1:13" s="162" customFormat="1" ht="30" customHeight="1">
      <c r="A158" s="216" t="s">
        <v>615</v>
      </c>
      <c r="B158" s="213" t="s">
        <v>616</v>
      </c>
      <c r="C158" s="217" t="s">
        <v>122</v>
      </c>
      <c r="D158" s="215">
        <v>4</v>
      </c>
      <c r="E158" s="175">
        <v>3600</v>
      </c>
      <c r="F158" s="175">
        <f t="shared" si="24"/>
        <v>14400</v>
      </c>
      <c r="G158" s="175">
        <v>15600</v>
      </c>
      <c r="H158" s="175">
        <f t="shared" si="23"/>
        <v>62400</v>
      </c>
      <c r="I158" s="175"/>
      <c r="J158" s="175"/>
      <c r="K158" s="175">
        <f t="shared" si="25"/>
        <v>19200</v>
      </c>
      <c r="L158" s="175">
        <f t="shared" si="26"/>
        <v>76800</v>
      </c>
      <c r="M158" s="213"/>
    </row>
    <row r="159" spans="1:13" s="162" customFormat="1" ht="30" customHeight="1">
      <c r="A159" s="216" t="s">
        <v>617</v>
      </c>
      <c r="B159" s="213" t="s">
        <v>618</v>
      </c>
      <c r="C159" s="214" t="s">
        <v>216</v>
      </c>
      <c r="D159" s="215">
        <v>44.3</v>
      </c>
      <c r="E159" s="175">
        <v>1400</v>
      </c>
      <c r="F159" s="175">
        <f t="shared" si="24"/>
        <v>62019.99999999999</v>
      </c>
      <c r="G159" s="175"/>
      <c r="H159" s="175">
        <f t="shared" si="23"/>
        <v>0</v>
      </c>
      <c r="I159" s="175"/>
      <c r="J159" s="175"/>
      <c r="K159" s="175">
        <f t="shared" si="25"/>
        <v>1400</v>
      </c>
      <c r="L159" s="175">
        <f t="shared" si="26"/>
        <v>62019.99999999999</v>
      </c>
      <c r="M159" s="213"/>
    </row>
    <row r="160" spans="1:13" s="162" customFormat="1" ht="30" customHeight="1">
      <c r="A160" s="216" t="s">
        <v>619</v>
      </c>
      <c r="B160" s="216" t="s">
        <v>620</v>
      </c>
      <c r="C160" s="214" t="s">
        <v>621</v>
      </c>
      <c r="D160" s="215">
        <v>0.5</v>
      </c>
      <c r="E160" s="175">
        <v>201300</v>
      </c>
      <c r="F160" s="175">
        <f t="shared" si="24"/>
        <v>100650</v>
      </c>
      <c r="G160" s="175">
        <v>2406500</v>
      </c>
      <c r="H160" s="175">
        <f t="shared" si="23"/>
        <v>1203250</v>
      </c>
      <c r="I160" s="175"/>
      <c r="J160" s="175"/>
      <c r="K160" s="175">
        <f t="shared" si="25"/>
        <v>2607800</v>
      </c>
      <c r="L160" s="175">
        <f t="shared" si="26"/>
        <v>1303900</v>
      </c>
      <c r="M160" s="213"/>
    </row>
    <row r="161" spans="1:13" s="162" customFormat="1" ht="30" customHeight="1">
      <c r="A161" s="216" t="s">
        <v>622</v>
      </c>
      <c r="B161" s="213" t="s">
        <v>623</v>
      </c>
      <c r="C161" s="217" t="s">
        <v>624</v>
      </c>
      <c r="D161" s="215">
        <v>4</v>
      </c>
      <c r="E161" s="175">
        <v>1700</v>
      </c>
      <c r="F161" s="175">
        <f t="shared" si="24"/>
        <v>6800</v>
      </c>
      <c r="G161" s="175">
        <v>9500</v>
      </c>
      <c r="H161" s="175">
        <f t="shared" si="23"/>
        <v>38000</v>
      </c>
      <c r="I161" s="175"/>
      <c r="J161" s="175"/>
      <c r="K161" s="175">
        <f t="shared" si="25"/>
        <v>11200</v>
      </c>
      <c r="L161" s="175">
        <f t="shared" si="26"/>
        <v>44800</v>
      </c>
      <c r="M161" s="213"/>
    </row>
    <row r="162" spans="1:13" s="162" customFormat="1" ht="30" customHeight="1">
      <c r="A162" s="216" t="s">
        <v>625</v>
      </c>
      <c r="B162" s="213" t="s">
        <v>623</v>
      </c>
      <c r="C162" s="217" t="s">
        <v>624</v>
      </c>
      <c r="D162" s="215">
        <v>4</v>
      </c>
      <c r="E162" s="175">
        <v>1900</v>
      </c>
      <c r="F162" s="175">
        <f t="shared" si="24"/>
        <v>7600</v>
      </c>
      <c r="G162" s="175">
        <v>7100</v>
      </c>
      <c r="H162" s="175">
        <f t="shared" si="23"/>
        <v>28400</v>
      </c>
      <c r="I162" s="175"/>
      <c r="J162" s="175"/>
      <c r="K162" s="175">
        <f t="shared" si="25"/>
        <v>9000</v>
      </c>
      <c r="L162" s="175">
        <f t="shared" si="26"/>
        <v>36000</v>
      </c>
      <c r="M162" s="213"/>
    </row>
    <row r="163" spans="1:13" s="162" customFormat="1" ht="30" customHeight="1">
      <c r="A163" s="216" t="s">
        <v>16</v>
      </c>
      <c r="B163" s="216" t="s">
        <v>580</v>
      </c>
      <c r="C163" s="217" t="s">
        <v>165</v>
      </c>
      <c r="D163" s="215">
        <v>18</v>
      </c>
      <c r="E163" s="175"/>
      <c r="F163" s="175">
        <f t="shared" si="24"/>
        <v>0</v>
      </c>
      <c r="G163" s="175">
        <v>226200</v>
      </c>
      <c r="H163" s="175">
        <f t="shared" si="23"/>
        <v>4071600</v>
      </c>
      <c r="I163" s="175"/>
      <c r="J163" s="175"/>
      <c r="K163" s="175">
        <f t="shared" si="25"/>
        <v>226200</v>
      </c>
      <c r="L163" s="175">
        <f t="shared" si="26"/>
        <v>4071600</v>
      </c>
      <c r="M163" s="213"/>
    </row>
    <row r="164" spans="1:13" s="162" customFormat="1" ht="30" customHeight="1">
      <c r="A164" s="216" t="s">
        <v>16</v>
      </c>
      <c r="B164" s="216" t="s">
        <v>519</v>
      </c>
      <c r="C164" s="217" t="s">
        <v>165</v>
      </c>
      <c r="D164" s="215">
        <v>12</v>
      </c>
      <c r="E164" s="175"/>
      <c r="F164" s="175">
        <f t="shared" si="24"/>
        <v>0</v>
      </c>
      <c r="G164" s="175">
        <v>159400</v>
      </c>
      <c r="H164" s="175">
        <f t="shared" si="23"/>
        <v>1912800</v>
      </c>
      <c r="I164" s="175"/>
      <c r="J164" s="175"/>
      <c r="K164" s="175">
        <f t="shared" si="25"/>
        <v>159400</v>
      </c>
      <c r="L164" s="175">
        <f t="shared" si="26"/>
        <v>1912800</v>
      </c>
      <c r="M164" s="213"/>
    </row>
    <row r="165" spans="1:13" s="162" customFormat="1" ht="30" customHeight="1">
      <c r="A165" s="216" t="s">
        <v>520</v>
      </c>
      <c r="B165" s="216" t="s">
        <v>581</v>
      </c>
      <c r="C165" s="217" t="s">
        <v>55</v>
      </c>
      <c r="D165" s="215">
        <v>1</v>
      </c>
      <c r="E165" s="175">
        <f>TRUNC(SUM(H117:H164)*0.03,0)</f>
        <v>219493</v>
      </c>
      <c r="F165" s="175">
        <f t="shared" si="24"/>
        <v>219493</v>
      </c>
      <c r="G165" s="175"/>
      <c r="H165" s="175">
        <f t="shared" si="23"/>
        <v>0</v>
      </c>
      <c r="I165" s="175"/>
      <c r="J165" s="175"/>
      <c r="K165" s="175">
        <f t="shared" si="25"/>
        <v>219493</v>
      </c>
      <c r="L165" s="175">
        <f t="shared" si="26"/>
        <v>219493</v>
      </c>
      <c r="M165" s="213"/>
    </row>
    <row r="166" spans="1:13" ht="30" customHeight="1">
      <c r="A166" s="200"/>
      <c r="B166" s="200"/>
      <c r="C166" s="201"/>
      <c r="D166" s="202"/>
      <c r="E166" s="203"/>
      <c r="F166" s="203"/>
      <c r="G166" s="203"/>
      <c r="H166" s="203"/>
      <c r="I166" s="203"/>
      <c r="J166" s="203"/>
      <c r="K166" s="203"/>
      <c r="L166" s="203"/>
      <c r="M166" s="200"/>
    </row>
    <row r="167" spans="1:13" ht="30" customHeight="1">
      <c r="A167" s="200"/>
      <c r="B167" s="200"/>
      <c r="C167" s="201"/>
      <c r="D167" s="202"/>
      <c r="E167" s="203"/>
      <c r="F167" s="203"/>
      <c r="G167" s="203"/>
      <c r="H167" s="203"/>
      <c r="I167" s="203"/>
      <c r="J167" s="203"/>
      <c r="K167" s="203"/>
      <c r="L167" s="203"/>
      <c r="M167" s="200"/>
    </row>
    <row r="168" spans="1:13" ht="30" customHeight="1">
      <c r="A168" s="200"/>
      <c r="B168" s="200"/>
      <c r="C168" s="201"/>
      <c r="D168" s="202"/>
      <c r="E168" s="203"/>
      <c r="F168" s="203"/>
      <c r="G168" s="203"/>
      <c r="H168" s="203"/>
      <c r="I168" s="203"/>
      <c r="J168" s="203"/>
      <c r="K168" s="203"/>
      <c r="L168" s="203"/>
      <c r="M168" s="200"/>
    </row>
    <row r="169" spans="1:13" ht="30" customHeight="1">
      <c r="A169" s="200"/>
      <c r="B169" s="200"/>
      <c r="C169" s="201"/>
      <c r="D169" s="202"/>
      <c r="E169" s="203"/>
      <c r="F169" s="203"/>
      <c r="G169" s="203"/>
      <c r="H169" s="203"/>
      <c r="I169" s="203"/>
      <c r="J169" s="203"/>
      <c r="K169" s="203"/>
      <c r="L169" s="203"/>
      <c r="M169" s="200"/>
    </row>
    <row r="170" spans="1:13" ht="30" customHeight="1">
      <c r="A170" s="200"/>
      <c r="B170" s="200"/>
      <c r="C170" s="201"/>
      <c r="D170" s="202"/>
      <c r="E170" s="203"/>
      <c r="F170" s="203"/>
      <c r="G170" s="203"/>
      <c r="H170" s="203"/>
      <c r="I170" s="203"/>
      <c r="J170" s="203"/>
      <c r="K170" s="203"/>
      <c r="L170" s="203"/>
      <c r="M170" s="200"/>
    </row>
    <row r="171" spans="1:13" ht="30" customHeight="1">
      <c r="A171" s="200"/>
      <c r="B171" s="200"/>
      <c r="C171" s="201"/>
      <c r="D171" s="202"/>
      <c r="E171" s="203"/>
      <c r="F171" s="203"/>
      <c r="G171" s="203"/>
      <c r="H171" s="203"/>
      <c r="I171" s="203"/>
      <c r="J171" s="203"/>
      <c r="K171" s="203"/>
      <c r="L171" s="203"/>
      <c r="M171" s="200"/>
    </row>
    <row r="172" spans="1:13" ht="30" customHeight="1">
      <c r="A172" s="200"/>
      <c r="B172" s="200"/>
      <c r="C172" s="201"/>
      <c r="D172" s="202"/>
      <c r="E172" s="203"/>
      <c r="F172" s="203"/>
      <c r="G172" s="203"/>
      <c r="H172" s="203"/>
      <c r="I172" s="203"/>
      <c r="J172" s="203"/>
      <c r="K172" s="203"/>
      <c r="L172" s="203"/>
      <c r="M172" s="200"/>
    </row>
    <row r="173" spans="1:13" ht="30" customHeight="1">
      <c r="A173" s="200"/>
      <c r="B173" s="200"/>
      <c r="C173" s="201"/>
      <c r="D173" s="202"/>
      <c r="E173" s="203"/>
      <c r="F173" s="203"/>
      <c r="G173" s="203"/>
      <c r="H173" s="203"/>
      <c r="I173" s="203"/>
      <c r="J173" s="203"/>
      <c r="K173" s="203"/>
      <c r="L173" s="203"/>
      <c r="M173" s="200"/>
    </row>
    <row r="174" spans="1:13" ht="30" customHeight="1">
      <c r="A174" s="200"/>
      <c r="B174" s="200"/>
      <c r="C174" s="201"/>
      <c r="D174" s="202"/>
      <c r="E174" s="203"/>
      <c r="F174" s="203"/>
      <c r="G174" s="203"/>
      <c r="H174" s="203"/>
      <c r="I174" s="203"/>
      <c r="J174" s="203"/>
      <c r="K174" s="203"/>
      <c r="L174" s="203"/>
      <c r="M174" s="200"/>
    </row>
    <row r="175" spans="1:13" ht="30" customHeight="1">
      <c r="A175" s="200"/>
      <c r="B175" s="200"/>
      <c r="C175" s="201"/>
      <c r="D175" s="202"/>
      <c r="E175" s="203"/>
      <c r="F175" s="203"/>
      <c r="G175" s="203"/>
      <c r="H175" s="203"/>
      <c r="I175" s="203"/>
      <c r="J175" s="203"/>
      <c r="K175" s="203"/>
      <c r="L175" s="203"/>
      <c r="M175" s="200"/>
    </row>
    <row r="176" spans="1:13" ht="30" customHeight="1">
      <c r="A176" s="200"/>
      <c r="B176" s="200"/>
      <c r="C176" s="201"/>
      <c r="D176" s="202"/>
      <c r="E176" s="203"/>
      <c r="F176" s="203"/>
      <c r="G176" s="203"/>
      <c r="H176" s="203"/>
      <c r="I176" s="203"/>
      <c r="J176" s="203"/>
      <c r="K176" s="203"/>
      <c r="L176" s="203"/>
      <c r="M176" s="200"/>
    </row>
    <row r="177" spans="1:13" ht="30" customHeight="1">
      <c r="A177" s="200"/>
      <c r="B177" s="200"/>
      <c r="C177" s="201"/>
      <c r="D177" s="202"/>
      <c r="E177" s="203"/>
      <c r="F177" s="203"/>
      <c r="G177" s="203"/>
      <c r="H177" s="203"/>
      <c r="I177" s="203"/>
      <c r="J177" s="203"/>
      <c r="K177" s="203"/>
      <c r="L177" s="203"/>
      <c r="M177" s="200"/>
    </row>
    <row r="178" spans="1:13" ht="30" customHeight="1">
      <c r="A178" s="200"/>
      <c r="B178" s="200"/>
      <c r="C178" s="201"/>
      <c r="D178" s="202"/>
      <c r="E178" s="203"/>
      <c r="F178" s="203"/>
      <c r="G178" s="203"/>
      <c r="H178" s="203"/>
      <c r="I178" s="203"/>
      <c r="J178" s="203"/>
      <c r="K178" s="203"/>
      <c r="L178" s="203"/>
      <c r="M178" s="200"/>
    </row>
    <row r="179" spans="1:13" ht="30" customHeight="1">
      <c r="A179" s="200"/>
      <c r="B179" s="200"/>
      <c r="C179" s="201"/>
      <c r="D179" s="202"/>
      <c r="E179" s="203"/>
      <c r="F179" s="203"/>
      <c r="G179" s="203"/>
      <c r="H179" s="203"/>
      <c r="I179" s="203"/>
      <c r="J179" s="203"/>
      <c r="K179" s="203"/>
      <c r="L179" s="203"/>
      <c r="M179" s="200"/>
    </row>
    <row r="180" spans="1:13" ht="30" customHeight="1">
      <c r="A180" s="200"/>
      <c r="B180" s="200"/>
      <c r="C180" s="201"/>
      <c r="D180" s="202"/>
      <c r="E180" s="203"/>
      <c r="F180" s="203"/>
      <c r="G180" s="203"/>
      <c r="H180" s="203"/>
      <c r="I180" s="203"/>
      <c r="J180" s="203"/>
      <c r="K180" s="203"/>
      <c r="L180" s="203"/>
      <c r="M180" s="200"/>
    </row>
    <row r="181" spans="1:13" ht="30" customHeight="1">
      <c r="A181" s="199" t="s">
        <v>522</v>
      </c>
      <c r="B181" s="200"/>
      <c r="C181" s="201"/>
      <c r="D181" s="202"/>
      <c r="E181" s="203"/>
      <c r="F181" s="203">
        <f>SUM(F117:F180)</f>
        <v>6438546</v>
      </c>
      <c r="G181" s="203"/>
      <c r="H181" s="203">
        <f>SUM(H117:H180)</f>
        <v>7316450</v>
      </c>
      <c r="I181" s="203"/>
      <c r="J181" s="203"/>
      <c r="K181" s="203"/>
      <c r="L181" s="203">
        <f>SUM(L117:L180)</f>
        <v>13754996</v>
      </c>
      <c r="M181" s="200"/>
    </row>
    <row r="182" spans="1:13" ht="30" customHeight="1">
      <c r="A182" s="193" t="s">
        <v>626</v>
      </c>
      <c r="B182" s="194"/>
      <c r="C182" s="195"/>
      <c r="D182" s="195"/>
      <c r="E182" s="196"/>
      <c r="F182" s="196"/>
      <c r="G182" s="196"/>
      <c r="H182" s="196"/>
      <c r="I182" s="196"/>
      <c r="J182" s="196"/>
      <c r="K182" s="196"/>
      <c r="L182" s="196"/>
      <c r="M182" s="197"/>
    </row>
    <row r="183" spans="1:13" ht="30" customHeight="1">
      <c r="A183" s="199" t="s">
        <v>627</v>
      </c>
      <c r="B183" s="200" t="s">
        <v>628</v>
      </c>
      <c r="C183" s="204" t="s">
        <v>55</v>
      </c>
      <c r="D183" s="202">
        <v>1</v>
      </c>
      <c r="E183" s="175">
        <v>749300</v>
      </c>
      <c r="F183" s="175">
        <f>D183*E183</f>
        <v>749300</v>
      </c>
      <c r="G183" s="203">
        <v>582800</v>
      </c>
      <c r="H183" s="203">
        <f>D183*G183</f>
        <v>582800</v>
      </c>
      <c r="I183" s="203"/>
      <c r="J183" s="203"/>
      <c r="K183" s="175">
        <f>E183+G183+I183</f>
        <v>1332100</v>
      </c>
      <c r="L183" s="175">
        <f>F183+H183+J183</f>
        <v>1332100</v>
      </c>
      <c r="M183" s="199"/>
    </row>
    <row r="184" spans="1:13" ht="30" customHeight="1">
      <c r="A184" s="200"/>
      <c r="B184" s="200"/>
      <c r="C184" s="201"/>
      <c r="D184" s="202"/>
      <c r="E184" s="203"/>
      <c r="F184" s="203"/>
      <c r="G184" s="203"/>
      <c r="H184" s="203"/>
      <c r="I184" s="203"/>
      <c r="J184" s="203"/>
      <c r="K184" s="203"/>
      <c r="L184" s="203"/>
      <c r="M184" s="200"/>
    </row>
    <row r="185" spans="1:13" ht="30" customHeight="1">
      <c r="A185" s="200"/>
      <c r="B185" s="200"/>
      <c r="C185" s="201"/>
      <c r="D185" s="202"/>
      <c r="E185" s="203"/>
      <c r="F185" s="203"/>
      <c r="G185" s="203"/>
      <c r="H185" s="203"/>
      <c r="I185" s="203"/>
      <c r="J185" s="203"/>
      <c r="K185" s="203"/>
      <c r="L185" s="203"/>
      <c r="M185" s="200"/>
    </row>
    <row r="186" spans="1:13" ht="30" customHeight="1">
      <c r="A186" s="200"/>
      <c r="B186" s="200"/>
      <c r="C186" s="201"/>
      <c r="D186" s="202"/>
      <c r="E186" s="203"/>
      <c r="F186" s="203"/>
      <c r="G186" s="203"/>
      <c r="H186" s="203"/>
      <c r="I186" s="203"/>
      <c r="J186" s="203"/>
      <c r="K186" s="203"/>
      <c r="L186" s="203"/>
      <c r="M186" s="200"/>
    </row>
    <row r="187" spans="1:13" ht="30" customHeight="1">
      <c r="A187" s="200"/>
      <c r="B187" s="200"/>
      <c r="C187" s="201"/>
      <c r="D187" s="202"/>
      <c r="E187" s="203"/>
      <c r="F187" s="203"/>
      <c r="G187" s="203"/>
      <c r="H187" s="203"/>
      <c r="I187" s="203"/>
      <c r="J187" s="203"/>
      <c r="K187" s="203"/>
      <c r="L187" s="203"/>
      <c r="M187" s="200"/>
    </row>
    <row r="188" spans="1:13" ht="30" customHeight="1">
      <c r="A188" s="200"/>
      <c r="B188" s="200"/>
      <c r="C188" s="201"/>
      <c r="D188" s="202"/>
      <c r="E188" s="203"/>
      <c r="F188" s="203"/>
      <c r="G188" s="203"/>
      <c r="H188" s="203"/>
      <c r="I188" s="203"/>
      <c r="J188" s="203"/>
      <c r="K188" s="203"/>
      <c r="L188" s="203"/>
      <c r="M188" s="200"/>
    </row>
    <row r="189" spans="1:13" ht="30" customHeight="1">
      <c r="A189" s="200"/>
      <c r="B189" s="200"/>
      <c r="C189" s="201"/>
      <c r="D189" s="202"/>
      <c r="E189" s="203"/>
      <c r="F189" s="203"/>
      <c r="G189" s="203"/>
      <c r="H189" s="203"/>
      <c r="I189" s="203"/>
      <c r="J189" s="203"/>
      <c r="K189" s="203"/>
      <c r="L189" s="203"/>
      <c r="M189" s="200"/>
    </row>
    <row r="190" spans="1:13" ht="30" customHeight="1">
      <c r="A190" s="200"/>
      <c r="B190" s="200"/>
      <c r="C190" s="201"/>
      <c r="D190" s="202"/>
      <c r="E190" s="203"/>
      <c r="F190" s="203"/>
      <c r="G190" s="203"/>
      <c r="H190" s="203"/>
      <c r="I190" s="203"/>
      <c r="J190" s="203"/>
      <c r="K190" s="203"/>
      <c r="L190" s="203"/>
      <c r="M190" s="200"/>
    </row>
    <row r="191" spans="1:13" ht="30" customHeight="1">
      <c r="A191" s="200"/>
      <c r="B191" s="200"/>
      <c r="C191" s="201"/>
      <c r="D191" s="202"/>
      <c r="E191" s="203"/>
      <c r="F191" s="203"/>
      <c r="G191" s="203"/>
      <c r="H191" s="203"/>
      <c r="I191" s="203"/>
      <c r="J191" s="203"/>
      <c r="K191" s="203"/>
      <c r="L191" s="203"/>
      <c r="M191" s="200"/>
    </row>
    <row r="192" spans="1:13" ht="30" customHeight="1">
      <c r="A192" s="200"/>
      <c r="B192" s="200"/>
      <c r="C192" s="201"/>
      <c r="D192" s="202"/>
      <c r="E192" s="203"/>
      <c r="F192" s="203"/>
      <c r="G192" s="203"/>
      <c r="H192" s="203"/>
      <c r="I192" s="203"/>
      <c r="J192" s="203"/>
      <c r="K192" s="203"/>
      <c r="L192" s="203"/>
      <c r="M192" s="200"/>
    </row>
    <row r="193" spans="1:13" ht="30" customHeight="1">
      <c r="A193" s="200"/>
      <c r="B193" s="200"/>
      <c r="C193" s="201"/>
      <c r="D193" s="202"/>
      <c r="E193" s="203"/>
      <c r="F193" s="203"/>
      <c r="G193" s="203"/>
      <c r="H193" s="203"/>
      <c r="I193" s="203"/>
      <c r="J193" s="203"/>
      <c r="K193" s="203"/>
      <c r="L193" s="203"/>
      <c r="M193" s="200"/>
    </row>
    <row r="194" spans="1:13" ht="30" customHeight="1">
      <c r="A194" s="200"/>
      <c r="B194" s="200"/>
      <c r="C194" s="201"/>
      <c r="D194" s="202"/>
      <c r="E194" s="203"/>
      <c r="F194" s="203"/>
      <c r="G194" s="203"/>
      <c r="H194" s="203"/>
      <c r="I194" s="203"/>
      <c r="J194" s="203"/>
      <c r="K194" s="203"/>
      <c r="L194" s="203"/>
      <c r="M194" s="200"/>
    </row>
    <row r="195" spans="1:13" ht="30" customHeight="1">
      <c r="A195" s="200"/>
      <c r="B195" s="200"/>
      <c r="C195" s="201"/>
      <c r="D195" s="202"/>
      <c r="E195" s="203"/>
      <c r="F195" s="203"/>
      <c r="G195" s="203"/>
      <c r="H195" s="203"/>
      <c r="I195" s="203"/>
      <c r="J195" s="203"/>
      <c r="K195" s="203"/>
      <c r="L195" s="203"/>
      <c r="M195" s="200"/>
    </row>
    <row r="196" spans="1:13" ht="30" customHeight="1">
      <c r="A196" s="200"/>
      <c r="B196" s="200"/>
      <c r="C196" s="201"/>
      <c r="D196" s="202"/>
      <c r="E196" s="203"/>
      <c r="F196" s="203"/>
      <c r="G196" s="203"/>
      <c r="H196" s="203"/>
      <c r="I196" s="203"/>
      <c r="J196" s="203"/>
      <c r="K196" s="203"/>
      <c r="L196" s="203"/>
      <c r="M196" s="200"/>
    </row>
    <row r="197" spans="1:13" ht="30" customHeight="1">
      <c r="A197" s="200"/>
      <c r="B197" s="200"/>
      <c r="C197" s="201"/>
      <c r="D197" s="202"/>
      <c r="E197" s="203"/>
      <c r="F197" s="203"/>
      <c r="G197" s="203"/>
      <c r="H197" s="203"/>
      <c r="I197" s="203"/>
      <c r="J197" s="203"/>
      <c r="K197" s="203"/>
      <c r="L197" s="203"/>
      <c r="M197" s="200"/>
    </row>
    <row r="198" spans="1:13" ht="30" customHeight="1">
      <c r="A198" s="200"/>
      <c r="B198" s="200"/>
      <c r="C198" s="201"/>
      <c r="D198" s="202"/>
      <c r="E198" s="203"/>
      <c r="F198" s="203"/>
      <c r="G198" s="203"/>
      <c r="H198" s="203"/>
      <c r="I198" s="203"/>
      <c r="J198" s="203"/>
      <c r="K198" s="203"/>
      <c r="L198" s="203"/>
      <c r="M198" s="200"/>
    </row>
    <row r="199" spans="1:13" ht="30" customHeight="1">
      <c r="A199" s="200"/>
      <c r="B199" s="200"/>
      <c r="C199" s="201"/>
      <c r="D199" s="202"/>
      <c r="E199" s="203"/>
      <c r="F199" s="203"/>
      <c r="G199" s="203"/>
      <c r="H199" s="203"/>
      <c r="I199" s="203"/>
      <c r="J199" s="203"/>
      <c r="K199" s="203"/>
      <c r="L199" s="203"/>
      <c r="M199" s="200"/>
    </row>
    <row r="200" spans="1:13" ht="30" customHeight="1">
      <c r="A200" s="200"/>
      <c r="B200" s="200"/>
      <c r="C200" s="201"/>
      <c r="D200" s="202"/>
      <c r="E200" s="203"/>
      <c r="F200" s="203"/>
      <c r="G200" s="203"/>
      <c r="H200" s="203"/>
      <c r="I200" s="203"/>
      <c r="J200" s="203"/>
      <c r="K200" s="203"/>
      <c r="L200" s="203"/>
      <c r="M200" s="200"/>
    </row>
    <row r="201" spans="1:13" ht="30" customHeight="1">
      <c r="A201" s="200"/>
      <c r="B201" s="200"/>
      <c r="C201" s="201"/>
      <c r="D201" s="202"/>
      <c r="E201" s="203"/>
      <c r="F201" s="203"/>
      <c r="G201" s="203"/>
      <c r="H201" s="203"/>
      <c r="I201" s="203"/>
      <c r="J201" s="203"/>
      <c r="K201" s="203"/>
      <c r="L201" s="203"/>
      <c r="M201" s="200"/>
    </row>
    <row r="202" spans="1:13" ht="30" customHeight="1">
      <c r="A202" s="200"/>
      <c r="B202" s="200"/>
      <c r="C202" s="201"/>
      <c r="D202" s="202"/>
      <c r="E202" s="203"/>
      <c r="F202" s="203"/>
      <c r="G202" s="203"/>
      <c r="H202" s="203"/>
      <c r="I202" s="203"/>
      <c r="J202" s="203"/>
      <c r="K202" s="203"/>
      <c r="L202" s="203"/>
      <c r="M202" s="200"/>
    </row>
    <row r="203" spans="1:13" ht="30" customHeight="1">
      <c r="A203" s="199" t="s">
        <v>522</v>
      </c>
      <c r="B203" s="200"/>
      <c r="C203" s="201"/>
      <c r="D203" s="202"/>
      <c r="E203" s="203"/>
      <c r="F203" s="203">
        <f>SUM(F183:F202)</f>
        <v>749300</v>
      </c>
      <c r="G203" s="203"/>
      <c r="H203" s="203">
        <f>SUM(H183:H202)</f>
        <v>582800</v>
      </c>
      <c r="I203" s="203"/>
      <c r="J203" s="203"/>
      <c r="K203" s="203"/>
      <c r="L203" s="203">
        <f>SUM(L183:L202)</f>
        <v>1332100</v>
      </c>
      <c r="M203" s="200"/>
    </row>
    <row r="204" spans="1:13" ht="30" customHeight="1">
      <c r="A204" s="193" t="s">
        <v>629</v>
      </c>
      <c r="B204" s="194"/>
      <c r="C204" s="195"/>
      <c r="D204" s="195"/>
      <c r="E204" s="196"/>
      <c r="F204" s="196"/>
      <c r="G204" s="196"/>
      <c r="H204" s="196"/>
      <c r="I204" s="196"/>
      <c r="J204" s="196"/>
      <c r="K204" s="196"/>
      <c r="L204" s="196"/>
      <c r="M204" s="197"/>
    </row>
    <row r="205" spans="1:13" s="162" customFormat="1" ht="30" customHeight="1">
      <c r="A205" s="213" t="s">
        <v>630</v>
      </c>
      <c r="B205" s="213" t="s">
        <v>540</v>
      </c>
      <c r="C205" s="214" t="s">
        <v>124</v>
      </c>
      <c r="D205" s="215">
        <v>12</v>
      </c>
      <c r="E205" s="175">
        <v>2300</v>
      </c>
      <c r="F205" s="175">
        <f t="shared" ref="F205:F221" si="27">D205*E205</f>
        <v>27600</v>
      </c>
      <c r="G205" s="175"/>
      <c r="H205" s="175">
        <f t="shared" ref="H205:H221" si="28">D205*G205</f>
        <v>0</v>
      </c>
      <c r="I205" s="175"/>
      <c r="J205" s="175"/>
      <c r="K205" s="175">
        <f t="shared" ref="K205:K221" si="29">E205+G205+I205</f>
        <v>2300</v>
      </c>
      <c r="L205" s="175">
        <f t="shared" ref="L205:L221" si="30">F205+H205+J205</f>
        <v>27600</v>
      </c>
      <c r="M205" s="216"/>
    </row>
    <row r="206" spans="1:13" s="162" customFormat="1" ht="30" customHeight="1">
      <c r="A206" s="213" t="s">
        <v>631</v>
      </c>
      <c r="B206" s="213" t="s">
        <v>562</v>
      </c>
      <c r="C206" s="214" t="s">
        <v>124</v>
      </c>
      <c r="D206" s="215">
        <v>280</v>
      </c>
      <c r="E206" s="175">
        <v>600</v>
      </c>
      <c r="F206" s="175">
        <f t="shared" si="27"/>
        <v>168000</v>
      </c>
      <c r="G206" s="175"/>
      <c r="H206" s="175">
        <f t="shared" si="28"/>
        <v>0</v>
      </c>
      <c r="I206" s="175"/>
      <c r="J206" s="175"/>
      <c r="K206" s="175">
        <f t="shared" si="29"/>
        <v>600</v>
      </c>
      <c r="L206" s="175">
        <f t="shared" si="30"/>
        <v>168000</v>
      </c>
      <c r="M206" s="216"/>
    </row>
    <row r="207" spans="1:13" s="162" customFormat="1" ht="30" customHeight="1">
      <c r="A207" s="216" t="s">
        <v>543</v>
      </c>
      <c r="B207" s="216" t="s">
        <v>544</v>
      </c>
      <c r="C207" s="217" t="s">
        <v>55</v>
      </c>
      <c r="D207" s="215">
        <v>1</v>
      </c>
      <c r="E207" s="175">
        <f>TRUNC(SUM(F205:F206)*0.03,0)</f>
        <v>5868</v>
      </c>
      <c r="F207" s="175">
        <f t="shared" si="27"/>
        <v>5868</v>
      </c>
      <c r="G207" s="175"/>
      <c r="H207" s="175">
        <f t="shared" si="28"/>
        <v>0</v>
      </c>
      <c r="I207" s="175"/>
      <c r="J207" s="175"/>
      <c r="K207" s="175">
        <f t="shared" si="29"/>
        <v>5868</v>
      </c>
      <c r="L207" s="175">
        <f t="shared" si="30"/>
        <v>5868</v>
      </c>
      <c r="M207" s="213"/>
    </row>
    <row r="208" spans="1:13" s="162" customFormat="1" ht="30" customHeight="1">
      <c r="A208" s="216" t="s">
        <v>545</v>
      </c>
      <c r="B208" s="213" t="s">
        <v>632</v>
      </c>
      <c r="C208" s="214" t="s">
        <v>547</v>
      </c>
      <c r="D208" s="215">
        <v>12</v>
      </c>
      <c r="E208" s="175">
        <v>400</v>
      </c>
      <c r="F208" s="175">
        <f t="shared" si="27"/>
        <v>4800</v>
      </c>
      <c r="G208" s="175">
        <v>900</v>
      </c>
      <c r="H208" s="175">
        <f t="shared" si="28"/>
        <v>10800</v>
      </c>
      <c r="I208" s="175"/>
      <c r="J208" s="175"/>
      <c r="K208" s="175">
        <f t="shared" si="29"/>
        <v>1300</v>
      </c>
      <c r="L208" s="175">
        <f t="shared" si="30"/>
        <v>15600</v>
      </c>
      <c r="M208" s="213"/>
    </row>
    <row r="209" spans="1:13" s="162" customFormat="1" ht="30" customHeight="1">
      <c r="A209" s="216" t="s">
        <v>545</v>
      </c>
      <c r="B209" s="213" t="s">
        <v>633</v>
      </c>
      <c r="C209" s="214" t="s">
        <v>547</v>
      </c>
      <c r="D209" s="215">
        <v>10</v>
      </c>
      <c r="E209" s="175">
        <v>700</v>
      </c>
      <c r="F209" s="175">
        <f t="shared" si="27"/>
        <v>7000</v>
      </c>
      <c r="G209" s="175">
        <v>900</v>
      </c>
      <c r="H209" s="175">
        <f t="shared" si="28"/>
        <v>9000</v>
      </c>
      <c r="I209" s="175"/>
      <c r="J209" s="175"/>
      <c r="K209" s="175">
        <f t="shared" si="29"/>
        <v>1600</v>
      </c>
      <c r="L209" s="175">
        <f t="shared" si="30"/>
        <v>16000</v>
      </c>
      <c r="M209" s="216"/>
    </row>
    <row r="210" spans="1:13" s="162" customFormat="1" ht="30" customHeight="1">
      <c r="A210" s="213" t="s">
        <v>634</v>
      </c>
      <c r="B210" s="213" t="s">
        <v>540</v>
      </c>
      <c r="C210" s="214" t="s">
        <v>77</v>
      </c>
      <c r="D210" s="215">
        <v>6</v>
      </c>
      <c r="E210" s="175">
        <v>3700</v>
      </c>
      <c r="F210" s="175">
        <f t="shared" si="27"/>
        <v>22200</v>
      </c>
      <c r="G210" s="175"/>
      <c r="H210" s="175">
        <f t="shared" si="28"/>
        <v>0</v>
      </c>
      <c r="I210" s="175"/>
      <c r="J210" s="175"/>
      <c r="K210" s="175">
        <f t="shared" si="29"/>
        <v>3700</v>
      </c>
      <c r="L210" s="175">
        <f t="shared" si="30"/>
        <v>22200</v>
      </c>
      <c r="M210" s="216"/>
    </row>
    <row r="211" spans="1:13" s="162" customFormat="1" ht="30" customHeight="1">
      <c r="A211" s="213" t="s">
        <v>635</v>
      </c>
      <c r="B211" s="213" t="s">
        <v>540</v>
      </c>
      <c r="C211" s="214" t="s">
        <v>77</v>
      </c>
      <c r="D211" s="215">
        <v>24</v>
      </c>
      <c r="E211" s="175">
        <v>1200</v>
      </c>
      <c r="F211" s="175">
        <f t="shared" si="27"/>
        <v>28800</v>
      </c>
      <c r="G211" s="175"/>
      <c r="H211" s="175">
        <f t="shared" si="28"/>
        <v>0</v>
      </c>
      <c r="I211" s="175"/>
      <c r="J211" s="175"/>
      <c r="K211" s="175">
        <f t="shared" si="29"/>
        <v>1200</v>
      </c>
      <c r="L211" s="175">
        <f t="shared" si="30"/>
        <v>28800</v>
      </c>
      <c r="M211" s="216"/>
    </row>
    <row r="212" spans="1:13" s="162" customFormat="1" ht="30" customHeight="1">
      <c r="A212" s="216" t="s">
        <v>636</v>
      </c>
      <c r="B212" s="213" t="s">
        <v>540</v>
      </c>
      <c r="C212" s="214" t="s">
        <v>77</v>
      </c>
      <c r="D212" s="215">
        <v>12</v>
      </c>
      <c r="E212" s="175">
        <v>1500</v>
      </c>
      <c r="F212" s="175">
        <f t="shared" si="27"/>
        <v>18000</v>
      </c>
      <c r="G212" s="175"/>
      <c r="H212" s="175">
        <f t="shared" si="28"/>
        <v>0</v>
      </c>
      <c r="I212" s="175"/>
      <c r="J212" s="175"/>
      <c r="K212" s="175">
        <f t="shared" si="29"/>
        <v>1500</v>
      </c>
      <c r="L212" s="175">
        <f t="shared" si="30"/>
        <v>18000</v>
      </c>
      <c r="M212" s="216"/>
    </row>
    <row r="213" spans="1:13" s="162" customFormat="1" ht="30" customHeight="1">
      <c r="A213" s="216" t="s">
        <v>561</v>
      </c>
      <c r="B213" s="213" t="s">
        <v>540</v>
      </c>
      <c r="C213" s="214" t="s">
        <v>77</v>
      </c>
      <c r="D213" s="215">
        <v>4</v>
      </c>
      <c r="E213" s="175">
        <v>9600</v>
      </c>
      <c r="F213" s="175">
        <f t="shared" si="27"/>
        <v>38400</v>
      </c>
      <c r="G213" s="175"/>
      <c r="H213" s="175">
        <f t="shared" si="28"/>
        <v>0</v>
      </c>
      <c r="I213" s="175"/>
      <c r="J213" s="175"/>
      <c r="K213" s="175">
        <f t="shared" si="29"/>
        <v>9600</v>
      </c>
      <c r="L213" s="175">
        <f t="shared" si="30"/>
        <v>38400</v>
      </c>
      <c r="M213" s="216"/>
    </row>
    <row r="214" spans="1:13" s="162" customFormat="1" ht="30" customHeight="1">
      <c r="A214" s="216" t="s">
        <v>637</v>
      </c>
      <c r="B214" s="213" t="s">
        <v>638</v>
      </c>
      <c r="C214" s="214" t="s">
        <v>77</v>
      </c>
      <c r="D214" s="215">
        <v>1</v>
      </c>
      <c r="E214" s="175">
        <v>108200</v>
      </c>
      <c r="F214" s="175">
        <f t="shared" si="27"/>
        <v>108200</v>
      </c>
      <c r="G214" s="175">
        <v>41600</v>
      </c>
      <c r="H214" s="175">
        <f t="shared" si="28"/>
        <v>41600</v>
      </c>
      <c r="I214" s="175"/>
      <c r="J214" s="175"/>
      <c r="K214" s="175">
        <f t="shared" si="29"/>
        <v>149800</v>
      </c>
      <c r="L214" s="175">
        <f t="shared" si="30"/>
        <v>149800</v>
      </c>
      <c r="M214" s="216"/>
    </row>
    <row r="215" spans="1:13" s="162" customFormat="1" ht="30" customHeight="1">
      <c r="A215" s="216" t="s">
        <v>637</v>
      </c>
      <c r="B215" s="213" t="s">
        <v>639</v>
      </c>
      <c r="C215" s="214" t="s">
        <v>77</v>
      </c>
      <c r="D215" s="215">
        <v>1</v>
      </c>
      <c r="E215" s="175">
        <v>91600</v>
      </c>
      <c r="F215" s="175">
        <f t="shared" si="27"/>
        <v>91600</v>
      </c>
      <c r="G215" s="175">
        <v>37500</v>
      </c>
      <c r="H215" s="175">
        <f t="shared" si="28"/>
        <v>37500</v>
      </c>
      <c r="I215" s="175"/>
      <c r="J215" s="175"/>
      <c r="K215" s="175">
        <f t="shared" si="29"/>
        <v>129100</v>
      </c>
      <c r="L215" s="175">
        <f t="shared" si="30"/>
        <v>129100</v>
      </c>
      <c r="M215" s="216"/>
    </row>
    <row r="216" spans="1:13" s="162" customFormat="1" ht="30" customHeight="1">
      <c r="A216" s="216" t="s">
        <v>637</v>
      </c>
      <c r="B216" s="213" t="s">
        <v>638</v>
      </c>
      <c r="C216" s="214" t="s">
        <v>77</v>
      </c>
      <c r="D216" s="215">
        <v>1</v>
      </c>
      <c r="E216" s="175">
        <v>108200</v>
      </c>
      <c r="F216" s="175">
        <f t="shared" si="27"/>
        <v>108200</v>
      </c>
      <c r="G216" s="175">
        <v>41600</v>
      </c>
      <c r="H216" s="175">
        <f t="shared" si="28"/>
        <v>41600</v>
      </c>
      <c r="I216" s="175"/>
      <c r="J216" s="175"/>
      <c r="K216" s="175">
        <f t="shared" si="29"/>
        <v>149800</v>
      </c>
      <c r="L216" s="175">
        <f t="shared" si="30"/>
        <v>149800</v>
      </c>
      <c r="M216" s="216"/>
    </row>
    <row r="217" spans="1:13" s="162" customFormat="1" ht="30" customHeight="1">
      <c r="A217" s="216" t="s">
        <v>570</v>
      </c>
      <c r="B217" s="213" t="s">
        <v>593</v>
      </c>
      <c r="C217" s="214" t="s">
        <v>77</v>
      </c>
      <c r="D217" s="215">
        <v>4</v>
      </c>
      <c r="E217" s="175">
        <v>4600</v>
      </c>
      <c r="F217" s="175">
        <f t="shared" si="27"/>
        <v>18400</v>
      </c>
      <c r="G217" s="175"/>
      <c r="H217" s="175">
        <f t="shared" si="28"/>
        <v>0</v>
      </c>
      <c r="I217" s="175"/>
      <c r="J217" s="175"/>
      <c r="K217" s="175">
        <f t="shared" si="29"/>
        <v>4600</v>
      </c>
      <c r="L217" s="175">
        <f t="shared" si="30"/>
        <v>18400</v>
      </c>
      <c r="M217" s="216"/>
    </row>
    <row r="218" spans="1:13" s="162" customFormat="1" ht="30" customHeight="1">
      <c r="A218" s="213" t="s">
        <v>640</v>
      </c>
      <c r="B218" s="213"/>
      <c r="C218" s="214" t="s">
        <v>77</v>
      </c>
      <c r="D218" s="215">
        <v>1200</v>
      </c>
      <c r="E218" s="175">
        <v>100</v>
      </c>
      <c r="F218" s="175">
        <f t="shared" si="27"/>
        <v>120000</v>
      </c>
      <c r="G218" s="175"/>
      <c r="H218" s="175">
        <f t="shared" si="28"/>
        <v>0</v>
      </c>
      <c r="I218" s="175"/>
      <c r="J218" s="175"/>
      <c r="K218" s="175">
        <f t="shared" si="29"/>
        <v>100</v>
      </c>
      <c r="L218" s="175">
        <f t="shared" si="30"/>
        <v>120000</v>
      </c>
      <c r="M218" s="216"/>
    </row>
    <row r="219" spans="1:13" s="162" customFormat="1" ht="30" customHeight="1">
      <c r="A219" s="216" t="s">
        <v>16</v>
      </c>
      <c r="B219" s="216" t="s">
        <v>580</v>
      </c>
      <c r="C219" s="217" t="s">
        <v>165</v>
      </c>
      <c r="D219" s="215">
        <v>8</v>
      </c>
      <c r="E219" s="175"/>
      <c r="F219" s="175">
        <f t="shared" si="27"/>
        <v>0</v>
      </c>
      <c r="G219" s="175">
        <v>226200</v>
      </c>
      <c r="H219" s="175">
        <f t="shared" si="28"/>
        <v>1809600</v>
      </c>
      <c r="I219" s="175"/>
      <c r="J219" s="175"/>
      <c r="K219" s="175">
        <f t="shared" si="29"/>
        <v>226200</v>
      </c>
      <c r="L219" s="175">
        <f t="shared" si="30"/>
        <v>1809600</v>
      </c>
      <c r="M219" s="213"/>
    </row>
    <row r="220" spans="1:13" s="162" customFormat="1" ht="30" customHeight="1">
      <c r="A220" s="216" t="s">
        <v>16</v>
      </c>
      <c r="B220" s="216" t="s">
        <v>519</v>
      </c>
      <c r="C220" s="217" t="s">
        <v>165</v>
      </c>
      <c r="D220" s="215">
        <v>6</v>
      </c>
      <c r="E220" s="175"/>
      <c r="F220" s="175">
        <f t="shared" si="27"/>
        <v>0</v>
      </c>
      <c r="G220" s="175">
        <v>159400</v>
      </c>
      <c r="H220" s="175">
        <f t="shared" si="28"/>
        <v>956400</v>
      </c>
      <c r="I220" s="175"/>
      <c r="J220" s="175"/>
      <c r="K220" s="175">
        <f t="shared" si="29"/>
        <v>159400</v>
      </c>
      <c r="L220" s="175">
        <f t="shared" si="30"/>
        <v>956400</v>
      </c>
      <c r="M220" s="213"/>
    </row>
    <row r="221" spans="1:13" s="162" customFormat="1" ht="30" customHeight="1">
      <c r="A221" s="216" t="s">
        <v>520</v>
      </c>
      <c r="B221" s="216" t="s">
        <v>581</v>
      </c>
      <c r="C221" s="217" t="s">
        <v>55</v>
      </c>
      <c r="D221" s="215">
        <v>1</v>
      </c>
      <c r="E221" s="175">
        <f>TRUNC(SUM(H205:H220)*0.03,0)</f>
        <v>87195</v>
      </c>
      <c r="F221" s="175">
        <f t="shared" si="27"/>
        <v>87195</v>
      </c>
      <c r="G221" s="175"/>
      <c r="H221" s="175">
        <f t="shared" si="28"/>
        <v>0</v>
      </c>
      <c r="I221" s="175"/>
      <c r="J221" s="175"/>
      <c r="K221" s="175">
        <f t="shared" si="29"/>
        <v>87195</v>
      </c>
      <c r="L221" s="175">
        <f t="shared" si="30"/>
        <v>87195</v>
      </c>
      <c r="M221" s="213"/>
    </row>
    <row r="222" spans="1:13" ht="30" customHeight="1">
      <c r="A222" s="200"/>
      <c r="B222" s="200"/>
      <c r="C222" s="201"/>
      <c r="D222" s="202"/>
      <c r="E222" s="203"/>
      <c r="F222" s="203"/>
      <c r="G222" s="203"/>
      <c r="H222" s="203"/>
      <c r="I222" s="203"/>
      <c r="J222" s="203"/>
      <c r="K222" s="203"/>
      <c r="L222" s="203"/>
      <c r="M222" s="200"/>
    </row>
    <row r="223" spans="1:13" ht="30" customHeight="1">
      <c r="A223" s="200"/>
      <c r="B223" s="200"/>
      <c r="C223" s="201"/>
      <c r="D223" s="202"/>
      <c r="E223" s="203"/>
      <c r="F223" s="203"/>
      <c r="G223" s="203"/>
      <c r="H223" s="203"/>
      <c r="I223" s="203"/>
      <c r="J223" s="203"/>
      <c r="K223" s="203"/>
      <c r="L223" s="203"/>
      <c r="M223" s="200"/>
    </row>
    <row r="224" spans="1:13" ht="30" customHeight="1">
      <c r="A224" s="200"/>
      <c r="B224" s="200"/>
      <c r="C224" s="201"/>
      <c r="D224" s="202"/>
      <c r="E224" s="203"/>
      <c r="F224" s="203"/>
      <c r="G224" s="203"/>
      <c r="H224" s="203"/>
      <c r="I224" s="203"/>
      <c r="J224" s="203"/>
      <c r="K224" s="203"/>
      <c r="L224" s="203"/>
      <c r="M224" s="200"/>
    </row>
    <row r="225" spans="1:13" ht="30" customHeight="1">
      <c r="A225" s="207" t="s">
        <v>522</v>
      </c>
      <c r="B225" s="200"/>
      <c r="C225" s="201"/>
      <c r="D225" s="202"/>
      <c r="E225" s="203"/>
      <c r="F225" s="203">
        <f>SUM(F205:F224)</f>
        <v>854263</v>
      </c>
      <c r="G225" s="203"/>
      <c r="H225" s="203">
        <f>SUM(H205:H224)</f>
        <v>2906500</v>
      </c>
      <c r="I225" s="203"/>
      <c r="J225" s="203"/>
      <c r="K225" s="203"/>
      <c r="L225" s="203">
        <f>SUM(L205:L224)</f>
        <v>3760763</v>
      </c>
      <c r="M225" s="200"/>
    </row>
    <row r="226" spans="1:13" ht="30" customHeight="1">
      <c r="A226" s="193" t="s">
        <v>641</v>
      </c>
      <c r="B226" s="197"/>
      <c r="C226" s="226"/>
      <c r="D226" s="227"/>
      <c r="E226" s="196"/>
      <c r="F226" s="196"/>
      <c r="G226" s="196"/>
      <c r="H226" s="196"/>
      <c r="I226" s="196"/>
      <c r="J226" s="196"/>
      <c r="K226" s="196"/>
      <c r="L226" s="196"/>
      <c r="M226" s="197"/>
    </row>
    <row r="227" spans="1:13" ht="30" customHeight="1">
      <c r="A227" s="216" t="s">
        <v>642</v>
      </c>
      <c r="B227" s="213" t="s">
        <v>643</v>
      </c>
      <c r="C227" s="217" t="s">
        <v>461</v>
      </c>
      <c r="D227" s="215">
        <v>1</v>
      </c>
      <c r="E227" s="175">
        <v>1498700</v>
      </c>
      <c r="F227" s="175">
        <f t="shared" ref="F227:F250" si="31">D227*E227</f>
        <v>1498700</v>
      </c>
      <c r="G227" s="175"/>
      <c r="H227" s="175">
        <f t="shared" ref="H227:H250" si="32">D227*G227</f>
        <v>0</v>
      </c>
      <c r="I227" s="175"/>
      <c r="J227" s="175"/>
      <c r="K227" s="175">
        <f t="shared" ref="K227:K250" si="33">E227+G227+I227</f>
        <v>1498700</v>
      </c>
      <c r="L227" s="175">
        <f t="shared" ref="L227:L250" si="34">F227+H227+J227</f>
        <v>1498700</v>
      </c>
      <c r="M227" s="216"/>
    </row>
    <row r="228" spans="1:13" ht="30" customHeight="1">
      <c r="A228" s="216" t="s">
        <v>642</v>
      </c>
      <c r="B228" s="213" t="s">
        <v>644</v>
      </c>
      <c r="C228" s="217" t="s">
        <v>461</v>
      </c>
      <c r="D228" s="215">
        <v>1</v>
      </c>
      <c r="E228" s="175">
        <v>1831700</v>
      </c>
      <c r="F228" s="175">
        <f t="shared" si="31"/>
        <v>1831700</v>
      </c>
      <c r="G228" s="175"/>
      <c r="H228" s="175">
        <f t="shared" si="32"/>
        <v>0</v>
      </c>
      <c r="I228" s="175"/>
      <c r="J228" s="175"/>
      <c r="K228" s="175">
        <f t="shared" si="33"/>
        <v>1831700</v>
      </c>
      <c r="L228" s="175">
        <f t="shared" si="34"/>
        <v>1831700</v>
      </c>
      <c r="M228" s="216"/>
    </row>
    <row r="229" spans="1:13" ht="30" customHeight="1">
      <c r="A229" s="216" t="s">
        <v>645</v>
      </c>
      <c r="B229" s="213" t="s">
        <v>646</v>
      </c>
      <c r="C229" s="217" t="s">
        <v>461</v>
      </c>
      <c r="D229" s="215">
        <v>2</v>
      </c>
      <c r="E229" s="175">
        <v>374700</v>
      </c>
      <c r="F229" s="175">
        <f t="shared" si="31"/>
        <v>749400</v>
      </c>
      <c r="G229" s="175"/>
      <c r="H229" s="175">
        <f t="shared" si="32"/>
        <v>0</v>
      </c>
      <c r="I229" s="175"/>
      <c r="J229" s="175"/>
      <c r="K229" s="175">
        <f t="shared" si="33"/>
        <v>374700</v>
      </c>
      <c r="L229" s="175">
        <f t="shared" si="34"/>
        <v>749400</v>
      </c>
      <c r="M229" s="216"/>
    </row>
    <row r="230" spans="1:13" ht="30" customHeight="1">
      <c r="A230" s="216" t="s">
        <v>645</v>
      </c>
      <c r="B230" s="213" t="s">
        <v>647</v>
      </c>
      <c r="C230" s="217" t="s">
        <v>461</v>
      </c>
      <c r="D230" s="215">
        <v>4</v>
      </c>
      <c r="E230" s="175">
        <v>433000</v>
      </c>
      <c r="F230" s="175">
        <f t="shared" si="31"/>
        <v>1732000</v>
      </c>
      <c r="G230" s="175"/>
      <c r="H230" s="175">
        <f t="shared" si="32"/>
        <v>0</v>
      </c>
      <c r="I230" s="175"/>
      <c r="J230" s="175"/>
      <c r="K230" s="175">
        <f t="shared" si="33"/>
        <v>433000</v>
      </c>
      <c r="L230" s="175">
        <f t="shared" si="34"/>
        <v>1732000</v>
      </c>
      <c r="M230" s="216"/>
    </row>
    <row r="231" spans="1:13" ht="30" customHeight="1">
      <c r="A231" s="216" t="s">
        <v>645</v>
      </c>
      <c r="B231" s="213" t="s">
        <v>648</v>
      </c>
      <c r="C231" s="217" t="s">
        <v>461</v>
      </c>
      <c r="D231" s="215">
        <v>1</v>
      </c>
      <c r="E231" s="175">
        <v>499600</v>
      </c>
      <c r="F231" s="175">
        <f t="shared" si="31"/>
        <v>499600</v>
      </c>
      <c r="G231" s="175"/>
      <c r="H231" s="175">
        <f t="shared" si="32"/>
        <v>0</v>
      </c>
      <c r="I231" s="175"/>
      <c r="J231" s="175"/>
      <c r="K231" s="175">
        <f t="shared" si="33"/>
        <v>499600</v>
      </c>
      <c r="L231" s="175">
        <f t="shared" si="34"/>
        <v>499600</v>
      </c>
      <c r="M231" s="216"/>
    </row>
    <row r="232" spans="1:13" ht="30" customHeight="1">
      <c r="A232" s="216" t="s">
        <v>649</v>
      </c>
      <c r="B232" s="213" t="s">
        <v>650</v>
      </c>
      <c r="C232" s="217" t="s">
        <v>461</v>
      </c>
      <c r="D232" s="215">
        <v>7</v>
      </c>
      <c r="E232" s="175">
        <v>55900</v>
      </c>
      <c r="F232" s="175">
        <f t="shared" si="31"/>
        <v>391300</v>
      </c>
      <c r="G232" s="175"/>
      <c r="H232" s="175">
        <f t="shared" si="32"/>
        <v>0</v>
      </c>
      <c r="I232" s="175"/>
      <c r="J232" s="175"/>
      <c r="K232" s="175">
        <f t="shared" si="33"/>
        <v>55900</v>
      </c>
      <c r="L232" s="175">
        <f t="shared" si="34"/>
        <v>391300</v>
      </c>
      <c r="M232" s="213"/>
    </row>
    <row r="233" spans="1:13" ht="30" customHeight="1">
      <c r="A233" s="216" t="s">
        <v>651</v>
      </c>
      <c r="B233" s="213"/>
      <c r="C233" s="217" t="s">
        <v>461</v>
      </c>
      <c r="D233" s="215">
        <v>7</v>
      </c>
      <c r="E233" s="175">
        <v>12500</v>
      </c>
      <c r="F233" s="175">
        <f t="shared" si="31"/>
        <v>87500</v>
      </c>
      <c r="G233" s="175"/>
      <c r="H233" s="175">
        <f t="shared" si="32"/>
        <v>0</v>
      </c>
      <c r="I233" s="175"/>
      <c r="J233" s="175"/>
      <c r="K233" s="175">
        <f t="shared" si="33"/>
        <v>12500</v>
      </c>
      <c r="L233" s="175">
        <f t="shared" si="34"/>
        <v>87500</v>
      </c>
      <c r="M233" s="216"/>
    </row>
    <row r="234" spans="1:13" ht="30" customHeight="1">
      <c r="A234" s="216" t="s">
        <v>652</v>
      </c>
      <c r="B234" s="216" t="s">
        <v>653</v>
      </c>
      <c r="C234" s="217" t="s">
        <v>461</v>
      </c>
      <c r="D234" s="215">
        <v>5</v>
      </c>
      <c r="E234" s="175">
        <v>37600</v>
      </c>
      <c r="F234" s="175">
        <f t="shared" si="31"/>
        <v>188000</v>
      </c>
      <c r="G234" s="175"/>
      <c r="H234" s="175">
        <f t="shared" si="32"/>
        <v>0</v>
      </c>
      <c r="I234" s="175"/>
      <c r="J234" s="175"/>
      <c r="K234" s="175">
        <f t="shared" si="33"/>
        <v>37600</v>
      </c>
      <c r="L234" s="175">
        <f t="shared" si="34"/>
        <v>188000</v>
      </c>
      <c r="M234" s="213"/>
    </row>
    <row r="235" spans="1:13" ht="30" customHeight="1">
      <c r="A235" s="216" t="s">
        <v>654</v>
      </c>
      <c r="B235" s="216" t="s">
        <v>655</v>
      </c>
      <c r="C235" s="214" t="s">
        <v>77</v>
      </c>
      <c r="D235" s="215">
        <v>2</v>
      </c>
      <c r="E235" s="175">
        <v>151100</v>
      </c>
      <c r="F235" s="175">
        <f t="shared" si="31"/>
        <v>302200</v>
      </c>
      <c r="G235" s="175"/>
      <c r="H235" s="175">
        <f t="shared" si="32"/>
        <v>0</v>
      </c>
      <c r="I235" s="175"/>
      <c r="J235" s="175"/>
      <c r="K235" s="175">
        <f t="shared" si="33"/>
        <v>151100</v>
      </c>
      <c r="L235" s="175">
        <f t="shared" si="34"/>
        <v>302200</v>
      </c>
      <c r="M235" s="213"/>
    </row>
    <row r="236" spans="1:13" ht="30" customHeight="1">
      <c r="A236" s="216" t="s">
        <v>656</v>
      </c>
      <c r="B236" s="213"/>
      <c r="C236" s="217" t="s">
        <v>55</v>
      </c>
      <c r="D236" s="215">
        <v>7</v>
      </c>
      <c r="E236" s="175"/>
      <c r="F236" s="175">
        <f t="shared" si="31"/>
        <v>0</v>
      </c>
      <c r="G236" s="175">
        <v>149900</v>
      </c>
      <c r="H236" s="175">
        <f t="shared" si="32"/>
        <v>1049300</v>
      </c>
      <c r="I236" s="175"/>
      <c r="J236" s="175"/>
      <c r="K236" s="175">
        <f t="shared" si="33"/>
        <v>149900</v>
      </c>
      <c r="L236" s="175">
        <f t="shared" si="34"/>
        <v>1049300</v>
      </c>
      <c r="M236" s="216"/>
    </row>
    <row r="237" spans="1:13" ht="30" customHeight="1">
      <c r="A237" s="216" t="s">
        <v>657</v>
      </c>
      <c r="B237" s="213"/>
      <c r="C237" s="217" t="s">
        <v>55</v>
      </c>
      <c r="D237" s="215">
        <v>7</v>
      </c>
      <c r="E237" s="175">
        <v>116600</v>
      </c>
      <c r="F237" s="175">
        <f t="shared" si="31"/>
        <v>816200</v>
      </c>
      <c r="G237" s="175">
        <v>99900</v>
      </c>
      <c r="H237" s="175">
        <f t="shared" si="32"/>
        <v>699300</v>
      </c>
      <c r="I237" s="175"/>
      <c r="J237" s="175"/>
      <c r="K237" s="175">
        <f t="shared" si="33"/>
        <v>216500</v>
      </c>
      <c r="L237" s="175">
        <f t="shared" si="34"/>
        <v>1515500</v>
      </c>
      <c r="M237" s="216"/>
    </row>
    <row r="238" spans="1:13" ht="30" customHeight="1">
      <c r="A238" s="216" t="s">
        <v>658</v>
      </c>
      <c r="B238" s="213"/>
      <c r="C238" s="217" t="s">
        <v>55</v>
      </c>
      <c r="D238" s="215">
        <v>7</v>
      </c>
      <c r="E238" s="175">
        <v>29100</v>
      </c>
      <c r="F238" s="175">
        <f t="shared" si="31"/>
        <v>203700</v>
      </c>
      <c r="G238" s="175">
        <v>33300</v>
      </c>
      <c r="H238" s="175">
        <f t="shared" si="32"/>
        <v>233100</v>
      </c>
      <c r="I238" s="175"/>
      <c r="J238" s="175"/>
      <c r="K238" s="175">
        <f t="shared" si="33"/>
        <v>62400</v>
      </c>
      <c r="L238" s="175">
        <f t="shared" si="34"/>
        <v>436800</v>
      </c>
      <c r="M238" s="216"/>
    </row>
    <row r="239" spans="1:13" ht="30" customHeight="1">
      <c r="A239" s="216" t="s">
        <v>659</v>
      </c>
      <c r="B239" s="213"/>
      <c r="C239" s="217" t="s">
        <v>55</v>
      </c>
      <c r="D239" s="215">
        <v>7</v>
      </c>
      <c r="E239" s="175">
        <v>20800</v>
      </c>
      <c r="F239" s="175">
        <f t="shared" si="31"/>
        <v>145600</v>
      </c>
      <c r="G239" s="175">
        <v>29100</v>
      </c>
      <c r="H239" s="175">
        <f t="shared" si="32"/>
        <v>203700</v>
      </c>
      <c r="I239" s="175"/>
      <c r="J239" s="175"/>
      <c r="K239" s="175">
        <f t="shared" si="33"/>
        <v>49900</v>
      </c>
      <c r="L239" s="175">
        <f t="shared" si="34"/>
        <v>349300</v>
      </c>
      <c r="M239" s="216"/>
    </row>
    <row r="240" spans="1:13" ht="30" customHeight="1">
      <c r="A240" s="216" t="s">
        <v>660</v>
      </c>
      <c r="B240" s="213"/>
      <c r="C240" s="217" t="s">
        <v>55</v>
      </c>
      <c r="D240" s="215">
        <v>2</v>
      </c>
      <c r="E240" s="175">
        <v>50000</v>
      </c>
      <c r="F240" s="175">
        <f t="shared" si="31"/>
        <v>100000</v>
      </c>
      <c r="G240" s="175">
        <v>124900</v>
      </c>
      <c r="H240" s="175">
        <f t="shared" si="32"/>
        <v>249800</v>
      </c>
      <c r="I240" s="175"/>
      <c r="J240" s="175"/>
      <c r="K240" s="175">
        <f t="shared" si="33"/>
        <v>174900</v>
      </c>
      <c r="L240" s="175">
        <f t="shared" si="34"/>
        <v>349800</v>
      </c>
      <c r="M240" s="216"/>
    </row>
    <row r="241" spans="1:13" ht="30" customHeight="1">
      <c r="A241" s="216" t="s">
        <v>661</v>
      </c>
      <c r="B241" s="213"/>
      <c r="C241" s="217" t="s">
        <v>55</v>
      </c>
      <c r="D241" s="215">
        <v>1</v>
      </c>
      <c r="E241" s="175">
        <v>208200</v>
      </c>
      <c r="F241" s="175">
        <f t="shared" si="31"/>
        <v>208200</v>
      </c>
      <c r="G241" s="175">
        <v>83300</v>
      </c>
      <c r="H241" s="175">
        <f t="shared" si="32"/>
        <v>83300</v>
      </c>
      <c r="I241" s="175"/>
      <c r="J241" s="175"/>
      <c r="K241" s="175">
        <f t="shared" si="33"/>
        <v>291500</v>
      </c>
      <c r="L241" s="175">
        <f t="shared" si="34"/>
        <v>291500</v>
      </c>
      <c r="M241" s="216"/>
    </row>
    <row r="242" spans="1:13" ht="30" customHeight="1">
      <c r="A242" s="216" t="s">
        <v>662</v>
      </c>
      <c r="B242" s="213"/>
      <c r="C242" s="217" t="s">
        <v>55</v>
      </c>
      <c r="D242" s="215">
        <v>1</v>
      </c>
      <c r="E242" s="175"/>
      <c r="F242" s="175">
        <f t="shared" si="31"/>
        <v>0</v>
      </c>
      <c r="G242" s="175"/>
      <c r="H242" s="175">
        <f t="shared" si="32"/>
        <v>0</v>
      </c>
      <c r="I242" s="175">
        <v>595300</v>
      </c>
      <c r="J242" s="175">
        <f>I242*D242</f>
        <v>595300</v>
      </c>
      <c r="K242" s="175">
        <f t="shared" si="33"/>
        <v>595300</v>
      </c>
      <c r="L242" s="175">
        <f t="shared" si="34"/>
        <v>595300</v>
      </c>
      <c r="M242" s="216"/>
    </row>
    <row r="243" spans="1:13" ht="30" customHeight="1">
      <c r="A243" s="216" t="s">
        <v>663</v>
      </c>
      <c r="B243" s="213"/>
      <c r="C243" s="217" t="s">
        <v>55</v>
      </c>
      <c r="D243" s="215">
        <v>1</v>
      </c>
      <c r="E243" s="175">
        <v>83300</v>
      </c>
      <c r="F243" s="175">
        <f t="shared" si="31"/>
        <v>83300</v>
      </c>
      <c r="G243" s="175"/>
      <c r="H243" s="175">
        <f t="shared" si="32"/>
        <v>0</v>
      </c>
      <c r="I243" s="175"/>
      <c r="J243" s="175"/>
      <c r="K243" s="175">
        <f t="shared" si="33"/>
        <v>83300</v>
      </c>
      <c r="L243" s="175">
        <f t="shared" si="34"/>
        <v>83300</v>
      </c>
      <c r="M243" s="216"/>
    </row>
    <row r="244" spans="1:13" ht="30" customHeight="1">
      <c r="A244" s="216" t="s">
        <v>543</v>
      </c>
      <c r="B244" s="213"/>
      <c r="C244" s="217" t="s">
        <v>55</v>
      </c>
      <c r="D244" s="215">
        <v>1</v>
      </c>
      <c r="E244" s="175">
        <f>TRUNC(SUM(F227:F243)*0.03,0)</f>
        <v>265122</v>
      </c>
      <c r="F244" s="175">
        <f t="shared" si="31"/>
        <v>265122</v>
      </c>
      <c r="G244" s="175"/>
      <c r="H244" s="175">
        <f t="shared" si="32"/>
        <v>0</v>
      </c>
      <c r="I244" s="175"/>
      <c r="J244" s="175"/>
      <c r="K244" s="175">
        <f t="shared" si="33"/>
        <v>265122</v>
      </c>
      <c r="L244" s="175">
        <f t="shared" si="34"/>
        <v>265122</v>
      </c>
      <c r="M244" s="213"/>
    </row>
    <row r="245" spans="1:13" ht="30" customHeight="1">
      <c r="A245" s="216" t="s">
        <v>664</v>
      </c>
      <c r="B245" s="213" t="s">
        <v>665</v>
      </c>
      <c r="C245" s="217" t="s">
        <v>461</v>
      </c>
      <c r="D245" s="215">
        <v>2</v>
      </c>
      <c r="E245" s="175">
        <v>541200</v>
      </c>
      <c r="F245" s="175">
        <f t="shared" si="31"/>
        <v>1082400</v>
      </c>
      <c r="G245" s="175"/>
      <c r="H245" s="175">
        <f t="shared" si="32"/>
        <v>0</v>
      </c>
      <c r="I245" s="175"/>
      <c r="J245" s="175"/>
      <c r="K245" s="175">
        <f t="shared" si="33"/>
        <v>541200</v>
      </c>
      <c r="L245" s="175">
        <f t="shared" si="34"/>
        <v>1082400</v>
      </c>
      <c r="M245" s="216"/>
    </row>
    <row r="246" spans="1:13" ht="30" customHeight="1">
      <c r="A246" s="216" t="s">
        <v>666</v>
      </c>
      <c r="B246" s="213"/>
      <c r="C246" s="217" t="s">
        <v>461</v>
      </c>
      <c r="D246" s="215">
        <v>2</v>
      </c>
      <c r="E246" s="175"/>
      <c r="F246" s="175">
        <f t="shared" si="31"/>
        <v>0</v>
      </c>
      <c r="G246" s="175">
        <v>124900</v>
      </c>
      <c r="H246" s="175">
        <f t="shared" si="32"/>
        <v>249800</v>
      </c>
      <c r="I246" s="175"/>
      <c r="J246" s="175"/>
      <c r="K246" s="175">
        <f t="shared" si="33"/>
        <v>124900</v>
      </c>
      <c r="L246" s="175">
        <f t="shared" si="34"/>
        <v>249800</v>
      </c>
      <c r="M246" s="216"/>
    </row>
    <row r="247" spans="1:13" ht="30" customHeight="1">
      <c r="A247" s="216" t="s">
        <v>667</v>
      </c>
      <c r="B247" s="216" t="s">
        <v>668</v>
      </c>
      <c r="C247" s="217" t="s">
        <v>55</v>
      </c>
      <c r="D247" s="215">
        <v>2</v>
      </c>
      <c r="E247" s="175">
        <v>208200</v>
      </c>
      <c r="F247" s="175">
        <f t="shared" si="31"/>
        <v>416400</v>
      </c>
      <c r="G247" s="175">
        <v>149900</v>
      </c>
      <c r="H247" s="175">
        <f t="shared" si="32"/>
        <v>299800</v>
      </c>
      <c r="I247" s="175"/>
      <c r="J247" s="175"/>
      <c r="K247" s="175">
        <f t="shared" si="33"/>
        <v>358100</v>
      </c>
      <c r="L247" s="175">
        <f t="shared" si="34"/>
        <v>716200</v>
      </c>
      <c r="M247" s="216"/>
    </row>
    <row r="248" spans="1:13" ht="30" customHeight="1">
      <c r="A248" s="216" t="s">
        <v>669</v>
      </c>
      <c r="B248" s="213" t="s">
        <v>670</v>
      </c>
      <c r="C248" s="214" t="s">
        <v>77</v>
      </c>
      <c r="D248" s="215">
        <v>4</v>
      </c>
      <c r="E248" s="175">
        <v>13300</v>
      </c>
      <c r="F248" s="175">
        <f t="shared" si="31"/>
        <v>53200</v>
      </c>
      <c r="G248" s="175"/>
      <c r="H248" s="175">
        <f t="shared" si="32"/>
        <v>0</v>
      </c>
      <c r="I248" s="175"/>
      <c r="J248" s="175"/>
      <c r="K248" s="175">
        <f t="shared" si="33"/>
        <v>13300</v>
      </c>
      <c r="L248" s="175">
        <f t="shared" si="34"/>
        <v>53200</v>
      </c>
      <c r="M248" s="216"/>
    </row>
    <row r="249" spans="1:13" ht="30" customHeight="1">
      <c r="A249" s="216" t="s">
        <v>663</v>
      </c>
      <c r="B249" s="213"/>
      <c r="C249" s="217" t="s">
        <v>55</v>
      </c>
      <c r="D249" s="215">
        <v>1</v>
      </c>
      <c r="E249" s="175">
        <v>50000</v>
      </c>
      <c r="F249" s="175">
        <f t="shared" si="31"/>
        <v>50000</v>
      </c>
      <c r="G249" s="175"/>
      <c r="H249" s="175">
        <f t="shared" si="32"/>
        <v>0</v>
      </c>
      <c r="I249" s="175"/>
      <c r="J249" s="175"/>
      <c r="K249" s="175">
        <f t="shared" si="33"/>
        <v>50000</v>
      </c>
      <c r="L249" s="175">
        <f t="shared" si="34"/>
        <v>50000</v>
      </c>
      <c r="M249" s="216"/>
    </row>
    <row r="250" spans="1:13" ht="30" customHeight="1">
      <c r="A250" s="216" t="s">
        <v>543</v>
      </c>
      <c r="B250" s="213"/>
      <c r="C250" s="217" t="s">
        <v>55</v>
      </c>
      <c r="D250" s="215">
        <v>1</v>
      </c>
      <c r="E250" s="175">
        <f>TRUNC(SUM(F245:F249)*0.03,0)</f>
        <v>48060</v>
      </c>
      <c r="F250" s="175">
        <f t="shared" si="31"/>
        <v>48060</v>
      </c>
      <c r="G250" s="175"/>
      <c r="H250" s="175">
        <f t="shared" si="32"/>
        <v>0</v>
      </c>
      <c r="I250" s="175"/>
      <c r="J250" s="175"/>
      <c r="K250" s="175">
        <f t="shared" si="33"/>
        <v>48060</v>
      </c>
      <c r="L250" s="175">
        <f t="shared" si="34"/>
        <v>48060</v>
      </c>
      <c r="M250" s="213"/>
    </row>
    <row r="251" spans="1:13" ht="30" customHeight="1">
      <c r="A251" s="207"/>
      <c r="B251" s="200"/>
      <c r="C251" s="201"/>
      <c r="D251" s="202"/>
      <c r="E251" s="203"/>
      <c r="F251" s="203"/>
      <c r="G251" s="203"/>
      <c r="H251" s="203"/>
      <c r="I251" s="203"/>
      <c r="J251" s="203"/>
      <c r="K251" s="203"/>
      <c r="L251" s="203"/>
      <c r="M251" s="200"/>
    </row>
    <row r="252" spans="1:13" ht="30" customHeight="1">
      <c r="A252" s="207"/>
      <c r="B252" s="200"/>
      <c r="C252" s="201"/>
      <c r="D252" s="202"/>
      <c r="E252" s="203"/>
      <c r="F252" s="203"/>
      <c r="G252" s="203"/>
      <c r="H252" s="203"/>
      <c r="I252" s="203"/>
      <c r="J252" s="203"/>
      <c r="K252" s="203"/>
      <c r="L252" s="203"/>
      <c r="M252" s="200"/>
    </row>
    <row r="253" spans="1:13" ht="30" customHeight="1">
      <c r="A253" s="207"/>
      <c r="B253" s="200"/>
      <c r="C253" s="201"/>
      <c r="D253" s="202"/>
      <c r="E253" s="203"/>
      <c r="F253" s="203"/>
      <c r="G253" s="203"/>
      <c r="H253" s="203"/>
      <c r="I253" s="203"/>
      <c r="J253" s="203"/>
      <c r="K253" s="203"/>
      <c r="L253" s="203"/>
      <c r="M253" s="200"/>
    </row>
    <row r="254" spans="1:13" ht="30" customHeight="1">
      <c r="A254" s="207"/>
      <c r="B254" s="200"/>
      <c r="C254" s="201"/>
      <c r="D254" s="202"/>
      <c r="E254" s="203"/>
      <c r="F254" s="203"/>
      <c r="G254" s="203"/>
      <c r="H254" s="203"/>
      <c r="I254" s="203"/>
      <c r="J254" s="203"/>
      <c r="K254" s="203"/>
      <c r="L254" s="203"/>
      <c r="M254" s="200"/>
    </row>
    <row r="255" spans="1:13" ht="30" customHeight="1">
      <c r="A255" s="207"/>
      <c r="B255" s="200"/>
      <c r="C255" s="201"/>
      <c r="D255" s="202"/>
      <c r="E255" s="203"/>
      <c r="F255" s="203"/>
      <c r="G255" s="203"/>
      <c r="H255" s="203"/>
      <c r="I255" s="203"/>
      <c r="J255" s="203"/>
      <c r="K255" s="203"/>
      <c r="L255" s="203"/>
      <c r="M255" s="200"/>
    </row>
    <row r="256" spans="1:13" ht="30" customHeight="1">
      <c r="A256" s="207"/>
      <c r="B256" s="200"/>
      <c r="C256" s="201"/>
      <c r="D256" s="202"/>
      <c r="E256" s="203"/>
      <c r="F256" s="203"/>
      <c r="G256" s="203"/>
      <c r="H256" s="203"/>
      <c r="I256" s="203"/>
      <c r="J256" s="203"/>
      <c r="K256" s="203"/>
      <c r="L256" s="203"/>
      <c r="M256" s="200"/>
    </row>
    <row r="257" spans="1:13" ht="30" customHeight="1">
      <c r="A257" s="207"/>
      <c r="B257" s="200"/>
      <c r="C257" s="201"/>
      <c r="D257" s="202"/>
      <c r="E257" s="203"/>
      <c r="F257" s="203"/>
      <c r="G257" s="203"/>
      <c r="H257" s="203"/>
      <c r="I257" s="203"/>
      <c r="J257" s="203"/>
      <c r="K257" s="203"/>
      <c r="L257" s="203"/>
      <c r="M257" s="200"/>
    </row>
    <row r="258" spans="1:13" ht="30" customHeight="1">
      <c r="A258" s="207"/>
      <c r="B258" s="200"/>
      <c r="C258" s="201"/>
      <c r="D258" s="202"/>
      <c r="E258" s="203"/>
      <c r="F258" s="203"/>
      <c r="G258" s="203"/>
      <c r="H258" s="203"/>
      <c r="I258" s="203"/>
      <c r="J258" s="203"/>
      <c r="K258" s="203"/>
      <c r="L258" s="203"/>
      <c r="M258" s="200"/>
    </row>
    <row r="259" spans="1:13" ht="30" customHeight="1">
      <c r="A259" s="207"/>
      <c r="B259" s="200"/>
      <c r="C259" s="201"/>
      <c r="D259" s="202"/>
      <c r="E259" s="203"/>
      <c r="F259" s="203"/>
      <c r="G259" s="203"/>
      <c r="H259" s="203"/>
      <c r="I259" s="203"/>
      <c r="J259" s="203"/>
      <c r="K259" s="203"/>
      <c r="L259" s="203"/>
      <c r="M259" s="200"/>
    </row>
    <row r="260" spans="1:13" ht="30" customHeight="1">
      <c r="A260" s="207"/>
      <c r="B260" s="200"/>
      <c r="C260" s="201"/>
      <c r="D260" s="202"/>
      <c r="E260" s="203"/>
      <c r="F260" s="203"/>
      <c r="G260" s="203"/>
      <c r="H260" s="203"/>
      <c r="I260" s="203"/>
      <c r="J260" s="203"/>
      <c r="K260" s="203"/>
      <c r="L260" s="203"/>
      <c r="M260" s="200"/>
    </row>
    <row r="261" spans="1:13" ht="30" customHeight="1">
      <c r="A261" s="207"/>
      <c r="B261" s="200"/>
      <c r="C261" s="201"/>
      <c r="D261" s="202"/>
      <c r="E261" s="203"/>
      <c r="F261" s="203"/>
      <c r="G261" s="203"/>
      <c r="H261" s="203"/>
      <c r="I261" s="203"/>
      <c r="J261" s="203"/>
      <c r="K261" s="203"/>
      <c r="L261" s="203"/>
      <c r="M261" s="200"/>
    </row>
    <row r="262" spans="1:13" ht="30" customHeight="1">
      <c r="A262" s="207"/>
      <c r="B262" s="200"/>
      <c r="C262" s="201"/>
      <c r="D262" s="202"/>
      <c r="E262" s="203"/>
      <c r="F262" s="203"/>
      <c r="G262" s="203"/>
      <c r="H262" s="203"/>
      <c r="I262" s="203"/>
      <c r="J262" s="203"/>
      <c r="K262" s="203"/>
      <c r="L262" s="203"/>
      <c r="M262" s="200"/>
    </row>
    <row r="263" spans="1:13" ht="30" customHeight="1">
      <c r="A263" s="207"/>
      <c r="B263" s="200"/>
      <c r="C263" s="201"/>
      <c r="D263" s="202"/>
      <c r="E263" s="203"/>
      <c r="F263" s="203"/>
      <c r="G263" s="203"/>
      <c r="H263" s="203"/>
      <c r="I263" s="203"/>
      <c r="J263" s="203"/>
      <c r="K263" s="203"/>
      <c r="L263" s="203"/>
      <c r="M263" s="200"/>
    </row>
    <row r="264" spans="1:13" ht="30" customHeight="1">
      <c r="A264" s="207"/>
      <c r="B264" s="200"/>
      <c r="C264" s="201"/>
      <c r="D264" s="202"/>
      <c r="E264" s="203"/>
      <c r="F264" s="203"/>
      <c r="G264" s="203"/>
      <c r="H264" s="203"/>
      <c r="I264" s="203"/>
      <c r="J264" s="203"/>
      <c r="K264" s="203"/>
      <c r="L264" s="203"/>
      <c r="M264" s="200"/>
    </row>
    <row r="265" spans="1:13" ht="30" customHeight="1">
      <c r="A265" s="207"/>
      <c r="B265" s="200"/>
      <c r="C265" s="201"/>
      <c r="D265" s="202"/>
      <c r="E265" s="203"/>
      <c r="F265" s="203"/>
      <c r="G265" s="203"/>
      <c r="H265" s="203"/>
      <c r="I265" s="203"/>
      <c r="J265" s="203"/>
      <c r="K265" s="203"/>
      <c r="L265" s="203"/>
      <c r="M265" s="200"/>
    </row>
    <row r="266" spans="1:13" ht="30" customHeight="1">
      <c r="A266" s="207"/>
      <c r="B266" s="200"/>
      <c r="C266" s="201"/>
      <c r="D266" s="202"/>
      <c r="E266" s="203"/>
      <c r="F266" s="203"/>
      <c r="G266" s="203"/>
      <c r="H266" s="203"/>
      <c r="I266" s="203"/>
      <c r="J266" s="203"/>
      <c r="K266" s="203"/>
      <c r="L266" s="203"/>
      <c r="M266" s="200"/>
    </row>
    <row r="267" spans="1:13" ht="30" customHeight="1">
      <c r="A267" s="207"/>
      <c r="B267" s="200"/>
      <c r="C267" s="201"/>
      <c r="D267" s="202"/>
      <c r="E267" s="203"/>
      <c r="F267" s="203"/>
      <c r="G267" s="203"/>
      <c r="H267" s="203"/>
      <c r="I267" s="203"/>
      <c r="J267" s="203"/>
      <c r="K267" s="203"/>
      <c r="L267" s="203"/>
      <c r="M267" s="200"/>
    </row>
    <row r="268" spans="1:13" ht="30" customHeight="1">
      <c r="A268" s="207"/>
      <c r="B268" s="200"/>
      <c r="C268" s="201"/>
      <c r="D268" s="202"/>
      <c r="E268" s="203"/>
      <c r="F268" s="203"/>
      <c r="G268" s="203"/>
      <c r="H268" s="203"/>
      <c r="I268" s="203"/>
      <c r="J268" s="203"/>
      <c r="K268" s="203"/>
      <c r="L268" s="203"/>
      <c r="M268" s="200"/>
    </row>
    <row r="269" spans="1:13" ht="30" customHeight="1">
      <c r="A269" s="207" t="s">
        <v>522</v>
      </c>
      <c r="B269" s="200"/>
      <c r="C269" s="201"/>
      <c r="D269" s="202"/>
      <c r="E269" s="203"/>
      <c r="F269" s="203">
        <f>SUM(F227:F268)</f>
        <v>10752582</v>
      </c>
      <c r="G269" s="203"/>
      <c r="H269" s="203">
        <f>SUM(H227:H268)</f>
        <v>3068100</v>
      </c>
      <c r="I269" s="203"/>
      <c r="J269" s="203"/>
      <c r="K269" s="203"/>
      <c r="L269" s="203">
        <f>SUM(L227:L268)</f>
        <v>14415982</v>
      </c>
      <c r="M269" s="200"/>
    </row>
    <row r="270" spans="1:13" ht="30" customHeight="1">
      <c r="A270" s="193" t="s">
        <v>671</v>
      </c>
      <c r="B270" s="194"/>
      <c r="C270" s="195"/>
      <c r="D270" s="195"/>
      <c r="E270" s="196"/>
      <c r="F270" s="196"/>
      <c r="G270" s="196"/>
      <c r="H270" s="196"/>
      <c r="I270" s="196"/>
      <c r="J270" s="196"/>
      <c r="K270" s="196"/>
      <c r="L270" s="196">
        <f>SUM(L166:L225)</f>
        <v>23940722</v>
      </c>
      <c r="M270" s="197"/>
    </row>
    <row r="271" spans="1:13" ht="30" customHeight="1">
      <c r="A271" s="199" t="s">
        <v>672</v>
      </c>
      <c r="B271" s="200" t="s">
        <v>673</v>
      </c>
      <c r="C271" s="201" t="s">
        <v>77</v>
      </c>
      <c r="D271" s="202">
        <v>1</v>
      </c>
      <c r="E271" s="203">
        <v>9991300</v>
      </c>
      <c r="F271" s="203">
        <f t="shared" ref="F271:F279" si="35">D271*E271</f>
        <v>9991300</v>
      </c>
      <c r="G271" s="203"/>
      <c r="H271" s="203">
        <f t="shared" ref="H271:H279" si="36">D271*G271</f>
        <v>0</v>
      </c>
      <c r="I271" s="203"/>
      <c r="J271" s="203"/>
      <c r="K271" s="203">
        <f t="shared" ref="K271:K279" si="37">E271+G271+I271</f>
        <v>9991300</v>
      </c>
      <c r="L271" s="203">
        <f t="shared" ref="L271:L279" si="38">F271+H271+J271</f>
        <v>9991300</v>
      </c>
      <c r="M271" s="199"/>
    </row>
    <row r="272" spans="1:13" ht="30" customHeight="1">
      <c r="A272" s="199" t="s">
        <v>672</v>
      </c>
      <c r="B272" s="200" t="s">
        <v>673</v>
      </c>
      <c r="C272" s="201" t="s">
        <v>77</v>
      </c>
      <c r="D272" s="202">
        <v>1</v>
      </c>
      <c r="E272" s="203">
        <v>9991300</v>
      </c>
      <c r="F272" s="203">
        <f t="shared" si="35"/>
        <v>9991300</v>
      </c>
      <c r="G272" s="203"/>
      <c r="H272" s="203">
        <f t="shared" si="36"/>
        <v>0</v>
      </c>
      <c r="I272" s="203"/>
      <c r="J272" s="203"/>
      <c r="K272" s="203">
        <f t="shared" si="37"/>
        <v>9991300</v>
      </c>
      <c r="L272" s="203">
        <f t="shared" si="38"/>
        <v>9991300</v>
      </c>
      <c r="M272" s="199"/>
    </row>
    <row r="273" spans="1:13" ht="30" customHeight="1">
      <c r="A273" s="199" t="s">
        <v>674</v>
      </c>
      <c r="B273" s="200" t="s">
        <v>675</v>
      </c>
      <c r="C273" s="201" t="s">
        <v>77</v>
      </c>
      <c r="D273" s="202">
        <v>1</v>
      </c>
      <c r="E273" s="203">
        <v>2331300</v>
      </c>
      <c r="F273" s="203">
        <f t="shared" si="35"/>
        <v>2331300</v>
      </c>
      <c r="G273" s="203"/>
      <c r="H273" s="203">
        <f t="shared" si="36"/>
        <v>0</v>
      </c>
      <c r="I273" s="203"/>
      <c r="J273" s="203"/>
      <c r="K273" s="203">
        <f t="shared" si="37"/>
        <v>2331300</v>
      </c>
      <c r="L273" s="203">
        <f t="shared" si="38"/>
        <v>2331300</v>
      </c>
      <c r="M273" s="199"/>
    </row>
    <row r="274" spans="1:13" ht="30" customHeight="1">
      <c r="A274" s="199" t="s">
        <v>676</v>
      </c>
      <c r="B274" s="200"/>
      <c r="C274" s="201" t="s">
        <v>77</v>
      </c>
      <c r="D274" s="202">
        <v>1</v>
      </c>
      <c r="E274" s="203">
        <v>124900</v>
      </c>
      <c r="F274" s="203">
        <f t="shared" si="35"/>
        <v>124900</v>
      </c>
      <c r="G274" s="203"/>
      <c r="H274" s="203">
        <f t="shared" si="36"/>
        <v>0</v>
      </c>
      <c r="I274" s="203"/>
      <c r="J274" s="203"/>
      <c r="K274" s="203">
        <f t="shared" si="37"/>
        <v>124900</v>
      </c>
      <c r="L274" s="203">
        <f t="shared" si="38"/>
        <v>124900</v>
      </c>
      <c r="M274" s="199"/>
    </row>
    <row r="275" spans="1:13" ht="30" customHeight="1">
      <c r="A275" s="199" t="s">
        <v>677</v>
      </c>
      <c r="B275" s="200" t="s">
        <v>678</v>
      </c>
      <c r="C275" s="201" t="s">
        <v>77</v>
      </c>
      <c r="D275" s="202">
        <v>1</v>
      </c>
      <c r="E275" s="203">
        <v>541200</v>
      </c>
      <c r="F275" s="203">
        <f t="shared" si="35"/>
        <v>541200</v>
      </c>
      <c r="G275" s="203"/>
      <c r="H275" s="203">
        <f t="shared" si="36"/>
        <v>0</v>
      </c>
      <c r="I275" s="203"/>
      <c r="J275" s="203"/>
      <c r="K275" s="203">
        <f t="shared" si="37"/>
        <v>541200</v>
      </c>
      <c r="L275" s="203">
        <f t="shared" si="38"/>
        <v>541200</v>
      </c>
      <c r="M275" s="199"/>
    </row>
    <row r="276" spans="1:13" ht="30" customHeight="1">
      <c r="A276" s="199" t="s">
        <v>677</v>
      </c>
      <c r="B276" s="199" t="s">
        <v>679</v>
      </c>
      <c r="C276" s="201" t="s">
        <v>77</v>
      </c>
      <c r="D276" s="202">
        <v>1</v>
      </c>
      <c r="E276" s="203">
        <v>119100</v>
      </c>
      <c r="F276" s="203">
        <f t="shared" si="35"/>
        <v>119100</v>
      </c>
      <c r="G276" s="203"/>
      <c r="H276" s="203">
        <f t="shared" si="36"/>
        <v>0</v>
      </c>
      <c r="I276" s="203"/>
      <c r="J276" s="203"/>
      <c r="K276" s="203">
        <f t="shared" si="37"/>
        <v>119100</v>
      </c>
      <c r="L276" s="203">
        <f t="shared" si="38"/>
        <v>119100</v>
      </c>
      <c r="M276" s="200"/>
    </row>
    <row r="277" spans="1:13" ht="30" customHeight="1">
      <c r="A277" s="208" t="s">
        <v>16</v>
      </c>
      <c r="B277" s="199" t="s">
        <v>518</v>
      </c>
      <c r="C277" s="204" t="s">
        <v>165</v>
      </c>
      <c r="D277" s="228">
        <v>6</v>
      </c>
      <c r="E277" s="203"/>
      <c r="F277" s="203">
        <f t="shared" si="35"/>
        <v>0</v>
      </c>
      <c r="G277" s="203">
        <v>226200</v>
      </c>
      <c r="H277" s="203">
        <f t="shared" si="36"/>
        <v>1357200</v>
      </c>
      <c r="I277" s="203"/>
      <c r="J277" s="203"/>
      <c r="K277" s="203">
        <f t="shared" si="37"/>
        <v>226200</v>
      </c>
      <c r="L277" s="203">
        <f t="shared" si="38"/>
        <v>1357200</v>
      </c>
      <c r="M277" s="200"/>
    </row>
    <row r="278" spans="1:13" ht="30" customHeight="1">
      <c r="A278" s="208" t="s">
        <v>16</v>
      </c>
      <c r="B278" s="199" t="s">
        <v>519</v>
      </c>
      <c r="C278" s="204" t="s">
        <v>165</v>
      </c>
      <c r="D278" s="228">
        <v>6</v>
      </c>
      <c r="E278" s="203"/>
      <c r="F278" s="203">
        <f t="shared" si="35"/>
        <v>0</v>
      </c>
      <c r="G278" s="203">
        <v>159400</v>
      </c>
      <c r="H278" s="203">
        <f t="shared" si="36"/>
        <v>956400</v>
      </c>
      <c r="I278" s="203"/>
      <c r="J278" s="203"/>
      <c r="K278" s="203">
        <f t="shared" si="37"/>
        <v>159400</v>
      </c>
      <c r="L278" s="203">
        <f t="shared" si="38"/>
        <v>956400</v>
      </c>
      <c r="M278" s="200"/>
    </row>
    <row r="279" spans="1:13" ht="30" customHeight="1">
      <c r="A279" s="199" t="s">
        <v>520</v>
      </c>
      <c r="B279" s="199" t="s">
        <v>536</v>
      </c>
      <c r="C279" s="204" t="s">
        <v>55</v>
      </c>
      <c r="D279" s="202">
        <v>1</v>
      </c>
      <c r="E279" s="203">
        <f>TRUNC(SUM(H271:H278)*0.03,0)</f>
        <v>69408</v>
      </c>
      <c r="F279" s="203">
        <f t="shared" si="35"/>
        <v>69408</v>
      </c>
      <c r="G279" s="203"/>
      <c r="H279" s="203">
        <f t="shared" si="36"/>
        <v>0</v>
      </c>
      <c r="I279" s="203"/>
      <c r="J279" s="203"/>
      <c r="K279" s="203">
        <f t="shared" si="37"/>
        <v>69408</v>
      </c>
      <c r="L279" s="203">
        <f t="shared" si="38"/>
        <v>69408</v>
      </c>
      <c r="M279" s="200"/>
    </row>
    <row r="280" spans="1:13" ht="30" customHeight="1">
      <c r="A280" s="200"/>
      <c r="B280" s="200"/>
      <c r="C280" s="201"/>
      <c r="D280" s="206"/>
      <c r="E280" s="203"/>
      <c r="F280" s="203"/>
      <c r="G280" s="203"/>
      <c r="H280" s="203"/>
      <c r="I280" s="203"/>
      <c r="J280" s="203"/>
      <c r="K280" s="203"/>
      <c r="L280" s="203"/>
      <c r="M280" s="200"/>
    </row>
    <row r="281" spans="1:13" ht="30" customHeight="1">
      <c r="A281" s="200"/>
      <c r="B281" s="200"/>
      <c r="C281" s="201"/>
      <c r="D281" s="206"/>
      <c r="E281" s="203"/>
      <c r="F281" s="203"/>
      <c r="G281" s="203"/>
      <c r="H281" s="203"/>
      <c r="I281" s="203"/>
      <c r="J281" s="203"/>
      <c r="K281" s="203"/>
      <c r="L281" s="203"/>
      <c r="M281" s="200"/>
    </row>
    <row r="282" spans="1:13" ht="30" customHeight="1">
      <c r="A282" s="200"/>
      <c r="B282" s="200"/>
      <c r="C282" s="201"/>
      <c r="D282" s="206"/>
      <c r="E282" s="203"/>
      <c r="F282" s="203"/>
      <c r="G282" s="203"/>
      <c r="H282" s="203"/>
      <c r="I282" s="203"/>
      <c r="J282" s="203"/>
      <c r="K282" s="203"/>
      <c r="L282" s="203"/>
      <c r="M282" s="200"/>
    </row>
    <row r="283" spans="1:13" ht="30" customHeight="1">
      <c r="A283" s="200"/>
      <c r="B283" s="200"/>
      <c r="C283" s="201"/>
      <c r="D283" s="206"/>
      <c r="E283" s="203"/>
      <c r="F283" s="203"/>
      <c r="G283" s="203"/>
      <c r="H283" s="203"/>
      <c r="I283" s="203"/>
      <c r="J283" s="203"/>
      <c r="K283" s="203"/>
      <c r="L283" s="203"/>
      <c r="M283" s="200"/>
    </row>
    <row r="284" spans="1:13" ht="30" customHeight="1">
      <c r="A284" s="200"/>
      <c r="B284" s="200"/>
      <c r="C284" s="201"/>
      <c r="D284" s="206"/>
      <c r="E284" s="203"/>
      <c r="F284" s="203"/>
      <c r="G284" s="203"/>
      <c r="H284" s="203"/>
      <c r="I284" s="203"/>
      <c r="J284" s="203"/>
      <c r="K284" s="203"/>
      <c r="L284" s="203"/>
      <c r="M284" s="200"/>
    </row>
    <row r="285" spans="1:13" ht="30" customHeight="1">
      <c r="A285" s="200"/>
      <c r="B285" s="200"/>
      <c r="C285" s="201"/>
      <c r="D285" s="206"/>
      <c r="E285" s="203"/>
      <c r="F285" s="203"/>
      <c r="G285" s="203"/>
      <c r="H285" s="203"/>
      <c r="I285" s="203"/>
      <c r="J285" s="203"/>
      <c r="K285" s="203"/>
      <c r="L285" s="203"/>
      <c r="M285" s="200"/>
    </row>
    <row r="286" spans="1:13" ht="30" customHeight="1">
      <c r="A286" s="200"/>
      <c r="B286" s="200"/>
      <c r="C286" s="201"/>
      <c r="D286" s="206"/>
      <c r="E286" s="203"/>
      <c r="F286" s="203"/>
      <c r="G286" s="203"/>
      <c r="H286" s="203"/>
      <c r="I286" s="203"/>
      <c r="J286" s="203"/>
      <c r="K286" s="203"/>
      <c r="L286" s="203"/>
      <c r="M286" s="200"/>
    </row>
    <row r="287" spans="1:13" ht="30" customHeight="1">
      <c r="A287" s="200"/>
      <c r="B287" s="200"/>
      <c r="C287" s="201"/>
      <c r="D287" s="206"/>
      <c r="E287" s="203"/>
      <c r="F287" s="203"/>
      <c r="G287" s="203"/>
      <c r="H287" s="203"/>
      <c r="I287" s="203"/>
      <c r="J287" s="203"/>
      <c r="K287" s="203"/>
      <c r="L287" s="203"/>
      <c r="M287" s="200"/>
    </row>
    <row r="288" spans="1:13" ht="30" customHeight="1">
      <c r="A288" s="200"/>
      <c r="B288" s="200"/>
      <c r="C288" s="201"/>
      <c r="D288" s="206"/>
      <c r="E288" s="203"/>
      <c r="F288" s="203"/>
      <c r="G288" s="203"/>
      <c r="H288" s="203"/>
      <c r="I288" s="203"/>
      <c r="J288" s="203"/>
      <c r="K288" s="203"/>
      <c r="L288" s="203"/>
      <c r="M288" s="200"/>
    </row>
    <row r="289" spans="1:13" ht="30" customHeight="1">
      <c r="A289" s="200"/>
      <c r="B289" s="200"/>
      <c r="C289" s="201"/>
      <c r="D289" s="206"/>
      <c r="E289" s="203"/>
      <c r="F289" s="203"/>
      <c r="G289" s="203"/>
      <c r="H289" s="203"/>
      <c r="I289" s="203"/>
      <c r="J289" s="203"/>
      <c r="K289" s="203"/>
      <c r="L289" s="203"/>
      <c r="M289" s="200"/>
    </row>
    <row r="290" spans="1:13" ht="30" customHeight="1">
      <c r="A290" s="200"/>
      <c r="B290" s="200"/>
      <c r="C290" s="201"/>
      <c r="D290" s="206"/>
      <c r="E290" s="203"/>
      <c r="F290" s="203"/>
      <c r="G290" s="203"/>
      <c r="H290" s="203"/>
      <c r="I290" s="203"/>
      <c r="J290" s="203"/>
      <c r="K290" s="203"/>
      <c r="L290" s="203"/>
      <c r="M290" s="200"/>
    </row>
    <row r="291" spans="1:13" ht="30" customHeight="1">
      <c r="A291" s="207" t="s">
        <v>522</v>
      </c>
      <c r="B291" s="200"/>
      <c r="C291" s="201"/>
      <c r="D291" s="206"/>
      <c r="E291" s="203"/>
      <c r="F291" s="203">
        <f>SUM(F271:F279)</f>
        <v>23168508</v>
      </c>
      <c r="G291" s="203"/>
      <c r="H291" s="203">
        <f>SUM(H271:H279)</f>
        <v>2313600</v>
      </c>
      <c r="I291" s="203"/>
      <c r="J291" s="203"/>
      <c r="K291" s="203"/>
      <c r="L291" s="203">
        <f>SUM(L271:L279)</f>
        <v>25482108</v>
      </c>
      <c r="M291" s="200"/>
    </row>
    <row r="292" spans="1:13" ht="30" customHeight="1">
      <c r="A292" s="229" t="s">
        <v>680</v>
      </c>
      <c r="B292" s="197"/>
      <c r="C292" s="226"/>
      <c r="D292" s="227"/>
      <c r="E292" s="196"/>
      <c r="F292" s="196"/>
      <c r="G292" s="196"/>
      <c r="H292" s="196"/>
      <c r="I292" s="196"/>
      <c r="J292" s="196"/>
      <c r="K292" s="196"/>
      <c r="L292" s="196"/>
      <c r="M292" s="197"/>
    </row>
    <row r="293" spans="1:13" s="234" customFormat="1" ht="30" customHeight="1">
      <c r="A293" s="230" t="s">
        <v>681</v>
      </c>
      <c r="B293" s="230" t="s">
        <v>682</v>
      </c>
      <c r="C293" s="231" t="s">
        <v>124</v>
      </c>
      <c r="D293" s="232">
        <v>2</v>
      </c>
      <c r="E293" s="233">
        <v>2800</v>
      </c>
      <c r="F293" s="233">
        <f t="shared" ref="F293:F324" si="39">D293*E293</f>
        <v>5600</v>
      </c>
      <c r="G293" s="233"/>
      <c r="H293" s="233">
        <f t="shared" ref="H293:H324" si="40">D293*G293</f>
        <v>0</v>
      </c>
      <c r="I293" s="233"/>
      <c r="J293" s="233"/>
      <c r="K293" s="233">
        <f t="shared" ref="K293:K324" si="41">E293+G293+I293</f>
        <v>2800</v>
      </c>
      <c r="L293" s="233">
        <f t="shared" ref="L293:L324" si="42">F293+H293+J293</f>
        <v>5600</v>
      </c>
      <c r="M293" s="233"/>
    </row>
    <row r="294" spans="1:13" s="234" customFormat="1" ht="30" customHeight="1">
      <c r="A294" s="230" t="s">
        <v>681</v>
      </c>
      <c r="B294" s="230" t="s">
        <v>683</v>
      </c>
      <c r="C294" s="231" t="s">
        <v>124</v>
      </c>
      <c r="D294" s="232">
        <v>9</v>
      </c>
      <c r="E294" s="233">
        <v>4200</v>
      </c>
      <c r="F294" s="233">
        <f t="shared" si="39"/>
        <v>37800</v>
      </c>
      <c r="G294" s="233"/>
      <c r="H294" s="233">
        <f t="shared" si="40"/>
        <v>0</v>
      </c>
      <c r="I294" s="233"/>
      <c r="J294" s="233"/>
      <c r="K294" s="233">
        <f t="shared" si="41"/>
        <v>4200</v>
      </c>
      <c r="L294" s="233">
        <f t="shared" si="42"/>
        <v>37800</v>
      </c>
      <c r="M294" s="233"/>
    </row>
    <row r="295" spans="1:13" s="234" customFormat="1" ht="30" customHeight="1">
      <c r="A295" s="230" t="s">
        <v>681</v>
      </c>
      <c r="B295" s="230" t="s">
        <v>684</v>
      </c>
      <c r="C295" s="231" t="s">
        <v>124</v>
      </c>
      <c r="D295" s="232">
        <v>8</v>
      </c>
      <c r="E295" s="233">
        <v>8700</v>
      </c>
      <c r="F295" s="233">
        <f t="shared" si="39"/>
        <v>69600</v>
      </c>
      <c r="G295" s="233"/>
      <c r="H295" s="233">
        <f t="shared" si="40"/>
        <v>0</v>
      </c>
      <c r="I295" s="233"/>
      <c r="J295" s="233"/>
      <c r="K295" s="233">
        <f t="shared" si="41"/>
        <v>8700</v>
      </c>
      <c r="L295" s="233">
        <f t="shared" si="42"/>
        <v>69600</v>
      </c>
      <c r="M295" s="233"/>
    </row>
    <row r="296" spans="1:13" s="234" customFormat="1" ht="30" customHeight="1">
      <c r="A296" s="230" t="s">
        <v>685</v>
      </c>
      <c r="B296" s="230" t="s">
        <v>686</v>
      </c>
      <c r="C296" s="231" t="s">
        <v>124</v>
      </c>
      <c r="D296" s="232">
        <v>48</v>
      </c>
      <c r="E296" s="233">
        <v>20800</v>
      </c>
      <c r="F296" s="233">
        <f t="shared" si="39"/>
        <v>998400</v>
      </c>
      <c r="G296" s="233"/>
      <c r="H296" s="233">
        <f t="shared" si="40"/>
        <v>0</v>
      </c>
      <c r="I296" s="233"/>
      <c r="J296" s="233"/>
      <c r="K296" s="233">
        <f t="shared" si="41"/>
        <v>20800</v>
      </c>
      <c r="L296" s="233">
        <f t="shared" si="42"/>
        <v>998400</v>
      </c>
      <c r="M296" s="233"/>
    </row>
    <row r="297" spans="1:13" s="234" customFormat="1" ht="30" customHeight="1">
      <c r="A297" s="230" t="s">
        <v>687</v>
      </c>
      <c r="B297" s="230" t="s">
        <v>688</v>
      </c>
      <c r="C297" s="235" t="s">
        <v>55</v>
      </c>
      <c r="D297" s="232">
        <v>1</v>
      </c>
      <c r="E297" s="233">
        <f>TRUNC(SUM(F293:F296)*0.03,0)</f>
        <v>33342</v>
      </c>
      <c r="F297" s="233">
        <f t="shared" si="39"/>
        <v>33342</v>
      </c>
      <c r="G297" s="233"/>
      <c r="H297" s="233">
        <f t="shared" si="40"/>
        <v>0</v>
      </c>
      <c r="I297" s="233"/>
      <c r="J297" s="233"/>
      <c r="K297" s="233">
        <f t="shared" si="41"/>
        <v>33342</v>
      </c>
      <c r="L297" s="233">
        <f t="shared" si="42"/>
        <v>33342</v>
      </c>
      <c r="M297" s="233"/>
    </row>
    <row r="298" spans="1:13" s="234" customFormat="1" ht="30" customHeight="1">
      <c r="A298" s="230" t="s">
        <v>689</v>
      </c>
      <c r="B298" s="236" t="s">
        <v>690</v>
      </c>
      <c r="C298" s="231" t="s">
        <v>124</v>
      </c>
      <c r="D298" s="232">
        <v>5</v>
      </c>
      <c r="E298" s="233">
        <v>3600</v>
      </c>
      <c r="F298" s="233">
        <f t="shared" si="39"/>
        <v>18000</v>
      </c>
      <c r="G298" s="233">
        <v>4500</v>
      </c>
      <c r="H298" s="233">
        <f t="shared" si="40"/>
        <v>22500</v>
      </c>
      <c r="I298" s="233"/>
      <c r="J298" s="233"/>
      <c r="K298" s="233">
        <f t="shared" si="41"/>
        <v>8100</v>
      </c>
      <c r="L298" s="233">
        <f t="shared" si="42"/>
        <v>40500</v>
      </c>
      <c r="M298" s="233"/>
    </row>
    <row r="299" spans="1:13" s="234" customFormat="1" ht="30" customHeight="1">
      <c r="A299" s="230" t="s">
        <v>689</v>
      </c>
      <c r="B299" s="236" t="s">
        <v>691</v>
      </c>
      <c r="C299" s="231" t="s">
        <v>124</v>
      </c>
      <c r="D299" s="232">
        <v>7</v>
      </c>
      <c r="E299" s="233">
        <v>4400</v>
      </c>
      <c r="F299" s="233">
        <f t="shared" si="39"/>
        <v>30800</v>
      </c>
      <c r="G299" s="233">
        <v>7100</v>
      </c>
      <c r="H299" s="233">
        <f t="shared" si="40"/>
        <v>49700</v>
      </c>
      <c r="I299" s="233"/>
      <c r="J299" s="233"/>
      <c r="K299" s="233">
        <f t="shared" si="41"/>
        <v>11500</v>
      </c>
      <c r="L299" s="233">
        <f t="shared" si="42"/>
        <v>80500</v>
      </c>
      <c r="M299" s="233"/>
    </row>
    <row r="300" spans="1:13" s="234" customFormat="1" ht="30" customHeight="1">
      <c r="A300" s="230" t="s">
        <v>689</v>
      </c>
      <c r="B300" s="236" t="s">
        <v>692</v>
      </c>
      <c r="C300" s="231" t="s">
        <v>124</v>
      </c>
      <c r="D300" s="232">
        <v>45</v>
      </c>
      <c r="E300" s="233">
        <v>9600</v>
      </c>
      <c r="F300" s="233">
        <f t="shared" si="39"/>
        <v>432000</v>
      </c>
      <c r="G300" s="233">
        <v>12000</v>
      </c>
      <c r="H300" s="233">
        <f t="shared" si="40"/>
        <v>540000</v>
      </c>
      <c r="I300" s="233"/>
      <c r="J300" s="233"/>
      <c r="K300" s="233">
        <f t="shared" si="41"/>
        <v>21600</v>
      </c>
      <c r="L300" s="233">
        <f t="shared" si="42"/>
        <v>972000</v>
      </c>
      <c r="M300" s="237"/>
    </row>
    <row r="301" spans="1:13" s="234" customFormat="1" ht="30" customHeight="1">
      <c r="A301" s="230" t="s">
        <v>693</v>
      </c>
      <c r="B301" s="230" t="s">
        <v>694</v>
      </c>
      <c r="C301" s="231" t="s">
        <v>77</v>
      </c>
      <c r="D301" s="232">
        <v>9</v>
      </c>
      <c r="E301" s="233">
        <v>1600</v>
      </c>
      <c r="F301" s="233">
        <f t="shared" si="39"/>
        <v>14400</v>
      </c>
      <c r="G301" s="233"/>
      <c r="H301" s="233">
        <f t="shared" si="40"/>
        <v>0</v>
      </c>
      <c r="I301" s="233"/>
      <c r="J301" s="233"/>
      <c r="K301" s="233">
        <f t="shared" si="41"/>
        <v>1600</v>
      </c>
      <c r="L301" s="233">
        <f t="shared" si="42"/>
        <v>14400</v>
      </c>
      <c r="M301" s="233"/>
    </row>
    <row r="302" spans="1:13" s="234" customFormat="1" ht="30" customHeight="1">
      <c r="A302" s="230" t="s">
        <v>693</v>
      </c>
      <c r="B302" s="230" t="s">
        <v>695</v>
      </c>
      <c r="C302" s="231" t="s">
        <v>77</v>
      </c>
      <c r="D302" s="232">
        <v>5</v>
      </c>
      <c r="E302" s="233">
        <v>4800</v>
      </c>
      <c r="F302" s="233">
        <f t="shared" si="39"/>
        <v>24000</v>
      </c>
      <c r="G302" s="233"/>
      <c r="H302" s="233">
        <f t="shared" si="40"/>
        <v>0</v>
      </c>
      <c r="I302" s="233"/>
      <c r="J302" s="233"/>
      <c r="K302" s="233">
        <f t="shared" si="41"/>
        <v>4800</v>
      </c>
      <c r="L302" s="233">
        <f t="shared" si="42"/>
        <v>24000</v>
      </c>
      <c r="M302" s="233"/>
    </row>
    <row r="303" spans="1:13" s="234" customFormat="1" ht="30" customHeight="1">
      <c r="A303" s="230" t="s">
        <v>693</v>
      </c>
      <c r="B303" s="230" t="s">
        <v>696</v>
      </c>
      <c r="C303" s="231" t="s">
        <v>77</v>
      </c>
      <c r="D303" s="232">
        <v>3</v>
      </c>
      <c r="E303" s="233">
        <v>6100</v>
      </c>
      <c r="F303" s="233">
        <f t="shared" si="39"/>
        <v>18300</v>
      </c>
      <c r="G303" s="233"/>
      <c r="H303" s="233">
        <f t="shared" si="40"/>
        <v>0</v>
      </c>
      <c r="I303" s="233"/>
      <c r="J303" s="233"/>
      <c r="K303" s="233">
        <f t="shared" si="41"/>
        <v>6100</v>
      </c>
      <c r="L303" s="233">
        <f t="shared" si="42"/>
        <v>18300</v>
      </c>
      <c r="M303" s="233"/>
    </row>
    <row r="304" spans="1:13" s="234" customFormat="1" ht="30" customHeight="1">
      <c r="A304" s="230" t="s">
        <v>693</v>
      </c>
      <c r="B304" s="230" t="s">
        <v>697</v>
      </c>
      <c r="C304" s="231" t="s">
        <v>77</v>
      </c>
      <c r="D304" s="232">
        <v>2</v>
      </c>
      <c r="E304" s="233">
        <v>3700</v>
      </c>
      <c r="F304" s="233">
        <f t="shared" si="39"/>
        <v>7400</v>
      </c>
      <c r="G304" s="233"/>
      <c r="H304" s="233">
        <f t="shared" si="40"/>
        <v>0</v>
      </c>
      <c r="I304" s="233"/>
      <c r="J304" s="233"/>
      <c r="K304" s="233">
        <f t="shared" si="41"/>
        <v>3700</v>
      </c>
      <c r="L304" s="233">
        <f t="shared" si="42"/>
        <v>7400</v>
      </c>
      <c r="M304" s="233"/>
    </row>
    <row r="305" spans="1:13" s="234" customFormat="1" ht="30" customHeight="1">
      <c r="A305" s="230" t="s">
        <v>693</v>
      </c>
      <c r="B305" s="230" t="s">
        <v>698</v>
      </c>
      <c r="C305" s="231" t="s">
        <v>77</v>
      </c>
      <c r="D305" s="232">
        <v>2</v>
      </c>
      <c r="E305" s="233">
        <v>1300</v>
      </c>
      <c r="F305" s="233">
        <f t="shared" si="39"/>
        <v>2600</v>
      </c>
      <c r="G305" s="233"/>
      <c r="H305" s="233">
        <f t="shared" si="40"/>
        <v>0</v>
      </c>
      <c r="I305" s="233"/>
      <c r="J305" s="233"/>
      <c r="K305" s="233">
        <f t="shared" si="41"/>
        <v>1300</v>
      </c>
      <c r="L305" s="233">
        <f t="shared" si="42"/>
        <v>2600</v>
      </c>
      <c r="M305" s="237"/>
    </row>
    <row r="306" spans="1:13" s="234" customFormat="1" ht="30" customHeight="1">
      <c r="A306" s="230" t="s">
        <v>693</v>
      </c>
      <c r="B306" s="230" t="s">
        <v>699</v>
      </c>
      <c r="C306" s="231" t="s">
        <v>77</v>
      </c>
      <c r="D306" s="232">
        <v>5</v>
      </c>
      <c r="E306" s="233">
        <v>1500</v>
      </c>
      <c r="F306" s="233">
        <f t="shared" si="39"/>
        <v>7500</v>
      </c>
      <c r="G306" s="233"/>
      <c r="H306" s="233">
        <f t="shared" si="40"/>
        <v>0</v>
      </c>
      <c r="I306" s="233"/>
      <c r="J306" s="233"/>
      <c r="K306" s="233">
        <f t="shared" si="41"/>
        <v>1500</v>
      </c>
      <c r="L306" s="233">
        <f t="shared" si="42"/>
        <v>7500</v>
      </c>
      <c r="M306" s="233"/>
    </row>
    <row r="307" spans="1:13" s="234" customFormat="1" ht="30" customHeight="1">
      <c r="A307" s="230" t="s">
        <v>693</v>
      </c>
      <c r="B307" s="230" t="s">
        <v>700</v>
      </c>
      <c r="C307" s="231" t="s">
        <v>77</v>
      </c>
      <c r="D307" s="232">
        <v>1</v>
      </c>
      <c r="E307" s="233">
        <v>3300</v>
      </c>
      <c r="F307" s="233">
        <f t="shared" si="39"/>
        <v>3300</v>
      </c>
      <c r="G307" s="233"/>
      <c r="H307" s="233">
        <f t="shared" si="40"/>
        <v>0</v>
      </c>
      <c r="I307" s="233"/>
      <c r="J307" s="233"/>
      <c r="K307" s="233">
        <f t="shared" si="41"/>
        <v>3300</v>
      </c>
      <c r="L307" s="233">
        <f t="shared" si="42"/>
        <v>3300</v>
      </c>
      <c r="M307" s="233"/>
    </row>
    <row r="308" spans="1:13" s="234" customFormat="1" ht="30" customHeight="1">
      <c r="A308" s="230" t="s">
        <v>693</v>
      </c>
      <c r="B308" s="230" t="s">
        <v>701</v>
      </c>
      <c r="C308" s="231" t="s">
        <v>77</v>
      </c>
      <c r="D308" s="232">
        <v>2</v>
      </c>
      <c r="E308" s="233">
        <v>4300</v>
      </c>
      <c r="F308" s="233">
        <f t="shared" si="39"/>
        <v>8600</v>
      </c>
      <c r="G308" s="233"/>
      <c r="H308" s="233">
        <f t="shared" si="40"/>
        <v>0</v>
      </c>
      <c r="I308" s="233"/>
      <c r="J308" s="233"/>
      <c r="K308" s="233">
        <f t="shared" si="41"/>
        <v>4300</v>
      </c>
      <c r="L308" s="233">
        <f t="shared" si="42"/>
        <v>8600</v>
      </c>
      <c r="M308" s="237"/>
    </row>
    <row r="309" spans="1:13" s="234" customFormat="1" ht="30" customHeight="1">
      <c r="A309" s="230" t="s">
        <v>693</v>
      </c>
      <c r="B309" s="230" t="s">
        <v>702</v>
      </c>
      <c r="C309" s="231" t="s">
        <v>77</v>
      </c>
      <c r="D309" s="232">
        <v>5</v>
      </c>
      <c r="E309" s="233">
        <v>5300</v>
      </c>
      <c r="F309" s="233">
        <f t="shared" si="39"/>
        <v>26500</v>
      </c>
      <c r="G309" s="233"/>
      <c r="H309" s="233">
        <f t="shared" si="40"/>
        <v>0</v>
      </c>
      <c r="I309" s="233"/>
      <c r="J309" s="233"/>
      <c r="K309" s="233">
        <f t="shared" si="41"/>
        <v>5300</v>
      </c>
      <c r="L309" s="233">
        <f t="shared" si="42"/>
        <v>26500</v>
      </c>
      <c r="M309" s="233"/>
    </row>
    <row r="310" spans="1:13" s="234" customFormat="1" ht="30" customHeight="1">
      <c r="A310" s="230" t="s">
        <v>693</v>
      </c>
      <c r="B310" s="230" t="s">
        <v>703</v>
      </c>
      <c r="C310" s="231" t="s">
        <v>77</v>
      </c>
      <c r="D310" s="232">
        <v>1</v>
      </c>
      <c r="E310" s="233">
        <v>11700</v>
      </c>
      <c r="F310" s="233">
        <f t="shared" si="39"/>
        <v>11700</v>
      </c>
      <c r="G310" s="233"/>
      <c r="H310" s="233">
        <f t="shared" si="40"/>
        <v>0</v>
      </c>
      <c r="I310" s="233"/>
      <c r="J310" s="233"/>
      <c r="K310" s="233">
        <f t="shared" si="41"/>
        <v>11700</v>
      </c>
      <c r="L310" s="233">
        <f t="shared" si="42"/>
        <v>11700</v>
      </c>
      <c r="M310" s="237"/>
    </row>
    <row r="311" spans="1:13" s="234" customFormat="1" ht="30" customHeight="1">
      <c r="A311" s="230" t="s">
        <v>704</v>
      </c>
      <c r="B311" s="236" t="s">
        <v>593</v>
      </c>
      <c r="C311" s="231" t="s">
        <v>77</v>
      </c>
      <c r="D311" s="232">
        <v>12</v>
      </c>
      <c r="E311" s="233">
        <v>31800</v>
      </c>
      <c r="F311" s="233">
        <f t="shared" si="39"/>
        <v>381600</v>
      </c>
      <c r="G311" s="233"/>
      <c r="H311" s="233">
        <f t="shared" si="40"/>
        <v>0</v>
      </c>
      <c r="I311" s="233"/>
      <c r="J311" s="233"/>
      <c r="K311" s="233">
        <f t="shared" si="41"/>
        <v>31800</v>
      </c>
      <c r="L311" s="233">
        <f t="shared" si="42"/>
        <v>381600</v>
      </c>
      <c r="M311" s="233"/>
    </row>
    <row r="312" spans="1:13" s="234" customFormat="1" ht="30" customHeight="1">
      <c r="A312" s="230" t="s">
        <v>705</v>
      </c>
      <c r="B312" s="236" t="s">
        <v>593</v>
      </c>
      <c r="C312" s="231" t="s">
        <v>77</v>
      </c>
      <c r="D312" s="232">
        <v>26</v>
      </c>
      <c r="E312" s="233">
        <v>17500</v>
      </c>
      <c r="F312" s="233">
        <f t="shared" si="39"/>
        <v>455000</v>
      </c>
      <c r="G312" s="233"/>
      <c r="H312" s="233">
        <f t="shared" si="40"/>
        <v>0</v>
      </c>
      <c r="I312" s="233"/>
      <c r="J312" s="233"/>
      <c r="K312" s="233">
        <f t="shared" si="41"/>
        <v>17500</v>
      </c>
      <c r="L312" s="233">
        <f t="shared" si="42"/>
        <v>455000</v>
      </c>
      <c r="M312" s="233"/>
    </row>
    <row r="313" spans="1:13" s="234" customFormat="1" ht="30" customHeight="1">
      <c r="A313" s="230" t="s">
        <v>706</v>
      </c>
      <c r="B313" s="236" t="s">
        <v>593</v>
      </c>
      <c r="C313" s="231" t="s">
        <v>77</v>
      </c>
      <c r="D313" s="232">
        <v>5</v>
      </c>
      <c r="E313" s="233">
        <v>24200</v>
      </c>
      <c r="F313" s="233">
        <f t="shared" si="39"/>
        <v>121000</v>
      </c>
      <c r="G313" s="233"/>
      <c r="H313" s="233">
        <f t="shared" si="40"/>
        <v>0</v>
      </c>
      <c r="I313" s="233"/>
      <c r="J313" s="233"/>
      <c r="K313" s="233">
        <f t="shared" si="41"/>
        <v>24200</v>
      </c>
      <c r="L313" s="233">
        <f t="shared" si="42"/>
        <v>121000</v>
      </c>
      <c r="M313" s="233"/>
    </row>
    <row r="314" spans="1:13" s="234" customFormat="1" ht="30" customHeight="1">
      <c r="A314" s="230" t="s">
        <v>707</v>
      </c>
      <c r="B314" s="236" t="s">
        <v>593</v>
      </c>
      <c r="C314" s="231" t="s">
        <v>77</v>
      </c>
      <c r="D314" s="232">
        <v>3</v>
      </c>
      <c r="E314" s="233">
        <v>10000</v>
      </c>
      <c r="F314" s="233">
        <f t="shared" si="39"/>
        <v>30000</v>
      </c>
      <c r="G314" s="233"/>
      <c r="H314" s="233">
        <f t="shared" si="40"/>
        <v>0</v>
      </c>
      <c r="I314" s="233"/>
      <c r="J314" s="233"/>
      <c r="K314" s="233">
        <f t="shared" si="41"/>
        <v>10000</v>
      </c>
      <c r="L314" s="233">
        <f t="shared" si="42"/>
        <v>30000</v>
      </c>
      <c r="M314" s="237"/>
    </row>
    <row r="315" spans="1:13" s="234" customFormat="1" ht="30" customHeight="1">
      <c r="A315" s="230" t="s">
        <v>708</v>
      </c>
      <c r="B315" s="236" t="s">
        <v>593</v>
      </c>
      <c r="C315" s="231" t="s">
        <v>77</v>
      </c>
      <c r="D315" s="232">
        <v>78</v>
      </c>
      <c r="E315" s="233">
        <v>8500</v>
      </c>
      <c r="F315" s="233">
        <f t="shared" si="39"/>
        <v>663000</v>
      </c>
      <c r="G315" s="233"/>
      <c r="H315" s="233">
        <f t="shared" si="40"/>
        <v>0</v>
      </c>
      <c r="I315" s="233"/>
      <c r="J315" s="233"/>
      <c r="K315" s="233">
        <f t="shared" si="41"/>
        <v>8500</v>
      </c>
      <c r="L315" s="233">
        <f t="shared" si="42"/>
        <v>663000</v>
      </c>
      <c r="M315" s="233"/>
    </row>
    <row r="316" spans="1:13" s="234" customFormat="1" ht="30" customHeight="1">
      <c r="A316" s="230" t="s">
        <v>709</v>
      </c>
      <c r="B316" s="236" t="s">
        <v>710</v>
      </c>
      <c r="C316" s="235" t="s">
        <v>122</v>
      </c>
      <c r="D316" s="232">
        <v>2</v>
      </c>
      <c r="E316" s="233">
        <v>5000</v>
      </c>
      <c r="F316" s="233">
        <f t="shared" si="39"/>
        <v>10000</v>
      </c>
      <c r="G316" s="233"/>
      <c r="H316" s="233">
        <f t="shared" si="40"/>
        <v>0</v>
      </c>
      <c r="I316" s="233"/>
      <c r="J316" s="233"/>
      <c r="K316" s="233">
        <f t="shared" si="41"/>
        <v>5000</v>
      </c>
      <c r="L316" s="233">
        <f t="shared" si="42"/>
        <v>10000</v>
      </c>
      <c r="M316" s="237"/>
    </row>
    <row r="317" spans="1:13" s="234" customFormat="1" ht="30" customHeight="1">
      <c r="A317" s="230" t="s">
        <v>709</v>
      </c>
      <c r="B317" s="236" t="s">
        <v>591</v>
      </c>
      <c r="C317" s="235" t="s">
        <v>122</v>
      </c>
      <c r="D317" s="232">
        <v>4</v>
      </c>
      <c r="E317" s="233">
        <v>6200</v>
      </c>
      <c r="F317" s="233">
        <f t="shared" si="39"/>
        <v>24800</v>
      </c>
      <c r="G317" s="233"/>
      <c r="H317" s="233">
        <f t="shared" si="40"/>
        <v>0</v>
      </c>
      <c r="I317" s="233"/>
      <c r="J317" s="233"/>
      <c r="K317" s="233">
        <f t="shared" si="41"/>
        <v>6200</v>
      </c>
      <c r="L317" s="233">
        <f t="shared" si="42"/>
        <v>24800</v>
      </c>
      <c r="M317" s="233"/>
    </row>
    <row r="318" spans="1:13" s="234" customFormat="1" ht="30" customHeight="1">
      <c r="A318" s="230" t="s">
        <v>711</v>
      </c>
      <c r="B318" s="230" t="s">
        <v>712</v>
      </c>
      <c r="C318" s="231" t="s">
        <v>77</v>
      </c>
      <c r="D318" s="232">
        <v>2</v>
      </c>
      <c r="E318" s="233">
        <v>14200</v>
      </c>
      <c r="F318" s="233">
        <f t="shared" si="39"/>
        <v>28400</v>
      </c>
      <c r="G318" s="233"/>
      <c r="H318" s="233">
        <f t="shared" si="40"/>
        <v>0</v>
      </c>
      <c r="I318" s="233"/>
      <c r="J318" s="233"/>
      <c r="K318" s="233">
        <f t="shared" si="41"/>
        <v>14200</v>
      </c>
      <c r="L318" s="233">
        <f t="shared" si="42"/>
        <v>28400</v>
      </c>
      <c r="M318" s="237"/>
    </row>
    <row r="319" spans="1:13" s="234" customFormat="1" ht="30" customHeight="1">
      <c r="A319" s="230" t="s">
        <v>711</v>
      </c>
      <c r="B319" s="230" t="s">
        <v>713</v>
      </c>
      <c r="C319" s="231" t="s">
        <v>77</v>
      </c>
      <c r="D319" s="232">
        <v>3</v>
      </c>
      <c r="E319" s="233">
        <v>18800</v>
      </c>
      <c r="F319" s="233">
        <f t="shared" si="39"/>
        <v>56400</v>
      </c>
      <c r="G319" s="233"/>
      <c r="H319" s="233">
        <f t="shared" si="40"/>
        <v>0</v>
      </c>
      <c r="I319" s="233"/>
      <c r="J319" s="233"/>
      <c r="K319" s="233">
        <f t="shared" si="41"/>
        <v>18800</v>
      </c>
      <c r="L319" s="233">
        <f t="shared" si="42"/>
        <v>56400</v>
      </c>
      <c r="M319" s="233"/>
    </row>
    <row r="320" spans="1:13" s="234" customFormat="1" ht="30" customHeight="1">
      <c r="A320" s="230" t="s">
        <v>714</v>
      </c>
      <c r="B320" s="230" t="s">
        <v>715</v>
      </c>
      <c r="C320" s="231" t="s">
        <v>77</v>
      </c>
      <c r="D320" s="232">
        <v>2</v>
      </c>
      <c r="E320" s="233">
        <v>108200</v>
      </c>
      <c r="F320" s="233">
        <f t="shared" si="39"/>
        <v>216400</v>
      </c>
      <c r="G320" s="233"/>
      <c r="H320" s="233">
        <f t="shared" si="40"/>
        <v>0</v>
      </c>
      <c r="I320" s="233"/>
      <c r="J320" s="233"/>
      <c r="K320" s="233">
        <f t="shared" si="41"/>
        <v>108200</v>
      </c>
      <c r="L320" s="233">
        <f t="shared" si="42"/>
        <v>216400</v>
      </c>
      <c r="M320" s="237"/>
    </row>
    <row r="321" spans="1:13" s="234" customFormat="1" ht="30" customHeight="1">
      <c r="A321" s="230" t="s">
        <v>716</v>
      </c>
      <c r="B321" s="230" t="s">
        <v>717</v>
      </c>
      <c r="C321" s="231" t="s">
        <v>77</v>
      </c>
      <c r="D321" s="232">
        <v>1</v>
      </c>
      <c r="E321" s="233">
        <v>41000</v>
      </c>
      <c r="F321" s="233">
        <f t="shared" si="39"/>
        <v>41000</v>
      </c>
      <c r="G321" s="233"/>
      <c r="H321" s="233">
        <f t="shared" si="40"/>
        <v>0</v>
      </c>
      <c r="I321" s="233"/>
      <c r="J321" s="233"/>
      <c r="K321" s="233">
        <f t="shared" si="41"/>
        <v>41000</v>
      </c>
      <c r="L321" s="233">
        <f t="shared" si="42"/>
        <v>41000</v>
      </c>
      <c r="M321" s="233"/>
    </row>
    <row r="322" spans="1:13" s="234" customFormat="1" ht="30" customHeight="1">
      <c r="A322" s="230" t="s">
        <v>716</v>
      </c>
      <c r="B322" s="230" t="s">
        <v>718</v>
      </c>
      <c r="C322" s="231" t="s">
        <v>77</v>
      </c>
      <c r="D322" s="232">
        <v>1</v>
      </c>
      <c r="E322" s="233">
        <v>79600</v>
      </c>
      <c r="F322" s="233">
        <f t="shared" si="39"/>
        <v>79600</v>
      </c>
      <c r="G322" s="233"/>
      <c r="H322" s="233">
        <f t="shared" si="40"/>
        <v>0</v>
      </c>
      <c r="I322" s="233"/>
      <c r="J322" s="233"/>
      <c r="K322" s="233">
        <f t="shared" si="41"/>
        <v>79600</v>
      </c>
      <c r="L322" s="233">
        <f t="shared" si="42"/>
        <v>79600</v>
      </c>
      <c r="M322" s="233"/>
    </row>
    <row r="323" spans="1:13" s="234" customFormat="1" ht="30" customHeight="1">
      <c r="A323" s="230" t="s">
        <v>719</v>
      </c>
      <c r="B323" s="230" t="s">
        <v>720</v>
      </c>
      <c r="C323" s="231" t="s">
        <v>77</v>
      </c>
      <c r="D323" s="232">
        <v>1</v>
      </c>
      <c r="E323" s="233">
        <v>45800</v>
      </c>
      <c r="F323" s="233">
        <f t="shared" si="39"/>
        <v>45800</v>
      </c>
      <c r="G323" s="233"/>
      <c r="H323" s="233">
        <f t="shared" si="40"/>
        <v>0</v>
      </c>
      <c r="I323" s="233"/>
      <c r="J323" s="233"/>
      <c r="K323" s="233">
        <f t="shared" si="41"/>
        <v>45800</v>
      </c>
      <c r="L323" s="233">
        <f t="shared" si="42"/>
        <v>45800</v>
      </c>
      <c r="M323" s="233"/>
    </row>
    <row r="324" spans="1:13" s="234" customFormat="1" ht="30" customHeight="1">
      <c r="A324" s="230" t="s">
        <v>719</v>
      </c>
      <c r="B324" s="230" t="s">
        <v>721</v>
      </c>
      <c r="C324" s="231" t="s">
        <v>77</v>
      </c>
      <c r="D324" s="232">
        <v>1</v>
      </c>
      <c r="E324" s="233">
        <v>91600</v>
      </c>
      <c r="F324" s="233">
        <f t="shared" si="39"/>
        <v>91600</v>
      </c>
      <c r="G324" s="233"/>
      <c r="H324" s="233">
        <f t="shared" si="40"/>
        <v>0</v>
      </c>
      <c r="I324" s="233"/>
      <c r="J324" s="233"/>
      <c r="K324" s="233">
        <f t="shared" si="41"/>
        <v>91600</v>
      </c>
      <c r="L324" s="233">
        <f t="shared" si="42"/>
        <v>91600</v>
      </c>
      <c r="M324" s="237"/>
    </row>
    <row r="325" spans="1:13" s="234" customFormat="1" ht="30" customHeight="1">
      <c r="A325" s="230" t="s">
        <v>722</v>
      </c>
      <c r="B325" s="230" t="s">
        <v>723</v>
      </c>
      <c r="C325" s="231" t="s">
        <v>77</v>
      </c>
      <c r="D325" s="232">
        <v>1</v>
      </c>
      <c r="E325" s="233">
        <v>115400</v>
      </c>
      <c r="F325" s="233">
        <f t="shared" ref="F325:F349" si="43">D325*E325</f>
        <v>115400</v>
      </c>
      <c r="G325" s="233"/>
      <c r="H325" s="233">
        <f t="shared" ref="H325:H349" si="44">D325*G325</f>
        <v>0</v>
      </c>
      <c r="I325" s="233"/>
      <c r="J325" s="233"/>
      <c r="K325" s="233">
        <f t="shared" ref="K325:K349" si="45">E325+G325+I325</f>
        <v>115400</v>
      </c>
      <c r="L325" s="233">
        <f t="shared" ref="L325:L349" si="46">F325+H325+J325</f>
        <v>115400</v>
      </c>
      <c r="M325" s="233"/>
    </row>
    <row r="326" spans="1:13" s="234" customFormat="1" ht="30" customHeight="1">
      <c r="A326" s="230" t="s">
        <v>724</v>
      </c>
      <c r="B326" s="230" t="s">
        <v>725</v>
      </c>
      <c r="C326" s="231" t="s">
        <v>77</v>
      </c>
      <c r="D326" s="232">
        <v>2</v>
      </c>
      <c r="E326" s="233">
        <v>80100</v>
      </c>
      <c r="F326" s="233">
        <f t="shared" si="43"/>
        <v>160200</v>
      </c>
      <c r="G326" s="233"/>
      <c r="H326" s="233">
        <f t="shared" si="44"/>
        <v>0</v>
      </c>
      <c r="I326" s="233"/>
      <c r="J326" s="233"/>
      <c r="K326" s="233">
        <f t="shared" si="45"/>
        <v>80100</v>
      </c>
      <c r="L326" s="233">
        <f t="shared" si="46"/>
        <v>160200</v>
      </c>
      <c r="M326" s="233"/>
    </row>
    <row r="327" spans="1:13" s="234" customFormat="1" ht="30" customHeight="1">
      <c r="A327" s="230" t="s">
        <v>724</v>
      </c>
      <c r="B327" s="230" t="s">
        <v>726</v>
      </c>
      <c r="C327" s="231" t="s">
        <v>77</v>
      </c>
      <c r="D327" s="232">
        <v>3</v>
      </c>
      <c r="E327" s="233">
        <v>120600</v>
      </c>
      <c r="F327" s="233">
        <f t="shared" si="43"/>
        <v>361800</v>
      </c>
      <c r="G327" s="233"/>
      <c r="H327" s="233">
        <f t="shared" si="44"/>
        <v>0</v>
      </c>
      <c r="I327" s="233"/>
      <c r="J327" s="233"/>
      <c r="K327" s="233">
        <f t="shared" si="45"/>
        <v>120600</v>
      </c>
      <c r="L327" s="233">
        <f t="shared" si="46"/>
        <v>361800</v>
      </c>
      <c r="M327" s="233"/>
    </row>
    <row r="328" spans="1:13" s="234" customFormat="1" ht="30" customHeight="1">
      <c r="A328" s="230" t="s">
        <v>727</v>
      </c>
      <c r="B328" s="236" t="s">
        <v>728</v>
      </c>
      <c r="C328" s="231" t="s">
        <v>77</v>
      </c>
      <c r="D328" s="232">
        <v>1</v>
      </c>
      <c r="E328" s="233">
        <v>51600</v>
      </c>
      <c r="F328" s="233">
        <f t="shared" si="43"/>
        <v>51600</v>
      </c>
      <c r="G328" s="233"/>
      <c r="H328" s="233">
        <f t="shared" si="44"/>
        <v>0</v>
      </c>
      <c r="I328" s="233"/>
      <c r="J328" s="233"/>
      <c r="K328" s="233">
        <f t="shared" si="45"/>
        <v>51600</v>
      </c>
      <c r="L328" s="233">
        <f t="shared" si="46"/>
        <v>51600</v>
      </c>
      <c r="M328" s="237"/>
    </row>
    <row r="329" spans="1:13" s="234" customFormat="1" ht="30" customHeight="1">
      <c r="A329" s="230" t="s">
        <v>729</v>
      </c>
      <c r="B329" s="236" t="s">
        <v>730</v>
      </c>
      <c r="C329" s="235" t="s">
        <v>122</v>
      </c>
      <c r="D329" s="232">
        <v>8</v>
      </c>
      <c r="E329" s="233">
        <v>8200</v>
      </c>
      <c r="F329" s="233">
        <f t="shared" si="43"/>
        <v>65600</v>
      </c>
      <c r="G329" s="233">
        <v>38600</v>
      </c>
      <c r="H329" s="233">
        <f t="shared" si="44"/>
        <v>308800</v>
      </c>
      <c r="I329" s="233"/>
      <c r="J329" s="233"/>
      <c r="K329" s="233">
        <f t="shared" si="45"/>
        <v>46800</v>
      </c>
      <c r="L329" s="233">
        <f t="shared" si="46"/>
        <v>374400</v>
      </c>
      <c r="M329" s="233"/>
    </row>
    <row r="330" spans="1:13" s="234" customFormat="1" ht="30" customHeight="1">
      <c r="A330" s="230" t="s">
        <v>731</v>
      </c>
      <c r="B330" s="230" t="s">
        <v>732</v>
      </c>
      <c r="C330" s="231" t="s">
        <v>77</v>
      </c>
      <c r="D330" s="232">
        <v>1</v>
      </c>
      <c r="E330" s="233">
        <v>27800</v>
      </c>
      <c r="F330" s="233">
        <f t="shared" si="43"/>
        <v>27800</v>
      </c>
      <c r="G330" s="233"/>
      <c r="H330" s="233">
        <f t="shared" si="44"/>
        <v>0</v>
      </c>
      <c r="I330" s="233"/>
      <c r="J330" s="233"/>
      <c r="K330" s="233">
        <f t="shared" si="45"/>
        <v>27800</v>
      </c>
      <c r="L330" s="233">
        <f t="shared" si="46"/>
        <v>27800</v>
      </c>
      <c r="M330" s="233"/>
    </row>
    <row r="331" spans="1:13" s="234" customFormat="1" ht="30" customHeight="1">
      <c r="A331" s="230" t="s">
        <v>711</v>
      </c>
      <c r="B331" s="236" t="s">
        <v>733</v>
      </c>
      <c r="C331" s="231" t="s">
        <v>77</v>
      </c>
      <c r="D331" s="232">
        <v>3</v>
      </c>
      <c r="E331" s="233">
        <v>158500</v>
      </c>
      <c r="F331" s="233">
        <f t="shared" si="43"/>
        <v>475500</v>
      </c>
      <c r="G331" s="233"/>
      <c r="H331" s="233">
        <f t="shared" si="44"/>
        <v>0</v>
      </c>
      <c r="I331" s="233"/>
      <c r="J331" s="233"/>
      <c r="K331" s="233">
        <f t="shared" si="45"/>
        <v>158500</v>
      </c>
      <c r="L331" s="233">
        <f t="shared" si="46"/>
        <v>475500</v>
      </c>
      <c r="M331" s="233"/>
    </row>
    <row r="332" spans="1:13" s="234" customFormat="1" ht="30" customHeight="1">
      <c r="A332" s="230" t="s">
        <v>711</v>
      </c>
      <c r="B332" s="236" t="s">
        <v>734</v>
      </c>
      <c r="C332" s="231" t="s">
        <v>77</v>
      </c>
      <c r="D332" s="232">
        <v>2</v>
      </c>
      <c r="E332" s="233">
        <v>82900</v>
      </c>
      <c r="F332" s="233">
        <f t="shared" si="43"/>
        <v>165800</v>
      </c>
      <c r="G332" s="233"/>
      <c r="H332" s="233">
        <f t="shared" si="44"/>
        <v>0</v>
      </c>
      <c r="I332" s="233"/>
      <c r="J332" s="233"/>
      <c r="K332" s="233">
        <f t="shared" si="45"/>
        <v>82900</v>
      </c>
      <c r="L332" s="233">
        <f t="shared" si="46"/>
        <v>165800</v>
      </c>
      <c r="M332" s="233"/>
    </row>
    <row r="333" spans="1:13" s="234" customFormat="1" ht="30" customHeight="1">
      <c r="A333" s="230" t="s">
        <v>735</v>
      </c>
      <c r="B333" s="230" t="s">
        <v>736</v>
      </c>
      <c r="C333" s="231" t="s">
        <v>77</v>
      </c>
      <c r="D333" s="232">
        <v>2</v>
      </c>
      <c r="E333" s="233">
        <v>84900</v>
      </c>
      <c r="F333" s="233">
        <f t="shared" si="43"/>
        <v>169800</v>
      </c>
      <c r="G333" s="233"/>
      <c r="H333" s="233">
        <f t="shared" si="44"/>
        <v>0</v>
      </c>
      <c r="I333" s="233"/>
      <c r="J333" s="233"/>
      <c r="K333" s="233">
        <f t="shared" si="45"/>
        <v>84900</v>
      </c>
      <c r="L333" s="233">
        <f t="shared" si="46"/>
        <v>169800</v>
      </c>
      <c r="M333" s="233"/>
    </row>
    <row r="334" spans="1:13" s="234" customFormat="1" ht="30" customHeight="1">
      <c r="A334" s="230" t="s">
        <v>737</v>
      </c>
      <c r="B334" s="230" t="s">
        <v>738</v>
      </c>
      <c r="C334" s="231" t="s">
        <v>739</v>
      </c>
      <c r="D334" s="232">
        <v>1</v>
      </c>
      <c r="E334" s="233">
        <v>541200</v>
      </c>
      <c r="F334" s="233">
        <f t="shared" si="43"/>
        <v>541200</v>
      </c>
      <c r="G334" s="233"/>
      <c r="H334" s="233">
        <f t="shared" si="44"/>
        <v>0</v>
      </c>
      <c r="I334" s="233"/>
      <c r="J334" s="233"/>
      <c r="K334" s="233">
        <f t="shared" si="45"/>
        <v>541200</v>
      </c>
      <c r="L334" s="233">
        <f t="shared" si="46"/>
        <v>541200</v>
      </c>
      <c r="M334" s="237"/>
    </row>
    <row r="335" spans="1:13" s="234" customFormat="1" ht="30" customHeight="1">
      <c r="A335" s="230" t="s">
        <v>740</v>
      </c>
      <c r="B335" s="236" t="s">
        <v>741</v>
      </c>
      <c r="C335" s="235" t="s">
        <v>109</v>
      </c>
      <c r="D335" s="232">
        <v>3</v>
      </c>
      <c r="E335" s="233">
        <v>13000</v>
      </c>
      <c r="F335" s="233">
        <f t="shared" si="43"/>
        <v>39000</v>
      </c>
      <c r="G335" s="233">
        <v>9200</v>
      </c>
      <c r="H335" s="233">
        <f t="shared" si="44"/>
        <v>27600</v>
      </c>
      <c r="I335" s="233"/>
      <c r="J335" s="233"/>
      <c r="K335" s="233">
        <f t="shared" si="45"/>
        <v>22200</v>
      </c>
      <c r="L335" s="233">
        <f t="shared" si="46"/>
        <v>66600</v>
      </c>
      <c r="M335" s="233"/>
    </row>
    <row r="336" spans="1:13" s="234" customFormat="1" ht="30" customHeight="1">
      <c r="A336" s="236" t="s">
        <v>742</v>
      </c>
      <c r="B336" s="230" t="s">
        <v>743</v>
      </c>
      <c r="C336" s="231" t="s">
        <v>77</v>
      </c>
      <c r="D336" s="232">
        <v>1</v>
      </c>
      <c r="E336" s="233">
        <v>300</v>
      </c>
      <c r="F336" s="233">
        <f t="shared" si="43"/>
        <v>300</v>
      </c>
      <c r="G336" s="233"/>
      <c r="H336" s="233">
        <f t="shared" si="44"/>
        <v>0</v>
      </c>
      <c r="I336" s="233"/>
      <c r="J336" s="233"/>
      <c r="K336" s="233">
        <f t="shared" si="45"/>
        <v>300</v>
      </c>
      <c r="L336" s="233">
        <f t="shared" si="46"/>
        <v>300</v>
      </c>
      <c r="M336" s="237"/>
    </row>
    <row r="337" spans="1:13" s="234" customFormat="1" ht="30" customHeight="1">
      <c r="A337" s="236" t="s">
        <v>742</v>
      </c>
      <c r="B337" s="230" t="s">
        <v>744</v>
      </c>
      <c r="C337" s="231" t="s">
        <v>77</v>
      </c>
      <c r="D337" s="232">
        <v>1</v>
      </c>
      <c r="E337" s="233">
        <v>400</v>
      </c>
      <c r="F337" s="233">
        <f t="shared" si="43"/>
        <v>400</v>
      </c>
      <c r="G337" s="233"/>
      <c r="H337" s="233">
        <f t="shared" si="44"/>
        <v>0</v>
      </c>
      <c r="I337" s="233"/>
      <c r="J337" s="233"/>
      <c r="K337" s="233">
        <f t="shared" si="45"/>
        <v>400</v>
      </c>
      <c r="L337" s="233">
        <f t="shared" si="46"/>
        <v>400</v>
      </c>
      <c r="M337" s="233"/>
    </row>
    <row r="338" spans="1:13" s="234" customFormat="1" ht="30" customHeight="1">
      <c r="A338" s="236" t="s">
        <v>742</v>
      </c>
      <c r="B338" s="230" t="s">
        <v>745</v>
      </c>
      <c r="C338" s="231" t="s">
        <v>77</v>
      </c>
      <c r="D338" s="232">
        <v>3</v>
      </c>
      <c r="E338" s="233">
        <v>1000</v>
      </c>
      <c r="F338" s="233">
        <f t="shared" si="43"/>
        <v>3000</v>
      </c>
      <c r="G338" s="233"/>
      <c r="H338" s="233">
        <f t="shared" si="44"/>
        <v>0</v>
      </c>
      <c r="I338" s="233"/>
      <c r="J338" s="233"/>
      <c r="K338" s="233">
        <f t="shared" si="45"/>
        <v>1000</v>
      </c>
      <c r="L338" s="233">
        <f t="shared" si="46"/>
        <v>3000</v>
      </c>
      <c r="M338" s="233"/>
    </row>
    <row r="339" spans="1:13" s="234" customFormat="1" ht="30" customHeight="1">
      <c r="A339" s="230" t="s">
        <v>746</v>
      </c>
      <c r="B339" s="236" t="s">
        <v>593</v>
      </c>
      <c r="C339" s="235" t="s">
        <v>122</v>
      </c>
      <c r="D339" s="232">
        <v>1</v>
      </c>
      <c r="E339" s="233">
        <v>10000</v>
      </c>
      <c r="F339" s="233">
        <f t="shared" si="43"/>
        <v>10000</v>
      </c>
      <c r="G339" s="233"/>
      <c r="H339" s="233">
        <f t="shared" si="44"/>
        <v>0</v>
      </c>
      <c r="I339" s="233"/>
      <c r="J339" s="233"/>
      <c r="K339" s="233">
        <f t="shared" si="45"/>
        <v>10000</v>
      </c>
      <c r="L339" s="233">
        <f t="shared" si="46"/>
        <v>10000</v>
      </c>
      <c r="M339" s="237"/>
    </row>
    <row r="340" spans="1:13" s="234" customFormat="1" ht="30" customHeight="1">
      <c r="A340" s="230" t="s">
        <v>747</v>
      </c>
      <c r="B340" s="236" t="s">
        <v>593</v>
      </c>
      <c r="C340" s="235" t="s">
        <v>122</v>
      </c>
      <c r="D340" s="232">
        <v>1</v>
      </c>
      <c r="E340" s="233">
        <v>23900</v>
      </c>
      <c r="F340" s="233">
        <f t="shared" si="43"/>
        <v>23900</v>
      </c>
      <c r="G340" s="233"/>
      <c r="H340" s="233">
        <f t="shared" si="44"/>
        <v>0</v>
      </c>
      <c r="I340" s="233"/>
      <c r="J340" s="233"/>
      <c r="K340" s="233">
        <f t="shared" si="45"/>
        <v>23900</v>
      </c>
      <c r="L340" s="233">
        <f t="shared" si="46"/>
        <v>23900</v>
      </c>
      <c r="M340" s="233"/>
    </row>
    <row r="341" spans="1:13" s="234" customFormat="1" ht="30" customHeight="1">
      <c r="A341" s="230" t="s">
        <v>748</v>
      </c>
      <c r="B341" s="236" t="s">
        <v>749</v>
      </c>
      <c r="C341" s="231" t="s">
        <v>216</v>
      </c>
      <c r="D341" s="232">
        <v>60</v>
      </c>
      <c r="E341" s="233">
        <v>1400</v>
      </c>
      <c r="F341" s="233">
        <f t="shared" si="43"/>
        <v>84000</v>
      </c>
      <c r="G341" s="233"/>
      <c r="H341" s="233">
        <f t="shared" si="44"/>
        <v>0</v>
      </c>
      <c r="I341" s="233"/>
      <c r="J341" s="233"/>
      <c r="K341" s="233">
        <f t="shared" si="45"/>
        <v>1400</v>
      </c>
      <c r="L341" s="233">
        <f t="shared" si="46"/>
        <v>84000</v>
      </c>
      <c r="M341" s="233"/>
    </row>
    <row r="342" spans="1:13" s="234" customFormat="1" ht="30" customHeight="1">
      <c r="A342" s="230" t="s">
        <v>750</v>
      </c>
      <c r="B342" s="236" t="s">
        <v>751</v>
      </c>
      <c r="C342" s="235" t="s">
        <v>122</v>
      </c>
      <c r="D342" s="232">
        <v>10</v>
      </c>
      <c r="E342" s="233">
        <v>5000</v>
      </c>
      <c r="F342" s="233">
        <f t="shared" si="43"/>
        <v>50000</v>
      </c>
      <c r="G342" s="233">
        <v>15600</v>
      </c>
      <c r="H342" s="233">
        <f t="shared" si="44"/>
        <v>156000</v>
      </c>
      <c r="I342" s="233"/>
      <c r="J342" s="233"/>
      <c r="K342" s="233">
        <f t="shared" si="45"/>
        <v>20600</v>
      </c>
      <c r="L342" s="233">
        <f t="shared" si="46"/>
        <v>206000</v>
      </c>
      <c r="M342" s="237"/>
    </row>
    <row r="343" spans="1:13" s="234" customFormat="1" ht="30" customHeight="1">
      <c r="A343" s="230" t="s">
        <v>752</v>
      </c>
      <c r="B343" s="236" t="s">
        <v>753</v>
      </c>
      <c r="C343" s="235" t="s">
        <v>122</v>
      </c>
      <c r="D343" s="232">
        <v>2</v>
      </c>
      <c r="E343" s="233">
        <v>7100</v>
      </c>
      <c r="F343" s="233">
        <f t="shared" si="43"/>
        <v>14200</v>
      </c>
      <c r="G343" s="233"/>
      <c r="H343" s="233">
        <f t="shared" si="44"/>
        <v>0</v>
      </c>
      <c r="I343" s="233"/>
      <c r="J343" s="233"/>
      <c r="K343" s="233">
        <f t="shared" si="45"/>
        <v>7100</v>
      </c>
      <c r="L343" s="233">
        <f t="shared" si="46"/>
        <v>14200</v>
      </c>
      <c r="M343" s="237"/>
    </row>
    <row r="344" spans="1:13" s="234" customFormat="1" ht="30" customHeight="1">
      <c r="A344" s="230" t="s">
        <v>754</v>
      </c>
      <c r="B344" s="230" t="s">
        <v>755</v>
      </c>
      <c r="C344" s="231" t="s">
        <v>82</v>
      </c>
      <c r="D344" s="232">
        <v>4</v>
      </c>
      <c r="E344" s="233">
        <v>1900</v>
      </c>
      <c r="F344" s="233">
        <f t="shared" si="43"/>
        <v>7600</v>
      </c>
      <c r="G344" s="233">
        <v>7100</v>
      </c>
      <c r="H344" s="233">
        <f t="shared" si="44"/>
        <v>28400</v>
      </c>
      <c r="I344" s="233"/>
      <c r="J344" s="233"/>
      <c r="K344" s="233">
        <f t="shared" si="45"/>
        <v>9000</v>
      </c>
      <c r="L344" s="233">
        <f t="shared" si="46"/>
        <v>36000</v>
      </c>
      <c r="M344" s="233"/>
    </row>
    <row r="345" spans="1:13" s="234" customFormat="1" ht="30" customHeight="1">
      <c r="A345" s="230" t="s">
        <v>756</v>
      </c>
      <c r="B345" s="236" t="s">
        <v>757</v>
      </c>
      <c r="C345" s="231" t="s">
        <v>82</v>
      </c>
      <c r="D345" s="232">
        <v>4</v>
      </c>
      <c r="E345" s="233">
        <v>1700</v>
      </c>
      <c r="F345" s="233">
        <f t="shared" si="43"/>
        <v>6800</v>
      </c>
      <c r="G345" s="233">
        <v>9500</v>
      </c>
      <c r="H345" s="233">
        <f t="shared" si="44"/>
        <v>38000</v>
      </c>
      <c r="I345" s="233"/>
      <c r="J345" s="233"/>
      <c r="K345" s="233">
        <f t="shared" si="45"/>
        <v>11200</v>
      </c>
      <c r="L345" s="233">
        <f t="shared" si="46"/>
        <v>44800</v>
      </c>
      <c r="M345" s="233"/>
    </row>
    <row r="346" spans="1:13" s="234" customFormat="1" ht="30" customHeight="1">
      <c r="A346" s="230" t="s">
        <v>758</v>
      </c>
      <c r="B346" s="230" t="s">
        <v>759</v>
      </c>
      <c r="C346" s="231" t="s">
        <v>141</v>
      </c>
      <c r="D346" s="238">
        <v>0.15</v>
      </c>
      <c r="E346" s="233">
        <v>201300</v>
      </c>
      <c r="F346" s="233">
        <f t="shared" si="43"/>
        <v>30195</v>
      </c>
      <c r="G346" s="233">
        <v>2406500</v>
      </c>
      <c r="H346" s="233">
        <f t="shared" si="44"/>
        <v>360975</v>
      </c>
      <c r="I346" s="233"/>
      <c r="J346" s="233"/>
      <c r="K346" s="233">
        <f t="shared" si="45"/>
        <v>2607800</v>
      </c>
      <c r="L346" s="233">
        <f t="shared" si="46"/>
        <v>391170</v>
      </c>
      <c r="M346" s="233"/>
    </row>
    <row r="347" spans="1:13" s="234" customFormat="1" ht="30" customHeight="1">
      <c r="A347" s="230" t="s">
        <v>16</v>
      </c>
      <c r="B347" s="230" t="s">
        <v>519</v>
      </c>
      <c r="C347" s="235" t="s">
        <v>165</v>
      </c>
      <c r="D347" s="232">
        <v>6</v>
      </c>
      <c r="E347" s="233"/>
      <c r="F347" s="233">
        <f t="shared" si="43"/>
        <v>0</v>
      </c>
      <c r="G347" s="233">
        <v>159400</v>
      </c>
      <c r="H347" s="233">
        <f t="shared" si="44"/>
        <v>956400</v>
      </c>
      <c r="I347" s="233"/>
      <c r="J347" s="233"/>
      <c r="K347" s="233">
        <f t="shared" si="45"/>
        <v>159400</v>
      </c>
      <c r="L347" s="233">
        <f t="shared" si="46"/>
        <v>956400</v>
      </c>
      <c r="M347" s="233"/>
    </row>
    <row r="348" spans="1:13" s="234" customFormat="1" ht="30" customHeight="1">
      <c r="A348" s="230" t="s">
        <v>16</v>
      </c>
      <c r="B348" s="230" t="s">
        <v>580</v>
      </c>
      <c r="C348" s="235" t="s">
        <v>165</v>
      </c>
      <c r="D348" s="232">
        <v>12</v>
      </c>
      <c r="E348" s="233"/>
      <c r="F348" s="233">
        <f t="shared" si="43"/>
        <v>0</v>
      </c>
      <c r="G348" s="233">
        <v>226200</v>
      </c>
      <c r="H348" s="233">
        <f t="shared" si="44"/>
        <v>2714400</v>
      </c>
      <c r="I348" s="233"/>
      <c r="J348" s="233"/>
      <c r="K348" s="233">
        <f t="shared" si="45"/>
        <v>226200</v>
      </c>
      <c r="L348" s="233">
        <f t="shared" si="46"/>
        <v>2714400</v>
      </c>
      <c r="M348" s="233"/>
    </row>
    <row r="349" spans="1:13" s="234" customFormat="1" ht="30" customHeight="1">
      <c r="A349" s="230" t="s">
        <v>520</v>
      </c>
      <c r="B349" s="230" t="s">
        <v>760</v>
      </c>
      <c r="C349" s="235" t="s">
        <v>55</v>
      </c>
      <c r="D349" s="232">
        <v>1</v>
      </c>
      <c r="E349" s="233">
        <f>TRUNC(SUM(H293:H348)*0.03,0)</f>
        <v>156083</v>
      </c>
      <c r="F349" s="233">
        <f t="shared" si="43"/>
        <v>156083</v>
      </c>
      <c r="G349" s="233"/>
      <c r="H349" s="233">
        <f t="shared" si="44"/>
        <v>0</v>
      </c>
      <c r="I349" s="233"/>
      <c r="J349" s="233"/>
      <c r="K349" s="233">
        <f t="shared" si="45"/>
        <v>156083</v>
      </c>
      <c r="L349" s="233">
        <f t="shared" si="46"/>
        <v>156083</v>
      </c>
      <c r="M349" s="233"/>
    </row>
    <row r="350" spans="1:13" ht="30" customHeight="1">
      <c r="A350" s="239"/>
      <c r="B350" s="205"/>
      <c r="C350" s="210"/>
      <c r="D350" s="240"/>
      <c r="E350" s="212"/>
      <c r="F350" s="176"/>
      <c r="G350" s="212"/>
      <c r="H350" s="176"/>
      <c r="I350" s="241"/>
      <c r="J350" s="241"/>
      <c r="K350" s="176"/>
      <c r="L350" s="176"/>
      <c r="M350" s="205"/>
    </row>
    <row r="351" spans="1:13" ht="30" customHeight="1">
      <c r="A351" s="239"/>
      <c r="B351" s="205"/>
      <c r="C351" s="210"/>
      <c r="D351" s="240"/>
      <c r="E351" s="212"/>
      <c r="F351" s="176"/>
      <c r="G351" s="212"/>
      <c r="H351" s="176"/>
      <c r="I351" s="241"/>
      <c r="J351" s="241"/>
      <c r="K351" s="176"/>
      <c r="L351" s="176"/>
      <c r="M351" s="205"/>
    </row>
    <row r="352" spans="1:13" ht="30" customHeight="1">
      <c r="A352" s="239"/>
      <c r="B352" s="205"/>
      <c r="C352" s="210"/>
      <c r="D352" s="240"/>
      <c r="E352" s="212"/>
      <c r="F352" s="176"/>
      <c r="G352" s="212"/>
      <c r="H352" s="176"/>
      <c r="I352" s="241"/>
      <c r="J352" s="241"/>
      <c r="K352" s="176"/>
      <c r="L352" s="176"/>
      <c r="M352" s="205"/>
    </row>
    <row r="353" spans="1:13" ht="30" customHeight="1">
      <c r="A353" s="239"/>
      <c r="B353" s="205"/>
      <c r="C353" s="210"/>
      <c r="D353" s="240"/>
      <c r="E353" s="212"/>
      <c r="F353" s="176"/>
      <c r="G353" s="212"/>
      <c r="H353" s="176"/>
      <c r="I353" s="241"/>
      <c r="J353" s="241"/>
      <c r="K353" s="176"/>
      <c r="L353" s="176"/>
      <c r="M353" s="205"/>
    </row>
    <row r="354" spans="1:13" ht="30" customHeight="1">
      <c r="A354" s="239"/>
      <c r="B354" s="205"/>
      <c r="C354" s="210"/>
      <c r="D354" s="240"/>
      <c r="E354" s="212"/>
      <c r="F354" s="176"/>
      <c r="G354" s="212"/>
      <c r="H354" s="176"/>
      <c r="I354" s="241"/>
      <c r="J354" s="241"/>
      <c r="K354" s="176"/>
      <c r="L354" s="176"/>
      <c r="M354" s="205"/>
    </row>
    <row r="355" spans="1:13" ht="30" customHeight="1">
      <c r="A355" s="239"/>
      <c r="B355" s="205"/>
      <c r="C355" s="210"/>
      <c r="D355" s="240"/>
      <c r="E355" s="212"/>
      <c r="F355" s="176"/>
      <c r="G355" s="212"/>
      <c r="H355" s="176"/>
      <c r="I355" s="241"/>
      <c r="J355" s="241"/>
      <c r="K355" s="176"/>
      <c r="L355" s="176"/>
      <c r="M355" s="205"/>
    </row>
    <row r="356" spans="1:13" ht="30" customHeight="1">
      <c r="A356" s="239"/>
      <c r="B356" s="205"/>
      <c r="C356" s="210"/>
      <c r="D356" s="240"/>
      <c r="E356" s="212"/>
      <c r="F356" s="176"/>
      <c r="G356" s="212"/>
      <c r="H356" s="176"/>
      <c r="I356" s="241"/>
      <c r="J356" s="241"/>
      <c r="K356" s="176"/>
      <c r="L356" s="176"/>
      <c r="M356" s="205"/>
    </row>
    <row r="357" spans="1:13" ht="30" customHeight="1">
      <c r="A357" s="207" t="s">
        <v>522</v>
      </c>
      <c r="B357" s="200"/>
      <c r="C357" s="201"/>
      <c r="D357" s="202"/>
      <c r="E357" s="203"/>
      <c r="F357" s="212">
        <f>SUM(F293:F356)</f>
        <v>6554620</v>
      </c>
      <c r="G357" s="212"/>
      <c r="H357" s="203">
        <f>SUM(H293:H356)</f>
        <v>5202775</v>
      </c>
      <c r="I357" s="203"/>
      <c r="J357" s="203"/>
      <c r="K357" s="203"/>
      <c r="L357" s="203">
        <f>SUM(L293:L356)</f>
        <v>11757395</v>
      </c>
      <c r="M357" s="200"/>
    </row>
    <row r="358" spans="1:13" ht="30" customHeight="1">
      <c r="A358" s="229" t="s">
        <v>761</v>
      </c>
      <c r="B358" s="197"/>
      <c r="C358" s="226"/>
      <c r="D358" s="227"/>
      <c r="E358" s="196"/>
      <c r="F358" s="196"/>
      <c r="G358" s="196"/>
      <c r="H358" s="196"/>
      <c r="I358" s="196"/>
      <c r="J358" s="196"/>
      <c r="K358" s="196"/>
      <c r="L358" s="196"/>
      <c r="M358" s="197"/>
    </row>
    <row r="359" spans="1:13" ht="30" customHeight="1">
      <c r="A359" s="230" t="s">
        <v>681</v>
      </c>
      <c r="B359" s="230" t="s">
        <v>683</v>
      </c>
      <c r="C359" s="231" t="s">
        <v>124</v>
      </c>
      <c r="D359" s="232">
        <v>348</v>
      </c>
      <c r="E359" s="233">
        <v>4200</v>
      </c>
      <c r="F359" s="233">
        <f t="shared" ref="F359:F390" si="47">D359*E359</f>
        <v>1461600</v>
      </c>
      <c r="G359" s="233"/>
      <c r="H359" s="233">
        <f t="shared" ref="H359:H390" si="48">D359*G359</f>
        <v>0</v>
      </c>
      <c r="I359" s="233"/>
      <c r="J359" s="233"/>
      <c r="K359" s="233">
        <f t="shared" ref="K359:L366" si="49">E359+G359+I359</f>
        <v>4200</v>
      </c>
      <c r="L359" s="233">
        <f t="shared" si="49"/>
        <v>1461600</v>
      </c>
      <c r="M359" s="233"/>
    </row>
    <row r="360" spans="1:13" ht="30" customHeight="1">
      <c r="A360" s="230" t="s">
        <v>681</v>
      </c>
      <c r="B360" s="230" t="s">
        <v>762</v>
      </c>
      <c r="C360" s="231" t="s">
        <v>124</v>
      </c>
      <c r="D360" s="232">
        <v>86</v>
      </c>
      <c r="E360" s="233">
        <v>5400</v>
      </c>
      <c r="F360" s="233">
        <f t="shared" si="47"/>
        <v>464400</v>
      </c>
      <c r="G360" s="233"/>
      <c r="H360" s="233">
        <f t="shared" si="48"/>
        <v>0</v>
      </c>
      <c r="I360" s="233"/>
      <c r="J360" s="233"/>
      <c r="K360" s="233">
        <f t="shared" si="49"/>
        <v>5400</v>
      </c>
      <c r="L360" s="233">
        <f t="shared" si="49"/>
        <v>464400</v>
      </c>
      <c r="M360" s="233"/>
    </row>
    <row r="361" spans="1:13" ht="30" customHeight="1">
      <c r="A361" s="230" t="s">
        <v>681</v>
      </c>
      <c r="B361" s="230" t="s">
        <v>763</v>
      </c>
      <c r="C361" s="231" t="s">
        <v>124</v>
      </c>
      <c r="D361" s="232">
        <v>66</v>
      </c>
      <c r="E361" s="233">
        <v>6200</v>
      </c>
      <c r="F361" s="233">
        <f t="shared" si="47"/>
        <v>409200</v>
      </c>
      <c r="G361" s="233"/>
      <c r="H361" s="233">
        <f t="shared" si="48"/>
        <v>0</v>
      </c>
      <c r="I361" s="233"/>
      <c r="J361" s="233"/>
      <c r="K361" s="233">
        <f t="shared" si="49"/>
        <v>6200</v>
      </c>
      <c r="L361" s="233">
        <f t="shared" si="49"/>
        <v>409200</v>
      </c>
      <c r="M361" s="233"/>
    </row>
    <row r="362" spans="1:13" ht="30" customHeight="1">
      <c r="A362" s="230" t="s">
        <v>681</v>
      </c>
      <c r="B362" s="230" t="s">
        <v>684</v>
      </c>
      <c r="C362" s="231" t="s">
        <v>124</v>
      </c>
      <c r="D362" s="232">
        <v>40</v>
      </c>
      <c r="E362" s="233">
        <v>8700</v>
      </c>
      <c r="F362" s="233">
        <f t="shared" si="47"/>
        <v>348000</v>
      </c>
      <c r="G362" s="233"/>
      <c r="H362" s="233">
        <f t="shared" si="48"/>
        <v>0</v>
      </c>
      <c r="I362" s="233"/>
      <c r="J362" s="233"/>
      <c r="K362" s="233">
        <f t="shared" si="49"/>
        <v>8700</v>
      </c>
      <c r="L362" s="233">
        <f t="shared" si="49"/>
        <v>348000</v>
      </c>
      <c r="M362" s="233"/>
    </row>
    <row r="363" spans="1:13" ht="30" customHeight="1">
      <c r="A363" s="230" t="s">
        <v>685</v>
      </c>
      <c r="B363" s="230" t="s">
        <v>764</v>
      </c>
      <c r="C363" s="231" t="s">
        <v>124</v>
      </c>
      <c r="D363" s="232">
        <v>90</v>
      </c>
      <c r="E363" s="233">
        <v>11200</v>
      </c>
      <c r="F363" s="233">
        <f t="shared" si="47"/>
        <v>1008000</v>
      </c>
      <c r="G363" s="233"/>
      <c r="H363" s="233">
        <f t="shared" si="48"/>
        <v>0</v>
      </c>
      <c r="I363" s="233"/>
      <c r="J363" s="233"/>
      <c r="K363" s="233">
        <f t="shared" si="49"/>
        <v>11200</v>
      </c>
      <c r="L363" s="233">
        <f t="shared" si="49"/>
        <v>1008000</v>
      </c>
      <c r="M363" s="233"/>
    </row>
    <row r="364" spans="1:13" ht="30" customHeight="1">
      <c r="A364" s="230" t="s">
        <v>685</v>
      </c>
      <c r="B364" s="230" t="s">
        <v>765</v>
      </c>
      <c r="C364" s="231" t="s">
        <v>124</v>
      </c>
      <c r="D364" s="232">
        <v>84</v>
      </c>
      <c r="E364" s="233">
        <v>14400</v>
      </c>
      <c r="F364" s="233">
        <f t="shared" si="47"/>
        <v>1209600</v>
      </c>
      <c r="G364" s="233"/>
      <c r="H364" s="233">
        <f t="shared" si="48"/>
        <v>0</v>
      </c>
      <c r="I364" s="233"/>
      <c r="J364" s="233"/>
      <c r="K364" s="233">
        <f t="shared" si="49"/>
        <v>14400</v>
      </c>
      <c r="L364" s="233">
        <f t="shared" si="49"/>
        <v>1209600</v>
      </c>
      <c r="M364" s="233"/>
    </row>
    <row r="365" spans="1:13" ht="30" customHeight="1">
      <c r="A365" s="230" t="s">
        <v>685</v>
      </c>
      <c r="B365" s="230" t="s">
        <v>686</v>
      </c>
      <c r="C365" s="231" t="s">
        <v>124</v>
      </c>
      <c r="D365" s="232">
        <v>95</v>
      </c>
      <c r="E365" s="233">
        <v>20800</v>
      </c>
      <c r="F365" s="233">
        <f t="shared" si="47"/>
        <v>1976000</v>
      </c>
      <c r="G365" s="233"/>
      <c r="H365" s="233">
        <f t="shared" si="48"/>
        <v>0</v>
      </c>
      <c r="I365" s="233"/>
      <c r="J365" s="233"/>
      <c r="K365" s="233">
        <f t="shared" si="49"/>
        <v>20800</v>
      </c>
      <c r="L365" s="233">
        <f t="shared" si="49"/>
        <v>1976000</v>
      </c>
      <c r="M365" s="233"/>
    </row>
    <row r="366" spans="1:13" ht="30" customHeight="1">
      <c r="A366" s="230" t="s">
        <v>687</v>
      </c>
      <c r="B366" s="230" t="s">
        <v>688</v>
      </c>
      <c r="C366" s="235" t="s">
        <v>55</v>
      </c>
      <c r="D366" s="232">
        <v>1</v>
      </c>
      <c r="E366" s="233">
        <f>TRUNC(SUM(F359:F365)*0.03,0)</f>
        <v>206304</v>
      </c>
      <c r="F366" s="233">
        <f t="shared" si="47"/>
        <v>206304</v>
      </c>
      <c r="G366" s="233"/>
      <c r="H366" s="233">
        <f t="shared" si="48"/>
        <v>0</v>
      </c>
      <c r="I366" s="233"/>
      <c r="J366" s="233"/>
      <c r="K366" s="233">
        <f t="shared" si="49"/>
        <v>206304</v>
      </c>
      <c r="L366" s="233">
        <f t="shared" si="49"/>
        <v>206304</v>
      </c>
      <c r="M366" s="233"/>
    </row>
    <row r="367" spans="1:13" s="245" customFormat="1" ht="28.5" customHeight="1">
      <c r="A367" s="242" t="s">
        <v>766</v>
      </c>
      <c r="B367" s="243" t="s">
        <v>690</v>
      </c>
      <c r="C367" s="232" t="s">
        <v>124</v>
      </c>
      <c r="D367" s="232">
        <v>348</v>
      </c>
      <c r="E367" s="233">
        <v>3600</v>
      </c>
      <c r="F367" s="233">
        <f t="shared" si="47"/>
        <v>1252800</v>
      </c>
      <c r="G367" s="233">
        <v>4500</v>
      </c>
      <c r="H367" s="233">
        <f t="shared" si="48"/>
        <v>1566000</v>
      </c>
      <c r="I367" s="233"/>
      <c r="J367" s="233"/>
      <c r="K367" s="233">
        <f t="shared" ref="K367:L372" si="50">TRUNC(E367+G367+I367)</f>
        <v>8100</v>
      </c>
      <c r="L367" s="233">
        <f t="shared" si="50"/>
        <v>2818800</v>
      </c>
      <c r="M367" s="244"/>
    </row>
    <row r="368" spans="1:13" s="245" customFormat="1" ht="28.5" customHeight="1">
      <c r="A368" s="242" t="s">
        <v>766</v>
      </c>
      <c r="B368" s="243" t="s">
        <v>767</v>
      </c>
      <c r="C368" s="232" t="s">
        <v>124</v>
      </c>
      <c r="D368" s="232">
        <v>86</v>
      </c>
      <c r="E368" s="233">
        <v>4000</v>
      </c>
      <c r="F368" s="233">
        <f t="shared" si="47"/>
        <v>344000</v>
      </c>
      <c r="G368" s="233">
        <v>5200</v>
      </c>
      <c r="H368" s="233">
        <f t="shared" si="48"/>
        <v>447200</v>
      </c>
      <c r="I368" s="233"/>
      <c r="J368" s="233"/>
      <c r="K368" s="233">
        <f t="shared" si="50"/>
        <v>9200</v>
      </c>
      <c r="L368" s="233">
        <f t="shared" si="50"/>
        <v>791200</v>
      </c>
      <c r="M368" s="244"/>
    </row>
    <row r="369" spans="1:13" s="245" customFormat="1" ht="28.5" customHeight="1">
      <c r="A369" s="242" t="s">
        <v>766</v>
      </c>
      <c r="B369" s="243" t="s">
        <v>768</v>
      </c>
      <c r="C369" s="232" t="s">
        <v>124</v>
      </c>
      <c r="D369" s="232">
        <v>66</v>
      </c>
      <c r="E369" s="233">
        <v>4300</v>
      </c>
      <c r="F369" s="233">
        <f t="shared" si="47"/>
        <v>283800</v>
      </c>
      <c r="G369" s="233">
        <v>6100</v>
      </c>
      <c r="H369" s="233">
        <f t="shared" si="48"/>
        <v>402600</v>
      </c>
      <c r="I369" s="233"/>
      <c r="J369" s="233"/>
      <c r="K369" s="233">
        <f t="shared" si="50"/>
        <v>10400</v>
      </c>
      <c r="L369" s="233">
        <f t="shared" si="50"/>
        <v>686400</v>
      </c>
      <c r="M369" s="244"/>
    </row>
    <row r="370" spans="1:13" s="245" customFormat="1" ht="28.5" customHeight="1">
      <c r="A370" s="242" t="s">
        <v>766</v>
      </c>
      <c r="B370" s="243" t="s">
        <v>691</v>
      </c>
      <c r="C370" s="232" t="s">
        <v>124</v>
      </c>
      <c r="D370" s="232">
        <v>38</v>
      </c>
      <c r="E370" s="233">
        <v>4400</v>
      </c>
      <c r="F370" s="233">
        <f t="shared" si="47"/>
        <v>167200</v>
      </c>
      <c r="G370" s="233">
        <v>7100</v>
      </c>
      <c r="H370" s="233">
        <f t="shared" si="48"/>
        <v>269800</v>
      </c>
      <c r="I370" s="233"/>
      <c r="J370" s="233"/>
      <c r="K370" s="233">
        <f t="shared" si="50"/>
        <v>11500</v>
      </c>
      <c r="L370" s="233">
        <f t="shared" si="50"/>
        <v>437000</v>
      </c>
      <c r="M370" s="244"/>
    </row>
    <row r="371" spans="1:13" s="245" customFormat="1" ht="28.5" customHeight="1">
      <c r="A371" s="242" t="s">
        <v>766</v>
      </c>
      <c r="B371" s="243" t="s">
        <v>769</v>
      </c>
      <c r="C371" s="232" t="s">
        <v>124</v>
      </c>
      <c r="D371" s="232">
        <v>90</v>
      </c>
      <c r="E371" s="233">
        <v>5200</v>
      </c>
      <c r="F371" s="233">
        <f t="shared" si="47"/>
        <v>468000</v>
      </c>
      <c r="G371" s="233">
        <v>8400</v>
      </c>
      <c r="H371" s="233">
        <f t="shared" si="48"/>
        <v>756000</v>
      </c>
      <c r="I371" s="233"/>
      <c r="J371" s="233"/>
      <c r="K371" s="233">
        <f t="shared" si="50"/>
        <v>13600</v>
      </c>
      <c r="L371" s="233">
        <f t="shared" si="50"/>
        <v>1224000</v>
      </c>
      <c r="M371" s="244"/>
    </row>
    <row r="372" spans="1:13" s="245" customFormat="1" ht="28.5" customHeight="1">
      <c r="A372" s="242" t="s">
        <v>766</v>
      </c>
      <c r="B372" s="243" t="s">
        <v>770</v>
      </c>
      <c r="C372" s="232" t="s">
        <v>124</v>
      </c>
      <c r="D372" s="232">
        <v>80</v>
      </c>
      <c r="E372" s="233">
        <v>6300</v>
      </c>
      <c r="F372" s="233">
        <f t="shared" si="47"/>
        <v>504000</v>
      </c>
      <c r="G372" s="233">
        <v>10100</v>
      </c>
      <c r="H372" s="233">
        <f t="shared" si="48"/>
        <v>808000</v>
      </c>
      <c r="I372" s="233"/>
      <c r="J372" s="233"/>
      <c r="K372" s="233">
        <f t="shared" si="50"/>
        <v>16400</v>
      </c>
      <c r="L372" s="233">
        <f t="shared" si="50"/>
        <v>1312000</v>
      </c>
      <c r="M372" s="244"/>
    </row>
    <row r="373" spans="1:13" s="234" customFormat="1" ht="30" customHeight="1">
      <c r="A373" s="230" t="s">
        <v>689</v>
      </c>
      <c r="B373" s="236" t="s">
        <v>692</v>
      </c>
      <c r="C373" s="231" t="s">
        <v>124</v>
      </c>
      <c r="D373" s="232">
        <v>92</v>
      </c>
      <c r="E373" s="233">
        <v>9600</v>
      </c>
      <c r="F373" s="233">
        <f t="shared" si="47"/>
        <v>883200</v>
      </c>
      <c r="G373" s="233">
        <v>12000</v>
      </c>
      <c r="H373" s="233">
        <f t="shared" si="48"/>
        <v>1104000</v>
      </c>
      <c r="I373" s="233"/>
      <c r="J373" s="233"/>
      <c r="K373" s="233">
        <f t="shared" ref="K373:K404" si="51">E373+G373+I373</f>
        <v>21600</v>
      </c>
      <c r="L373" s="233">
        <f t="shared" ref="L373:L404" si="52">F373+H373+J373</f>
        <v>1987200</v>
      </c>
      <c r="M373" s="237"/>
    </row>
    <row r="374" spans="1:13" ht="30" customHeight="1">
      <c r="A374" s="230" t="s">
        <v>693</v>
      </c>
      <c r="B374" s="230" t="s">
        <v>694</v>
      </c>
      <c r="C374" s="231" t="s">
        <v>77</v>
      </c>
      <c r="D374" s="232">
        <v>25</v>
      </c>
      <c r="E374" s="233">
        <v>1600</v>
      </c>
      <c r="F374" s="233">
        <f t="shared" si="47"/>
        <v>40000</v>
      </c>
      <c r="G374" s="233"/>
      <c r="H374" s="233">
        <f t="shared" si="48"/>
        <v>0</v>
      </c>
      <c r="I374" s="233"/>
      <c r="J374" s="233"/>
      <c r="K374" s="233">
        <f t="shared" si="51"/>
        <v>1600</v>
      </c>
      <c r="L374" s="233">
        <f t="shared" si="52"/>
        <v>40000</v>
      </c>
      <c r="M374" s="233"/>
    </row>
    <row r="375" spans="1:13" ht="30" customHeight="1">
      <c r="A375" s="230" t="s">
        <v>693</v>
      </c>
      <c r="B375" s="230" t="s">
        <v>771</v>
      </c>
      <c r="C375" s="231" t="s">
        <v>77</v>
      </c>
      <c r="D375" s="232">
        <v>16</v>
      </c>
      <c r="E375" s="233">
        <v>2400</v>
      </c>
      <c r="F375" s="233">
        <f t="shared" si="47"/>
        <v>38400</v>
      </c>
      <c r="G375" s="233"/>
      <c r="H375" s="233">
        <f t="shared" si="48"/>
        <v>0</v>
      </c>
      <c r="I375" s="233"/>
      <c r="J375" s="233"/>
      <c r="K375" s="233">
        <f t="shared" si="51"/>
        <v>2400</v>
      </c>
      <c r="L375" s="233">
        <f t="shared" si="52"/>
        <v>38400</v>
      </c>
      <c r="M375" s="237"/>
    </row>
    <row r="376" spans="1:13" ht="30" customHeight="1">
      <c r="A376" s="230" t="s">
        <v>693</v>
      </c>
      <c r="B376" s="230" t="s">
        <v>772</v>
      </c>
      <c r="C376" s="231" t="s">
        <v>77</v>
      </c>
      <c r="D376" s="232">
        <v>13</v>
      </c>
      <c r="E376" s="233">
        <v>3100</v>
      </c>
      <c r="F376" s="233">
        <f t="shared" si="47"/>
        <v>40300</v>
      </c>
      <c r="G376" s="233"/>
      <c r="H376" s="233">
        <f t="shared" si="48"/>
        <v>0</v>
      </c>
      <c r="I376" s="233"/>
      <c r="J376" s="233"/>
      <c r="K376" s="233">
        <f t="shared" si="51"/>
        <v>3100</v>
      </c>
      <c r="L376" s="233">
        <f t="shared" si="52"/>
        <v>40300</v>
      </c>
      <c r="M376" s="233"/>
    </row>
    <row r="377" spans="1:13" ht="30" customHeight="1">
      <c r="A377" s="230" t="s">
        <v>693</v>
      </c>
      <c r="B377" s="230" t="s">
        <v>695</v>
      </c>
      <c r="C377" s="231" t="s">
        <v>77</v>
      </c>
      <c r="D377" s="232">
        <v>9</v>
      </c>
      <c r="E377" s="233">
        <v>4800</v>
      </c>
      <c r="F377" s="233">
        <f t="shared" si="47"/>
        <v>43200</v>
      </c>
      <c r="G377" s="233"/>
      <c r="H377" s="233">
        <f t="shared" si="48"/>
        <v>0</v>
      </c>
      <c r="I377" s="233"/>
      <c r="J377" s="233"/>
      <c r="K377" s="233">
        <f t="shared" si="51"/>
        <v>4800</v>
      </c>
      <c r="L377" s="233">
        <f t="shared" si="52"/>
        <v>43200</v>
      </c>
      <c r="M377" s="233"/>
    </row>
    <row r="378" spans="1:13" ht="30" customHeight="1">
      <c r="A378" s="230" t="s">
        <v>693</v>
      </c>
      <c r="B378" s="230" t="s">
        <v>773</v>
      </c>
      <c r="C378" s="231" t="s">
        <v>77</v>
      </c>
      <c r="D378" s="232">
        <v>48</v>
      </c>
      <c r="E378" s="233">
        <v>2300</v>
      </c>
      <c r="F378" s="233">
        <f t="shared" si="47"/>
        <v>110400</v>
      </c>
      <c r="G378" s="233"/>
      <c r="H378" s="233">
        <f t="shared" si="48"/>
        <v>0</v>
      </c>
      <c r="I378" s="233"/>
      <c r="J378" s="233"/>
      <c r="K378" s="233">
        <f t="shared" si="51"/>
        <v>2300</v>
      </c>
      <c r="L378" s="233">
        <f t="shared" si="52"/>
        <v>110400</v>
      </c>
      <c r="M378" s="233"/>
    </row>
    <row r="379" spans="1:13" ht="30" customHeight="1">
      <c r="A379" s="230" t="s">
        <v>693</v>
      </c>
      <c r="B379" s="230" t="s">
        <v>774</v>
      </c>
      <c r="C379" s="231" t="s">
        <v>77</v>
      </c>
      <c r="D379" s="232">
        <v>32</v>
      </c>
      <c r="E379" s="233">
        <v>3100</v>
      </c>
      <c r="F379" s="233">
        <f t="shared" si="47"/>
        <v>99200</v>
      </c>
      <c r="G379" s="233"/>
      <c r="H379" s="233">
        <f t="shared" si="48"/>
        <v>0</v>
      </c>
      <c r="I379" s="233"/>
      <c r="J379" s="233"/>
      <c r="K379" s="233">
        <f t="shared" si="51"/>
        <v>3100</v>
      </c>
      <c r="L379" s="233">
        <f t="shared" si="52"/>
        <v>99200</v>
      </c>
      <c r="M379" s="233"/>
    </row>
    <row r="380" spans="1:13" ht="30" customHeight="1">
      <c r="A380" s="230" t="s">
        <v>693</v>
      </c>
      <c r="B380" s="230" t="s">
        <v>775</v>
      </c>
      <c r="C380" s="231" t="s">
        <v>77</v>
      </c>
      <c r="D380" s="232">
        <v>25</v>
      </c>
      <c r="E380" s="233">
        <v>4200</v>
      </c>
      <c r="F380" s="233">
        <f t="shared" si="47"/>
        <v>105000</v>
      </c>
      <c r="G380" s="233"/>
      <c r="H380" s="233">
        <f t="shared" si="48"/>
        <v>0</v>
      </c>
      <c r="I380" s="233"/>
      <c r="J380" s="233"/>
      <c r="K380" s="233">
        <f t="shared" si="51"/>
        <v>4200</v>
      </c>
      <c r="L380" s="233">
        <f t="shared" si="52"/>
        <v>105000</v>
      </c>
      <c r="M380" s="233"/>
    </row>
    <row r="381" spans="1:13" ht="30" customHeight="1">
      <c r="A381" s="230" t="s">
        <v>693</v>
      </c>
      <c r="B381" s="230" t="s">
        <v>696</v>
      </c>
      <c r="C381" s="231" t="s">
        <v>77</v>
      </c>
      <c r="D381" s="232">
        <v>20</v>
      </c>
      <c r="E381" s="233">
        <v>6100</v>
      </c>
      <c r="F381" s="233">
        <f t="shared" si="47"/>
        <v>122000</v>
      </c>
      <c r="G381" s="233"/>
      <c r="H381" s="233">
        <f t="shared" si="48"/>
        <v>0</v>
      </c>
      <c r="I381" s="233"/>
      <c r="J381" s="233"/>
      <c r="K381" s="233">
        <f t="shared" si="51"/>
        <v>6100</v>
      </c>
      <c r="L381" s="233">
        <f t="shared" si="52"/>
        <v>122000</v>
      </c>
      <c r="M381" s="233"/>
    </row>
    <row r="382" spans="1:13" ht="30" customHeight="1">
      <c r="A382" s="230" t="s">
        <v>693</v>
      </c>
      <c r="B382" s="230" t="s">
        <v>776</v>
      </c>
      <c r="C382" s="231" t="s">
        <v>77</v>
      </c>
      <c r="D382" s="232">
        <v>159</v>
      </c>
      <c r="E382" s="233">
        <v>1500</v>
      </c>
      <c r="F382" s="233">
        <f t="shared" si="47"/>
        <v>238500</v>
      </c>
      <c r="G382" s="233"/>
      <c r="H382" s="233">
        <f t="shared" si="48"/>
        <v>0</v>
      </c>
      <c r="I382" s="233"/>
      <c r="J382" s="233"/>
      <c r="K382" s="233">
        <f t="shared" si="51"/>
        <v>1500</v>
      </c>
      <c r="L382" s="233">
        <f t="shared" si="52"/>
        <v>238500</v>
      </c>
      <c r="M382" s="233"/>
    </row>
    <row r="383" spans="1:13" ht="30" customHeight="1">
      <c r="A383" s="230" t="s">
        <v>693</v>
      </c>
      <c r="B383" s="230" t="s">
        <v>777</v>
      </c>
      <c r="C383" s="231" t="s">
        <v>77</v>
      </c>
      <c r="D383" s="232">
        <v>40</v>
      </c>
      <c r="E383" s="233">
        <v>1900</v>
      </c>
      <c r="F383" s="233">
        <f t="shared" si="47"/>
        <v>76000</v>
      </c>
      <c r="G383" s="233"/>
      <c r="H383" s="233">
        <f t="shared" si="48"/>
        <v>0</v>
      </c>
      <c r="I383" s="233"/>
      <c r="J383" s="233"/>
      <c r="K383" s="233">
        <f t="shared" si="51"/>
        <v>1900</v>
      </c>
      <c r="L383" s="233">
        <f t="shared" si="52"/>
        <v>76000</v>
      </c>
      <c r="M383" s="233"/>
    </row>
    <row r="384" spans="1:13" ht="30" customHeight="1">
      <c r="A384" s="230" t="s">
        <v>693</v>
      </c>
      <c r="B384" s="230" t="s">
        <v>778</v>
      </c>
      <c r="C384" s="231" t="s">
        <v>77</v>
      </c>
      <c r="D384" s="232">
        <v>36</v>
      </c>
      <c r="E384" s="233">
        <v>2300</v>
      </c>
      <c r="F384" s="233">
        <f t="shared" si="47"/>
        <v>82800</v>
      </c>
      <c r="G384" s="233"/>
      <c r="H384" s="233">
        <f t="shared" si="48"/>
        <v>0</v>
      </c>
      <c r="I384" s="233"/>
      <c r="J384" s="233"/>
      <c r="K384" s="233">
        <f t="shared" si="51"/>
        <v>2300</v>
      </c>
      <c r="L384" s="233">
        <f t="shared" si="52"/>
        <v>82800</v>
      </c>
      <c r="M384" s="233"/>
    </row>
    <row r="385" spans="1:13" ht="30" customHeight="1">
      <c r="A385" s="230" t="s">
        <v>693</v>
      </c>
      <c r="B385" s="230" t="s">
        <v>779</v>
      </c>
      <c r="C385" s="231" t="s">
        <v>77</v>
      </c>
      <c r="D385" s="232">
        <v>97</v>
      </c>
      <c r="E385" s="233">
        <v>1100</v>
      </c>
      <c r="F385" s="233">
        <f t="shared" si="47"/>
        <v>106700</v>
      </c>
      <c r="G385" s="233"/>
      <c r="H385" s="233">
        <f t="shared" si="48"/>
        <v>0</v>
      </c>
      <c r="I385" s="233"/>
      <c r="J385" s="233"/>
      <c r="K385" s="233">
        <f t="shared" si="51"/>
        <v>1100</v>
      </c>
      <c r="L385" s="233">
        <f t="shared" si="52"/>
        <v>106700</v>
      </c>
      <c r="M385" s="233"/>
    </row>
    <row r="386" spans="1:13" ht="30" customHeight="1">
      <c r="A386" s="230" t="s">
        <v>693</v>
      </c>
      <c r="B386" s="230" t="s">
        <v>780</v>
      </c>
      <c r="C386" s="231" t="s">
        <v>77</v>
      </c>
      <c r="D386" s="232">
        <v>1</v>
      </c>
      <c r="E386" s="233">
        <v>2700</v>
      </c>
      <c r="F386" s="233">
        <f t="shared" si="47"/>
        <v>2700</v>
      </c>
      <c r="G386" s="233"/>
      <c r="H386" s="233">
        <f t="shared" si="48"/>
        <v>0</v>
      </c>
      <c r="I386" s="233"/>
      <c r="J386" s="233"/>
      <c r="K386" s="233">
        <f t="shared" si="51"/>
        <v>2700</v>
      </c>
      <c r="L386" s="233">
        <f t="shared" si="52"/>
        <v>2700</v>
      </c>
      <c r="M386" s="237"/>
    </row>
    <row r="387" spans="1:13" ht="30" customHeight="1">
      <c r="A387" s="230" t="s">
        <v>693</v>
      </c>
      <c r="B387" s="230" t="s">
        <v>703</v>
      </c>
      <c r="C387" s="231" t="s">
        <v>77</v>
      </c>
      <c r="D387" s="232">
        <v>3</v>
      </c>
      <c r="E387" s="233">
        <v>11700</v>
      </c>
      <c r="F387" s="233">
        <f t="shared" si="47"/>
        <v>35100</v>
      </c>
      <c r="G387" s="233"/>
      <c r="H387" s="233">
        <f t="shared" si="48"/>
        <v>0</v>
      </c>
      <c r="I387" s="233"/>
      <c r="J387" s="233"/>
      <c r="K387" s="233">
        <f t="shared" si="51"/>
        <v>11700</v>
      </c>
      <c r="L387" s="233">
        <f t="shared" si="52"/>
        <v>35100</v>
      </c>
      <c r="M387" s="237"/>
    </row>
    <row r="388" spans="1:13" ht="30" customHeight="1">
      <c r="A388" s="230" t="s">
        <v>704</v>
      </c>
      <c r="B388" s="236" t="s">
        <v>781</v>
      </c>
      <c r="C388" s="231" t="s">
        <v>77</v>
      </c>
      <c r="D388" s="232">
        <v>6</v>
      </c>
      <c r="E388" s="233">
        <v>20600</v>
      </c>
      <c r="F388" s="233">
        <f t="shared" si="47"/>
        <v>123600</v>
      </c>
      <c r="G388" s="233"/>
      <c r="H388" s="233">
        <f t="shared" si="48"/>
        <v>0</v>
      </c>
      <c r="I388" s="233"/>
      <c r="J388" s="233"/>
      <c r="K388" s="233">
        <f t="shared" si="51"/>
        <v>20600</v>
      </c>
      <c r="L388" s="233">
        <f t="shared" si="52"/>
        <v>123600</v>
      </c>
      <c r="M388" s="237"/>
    </row>
    <row r="389" spans="1:13" ht="30" customHeight="1">
      <c r="A389" s="230" t="s">
        <v>704</v>
      </c>
      <c r="B389" s="236" t="s">
        <v>612</v>
      </c>
      <c r="C389" s="231" t="s">
        <v>77</v>
      </c>
      <c r="D389" s="232">
        <v>16</v>
      </c>
      <c r="E389" s="233">
        <v>25600</v>
      </c>
      <c r="F389" s="233">
        <f t="shared" si="47"/>
        <v>409600</v>
      </c>
      <c r="G389" s="233"/>
      <c r="H389" s="233">
        <f t="shared" si="48"/>
        <v>0</v>
      </c>
      <c r="I389" s="233"/>
      <c r="J389" s="233"/>
      <c r="K389" s="233">
        <f t="shared" si="51"/>
        <v>25600</v>
      </c>
      <c r="L389" s="233">
        <f t="shared" si="52"/>
        <v>409600</v>
      </c>
      <c r="M389" s="233"/>
    </row>
    <row r="390" spans="1:13" ht="30" customHeight="1">
      <c r="A390" s="230" t="s">
        <v>705</v>
      </c>
      <c r="B390" s="236" t="s">
        <v>612</v>
      </c>
      <c r="C390" s="231" t="s">
        <v>77</v>
      </c>
      <c r="D390" s="232">
        <v>26</v>
      </c>
      <c r="E390" s="233">
        <v>9400</v>
      </c>
      <c r="F390" s="233">
        <f t="shared" si="47"/>
        <v>244400</v>
      </c>
      <c r="G390" s="233"/>
      <c r="H390" s="233">
        <f t="shared" si="48"/>
        <v>0</v>
      </c>
      <c r="I390" s="233"/>
      <c r="J390" s="233"/>
      <c r="K390" s="233">
        <f t="shared" si="51"/>
        <v>9400</v>
      </c>
      <c r="L390" s="233">
        <f t="shared" si="52"/>
        <v>244400</v>
      </c>
      <c r="M390" s="233"/>
    </row>
    <row r="391" spans="1:13" ht="30" customHeight="1">
      <c r="A391" s="230" t="s">
        <v>706</v>
      </c>
      <c r="B391" s="236" t="s">
        <v>781</v>
      </c>
      <c r="C391" s="231" t="s">
        <v>77</v>
      </c>
      <c r="D391" s="232">
        <v>21</v>
      </c>
      <c r="E391" s="233">
        <v>23800</v>
      </c>
      <c r="F391" s="233">
        <f t="shared" ref="F391:F422" si="53">D391*E391</f>
        <v>499800</v>
      </c>
      <c r="G391" s="233"/>
      <c r="H391" s="233">
        <f t="shared" ref="H391:H422" si="54">D391*G391</f>
        <v>0</v>
      </c>
      <c r="I391" s="233"/>
      <c r="J391" s="233"/>
      <c r="K391" s="233">
        <f t="shared" si="51"/>
        <v>23800</v>
      </c>
      <c r="L391" s="233">
        <f t="shared" si="52"/>
        <v>499800</v>
      </c>
      <c r="M391" s="233"/>
    </row>
    <row r="392" spans="1:13" ht="30" customHeight="1">
      <c r="A392" s="230" t="s">
        <v>706</v>
      </c>
      <c r="B392" s="236" t="s">
        <v>612</v>
      </c>
      <c r="C392" s="231" t="s">
        <v>77</v>
      </c>
      <c r="D392" s="232">
        <v>29</v>
      </c>
      <c r="E392" s="233">
        <v>27100</v>
      </c>
      <c r="F392" s="233">
        <f t="shared" si="53"/>
        <v>785900</v>
      </c>
      <c r="G392" s="233"/>
      <c r="H392" s="233">
        <f t="shared" si="54"/>
        <v>0</v>
      </c>
      <c r="I392" s="233"/>
      <c r="J392" s="233"/>
      <c r="K392" s="233">
        <f t="shared" si="51"/>
        <v>27100</v>
      </c>
      <c r="L392" s="233">
        <f t="shared" si="52"/>
        <v>785900</v>
      </c>
      <c r="M392" s="233"/>
    </row>
    <row r="393" spans="1:13" ht="30" customHeight="1">
      <c r="A393" s="230" t="s">
        <v>782</v>
      </c>
      <c r="B393" s="236" t="s">
        <v>612</v>
      </c>
      <c r="C393" s="231" t="s">
        <v>77</v>
      </c>
      <c r="D393" s="232">
        <v>3</v>
      </c>
      <c r="E393" s="233">
        <v>11200</v>
      </c>
      <c r="F393" s="233">
        <f t="shared" si="53"/>
        <v>33600</v>
      </c>
      <c r="G393" s="233"/>
      <c r="H393" s="233">
        <f t="shared" si="54"/>
        <v>0</v>
      </c>
      <c r="I393" s="233"/>
      <c r="J393" s="233"/>
      <c r="K393" s="233">
        <f t="shared" si="51"/>
        <v>11200</v>
      </c>
      <c r="L393" s="233">
        <f t="shared" si="52"/>
        <v>33600</v>
      </c>
      <c r="M393" s="237"/>
    </row>
    <row r="394" spans="1:13" ht="30" customHeight="1">
      <c r="A394" s="230" t="s">
        <v>782</v>
      </c>
      <c r="B394" s="236" t="s">
        <v>593</v>
      </c>
      <c r="C394" s="231" t="s">
        <v>77</v>
      </c>
      <c r="D394" s="232">
        <v>3</v>
      </c>
      <c r="E394" s="233">
        <v>14200</v>
      </c>
      <c r="F394" s="233">
        <f t="shared" si="53"/>
        <v>42600</v>
      </c>
      <c r="G394" s="233"/>
      <c r="H394" s="233">
        <f t="shared" si="54"/>
        <v>0</v>
      </c>
      <c r="I394" s="233"/>
      <c r="J394" s="233"/>
      <c r="K394" s="233">
        <f t="shared" si="51"/>
        <v>14200</v>
      </c>
      <c r="L394" s="233">
        <f t="shared" si="52"/>
        <v>42600</v>
      </c>
      <c r="M394" s="237"/>
    </row>
    <row r="395" spans="1:13" ht="30" customHeight="1">
      <c r="A395" s="230" t="s">
        <v>782</v>
      </c>
      <c r="B395" s="236" t="s">
        <v>783</v>
      </c>
      <c r="C395" s="231" t="s">
        <v>77</v>
      </c>
      <c r="D395" s="232">
        <v>6</v>
      </c>
      <c r="E395" s="233">
        <v>26600</v>
      </c>
      <c r="F395" s="233">
        <f t="shared" si="53"/>
        <v>159600</v>
      </c>
      <c r="G395" s="233"/>
      <c r="H395" s="233">
        <f t="shared" si="54"/>
        <v>0</v>
      </c>
      <c r="I395" s="233"/>
      <c r="J395" s="233"/>
      <c r="K395" s="233">
        <f t="shared" si="51"/>
        <v>26600</v>
      </c>
      <c r="L395" s="233">
        <f t="shared" si="52"/>
        <v>159600</v>
      </c>
      <c r="M395" s="237"/>
    </row>
    <row r="396" spans="1:13" ht="30" customHeight="1">
      <c r="A396" s="230" t="s">
        <v>708</v>
      </c>
      <c r="B396" s="236" t="s">
        <v>781</v>
      </c>
      <c r="C396" s="231" t="s">
        <v>77</v>
      </c>
      <c r="D396" s="232">
        <v>60</v>
      </c>
      <c r="E396" s="233">
        <v>5600</v>
      </c>
      <c r="F396" s="233">
        <f t="shared" si="53"/>
        <v>336000</v>
      </c>
      <c r="G396" s="233"/>
      <c r="H396" s="233">
        <f t="shared" si="54"/>
        <v>0</v>
      </c>
      <c r="I396" s="233"/>
      <c r="J396" s="233"/>
      <c r="K396" s="233">
        <f t="shared" si="51"/>
        <v>5600</v>
      </c>
      <c r="L396" s="233">
        <f t="shared" si="52"/>
        <v>336000</v>
      </c>
      <c r="M396" s="233"/>
    </row>
    <row r="397" spans="1:13" ht="30" customHeight="1">
      <c r="A397" s="246" t="s">
        <v>708</v>
      </c>
      <c r="B397" s="247" t="s">
        <v>612</v>
      </c>
      <c r="C397" s="248" t="s">
        <v>77</v>
      </c>
      <c r="D397" s="209">
        <v>98</v>
      </c>
      <c r="E397" s="203">
        <v>6200</v>
      </c>
      <c r="F397" s="203">
        <f t="shared" si="53"/>
        <v>607600</v>
      </c>
      <c r="G397" s="203"/>
      <c r="H397" s="203">
        <f t="shared" si="54"/>
        <v>0</v>
      </c>
      <c r="I397" s="203"/>
      <c r="J397" s="203"/>
      <c r="K397" s="203">
        <f t="shared" si="51"/>
        <v>6200</v>
      </c>
      <c r="L397" s="203">
        <f t="shared" si="52"/>
        <v>607600</v>
      </c>
      <c r="M397" s="203"/>
    </row>
    <row r="398" spans="1:13" ht="30" customHeight="1">
      <c r="A398" s="200" t="s">
        <v>784</v>
      </c>
      <c r="B398" s="200" t="s">
        <v>785</v>
      </c>
      <c r="C398" s="201" t="s">
        <v>77</v>
      </c>
      <c r="D398" s="202">
        <v>20</v>
      </c>
      <c r="E398" s="203">
        <v>29900</v>
      </c>
      <c r="F398" s="203">
        <f t="shared" si="53"/>
        <v>598000</v>
      </c>
      <c r="G398" s="203"/>
      <c r="H398" s="203">
        <f t="shared" si="54"/>
        <v>0</v>
      </c>
      <c r="I398" s="203"/>
      <c r="J398" s="203"/>
      <c r="K398" s="203">
        <f t="shared" si="51"/>
        <v>29900</v>
      </c>
      <c r="L398" s="203">
        <f t="shared" si="52"/>
        <v>598000</v>
      </c>
      <c r="M398" s="200"/>
    </row>
    <row r="399" spans="1:13" ht="30" customHeight="1">
      <c r="A399" s="199" t="s">
        <v>786</v>
      </c>
      <c r="B399" s="200"/>
      <c r="C399" s="201" t="s">
        <v>77</v>
      </c>
      <c r="D399" s="202">
        <v>20</v>
      </c>
      <c r="E399" s="203">
        <v>3700</v>
      </c>
      <c r="F399" s="203">
        <f t="shared" si="53"/>
        <v>74000</v>
      </c>
      <c r="G399" s="203"/>
      <c r="H399" s="203">
        <f t="shared" si="54"/>
        <v>0</v>
      </c>
      <c r="I399" s="203"/>
      <c r="J399" s="203"/>
      <c r="K399" s="203">
        <f t="shared" si="51"/>
        <v>3700</v>
      </c>
      <c r="L399" s="203">
        <f t="shared" si="52"/>
        <v>74000</v>
      </c>
      <c r="M399" s="199"/>
    </row>
    <row r="400" spans="1:13" ht="30" customHeight="1">
      <c r="A400" s="199" t="s">
        <v>787</v>
      </c>
      <c r="B400" s="200" t="s">
        <v>788</v>
      </c>
      <c r="C400" s="201" t="s">
        <v>739</v>
      </c>
      <c r="D400" s="202">
        <v>7</v>
      </c>
      <c r="E400" s="203">
        <v>31600</v>
      </c>
      <c r="F400" s="203">
        <f t="shared" si="53"/>
        <v>221200</v>
      </c>
      <c r="G400" s="203"/>
      <c r="H400" s="203">
        <f t="shared" si="54"/>
        <v>0</v>
      </c>
      <c r="I400" s="203"/>
      <c r="J400" s="203"/>
      <c r="K400" s="203">
        <f t="shared" si="51"/>
        <v>31600</v>
      </c>
      <c r="L400" s="203">
        <f t="shared" si="52"/>
        <v>221200</v>
      </c>
      <c r="M400" s="199"/>
    </row>
    <row r="401" spans="1:13" ht="30" customHeight="1">
      <c r="A401" s="199" t="s">
        <v>789</v>
      </c>
      <c r="B401" s="200" t="s">
        <v>790</v>
      </c>
      <c r="C401" s="201" t="s">
        <v>739</v>
      </c>
      <c r="D401" s="202">
        <v>4</v>
      </c>
      <c r="E401" s="203">
        <v>79100</v>
      </c>
      <c r="F401" s="203">
        <f t="shared" si="53"/>
        <v>316400</v>
      </c>
      <c r="G401" s="203"/>
      <c r="H401" s="203">
        <f t="shared" si="54"/>
        <v>0</v>
      </c>
      <c r="I401" s="203"/>
      <c r="J401" s="203"/>
      <c r="K401" s="203">
        <f t="shared" si="51"/>
        <v>79100</v>
      </c>
      <c r="L401" s="203">
        <f t="shared" si="52"/>
        <v>316400</v>
      </c>
      <c r="M401" s="199"/>
    </row>
    <row r="402" spans="1:13" ht="30" customHeight="1">
      <c r="A402" s="199" t="s">
        <v>791</v>
      </c>
      <c r="B402" s="200" t="s">
        <v>792</v>
      </c>
      <c r="C402" s="201" t="s">
        <v>739</v>
      </c>
      <c r="D402" s="202">
        <v>1</v>
      </c>
      <c r="E402" s="203">
        <v>143600</v>
      </c>
      <c r="F402" s="203">
        <f t="shared" si="53"/>
        <v>143600</v>
      </c>
      <c r="G402" s="203"/>
      <c r="H402" s="203">
        <f t="shared" si="54"/>
        <v>0</v>
      </c>
      <c r="I402" s="203"/>
      <c r="J402" s="203"/>
      <c r="K402" s="203">
        <f t="shared" si="51"/>
        <v>143600</v>
      </c>
      <c r="L402" s="203">
        <f t="shared" si="52"/>
        <v>143600</v>
      </c>
      <c r="M402" s="200"/>
    </row>
    <row r="403" spans="1:13" ht="30" customHeight="1">
      <c r="A403" s="199" t="s">
        <v>791</v>
      </c>
      <c r="B403" s="200" t="s">
        <v>793</v>
      </c>
      <c r="C403" s="201" t="s">
        <v>739</v>
      </c>
      <c r="D403" s="202">
        <v>1</v>
      </c>
      <c r="E403" s="203">
        <v>146500</v>
      </c>
      <c r="F403" s="203">
        <f t="shared" si="53"/>
        <v>146500</v>
      </c>
      <c r="G403" s="203"/>
      <c r="H403" s="203">
        <f t="shared" si="54"/>
        <v>0</v>
      </c>
      <c r="I403" s="203"/>
      <c r="J403" s="203"/>
      <c r="K403" s="203">
        <f t="shared" si="51"/>
        <v>146500</v>
      </c>
      <c r="L403" s="203">
        <f t="shared" si="52"/>
        <v>146500</v>
      </c>
      <c r="M403" s="200"/>
    </row>
    <row r="404" spans="1:13" ht="30" customHeight="1">
      <c r="A404" s="199" t="s">
        <v>791</v>
      </c>
      <c r="B404" s="200" t="s">
        <v>794</v>
      </c>
      <c r="C404" s="201" t="s">
        <v>739</v>
      </c>
      <c r="D404" s="202">
        <v>1</v>
      </c>
      <c r="E404" s="203">
        <v>149900</v>
      </c>
      <c r="F404" s="203">
        <f t="shared" si="53"/>
        <v>149900</v>
      </c>
      <c r="G404" s="203"/>
      <c r="H404" s="203">
        <f t="shared" si="54"/>
        <v>0</v>
      </c>
      <c r="I404" s="203"/>
      <c r="J404" s="203"/>
      <c r="K404" s="203">
        <f t="shared" si="51"/>
        <v>149900</v>
      </c>
      <c r="L404" s="203">
        <f t="shared" si="52"/>
        <v>149900</v>
      </c>
      <c r="M404" s="199"/>
    </row>
    <row r="405" spans="1:13" ht="30" customHeight="1">
      <c r="A405" s="199" t="s">
        <v>791</v>
      </c>
      <c r="B405" s="200" t="s">
        <v>795</v>
      </c>
      <c r="C405" s="201" t="s">
        <v>739</v>
      </c>
      <c r="D405" s="202">
        <v>1</v>
      </c>
      <c r="E405" s="203">
        <v>154000</v>
      </c>
      <c r="F405" s="203">
        <f t="shared" si="53"/>
        <v>154000</v>
      </c>
      <c r="G405" s="203"/>
      <c r="H405" s="203">
        <f t="shared" si="54"/>
        <v>0</v>
      </c>
      <c r="I405" s="203"/>
      <c r="J405" s="203"/>
      <c r="K405" s="203">
        <f t="shared" ref="K405:K432" si="55">E405+G405+I405</f>
        <v>154000</v>
      </c>
      <c r="L405" s="203">
        <f t="shared" ref="L405:L432" si="56">F405+H405+J405</f>
        <v>154000</v>
      </c>
      <c r="M405" s="199"/>
    </row>
    <row r="406" spans="1:13" ht="30" customHeight="1">
      <c r="A406" s="208" t="s">
        <v>796</v>
      </c>
      <c r="B406" s="205" t="s">
        <v>797</v>
      </c>
      <c r="C406" s="210" t="s">
        <v>77</v>
      </c>
      <c r="D406" s="228">
        <v>1</v>
      </c>
      <c r="E406" s="212">
        <v>157500</v>
      </c>
      <c r="F406" s="212">
        <f t="shared" si="53"/>
        <v>157500</v>
      </c>
      <c r="G406" s="212"/>
      <c r="H406" s="203">
        <f t="shared" si="54"/>
        <v>0</v>
      </c>
      <c r="I406" s="203"/>
      <c r="J406" s="203"/>
      <c r="K406" s="203">
        <f t="shared" si="55"/>
        <v>157500</v>
      </c>
      <c r="L406" s="203">
        <f t="shared" si="56"/>
        <v>157500</v>
      </c>
      <c r="M406" s="205"/>
    </row>
    <row r="407" spans="1:13" ht="30" customHeight="1">
      <c r="A407" s="208" t="s">
        <v>798</v>
      </c>
      <c r="B407" s="205" t="s">
        <v>797</v>
      </c>
      <c r="C407" s="210" t="s">
        <v>77</v>
      </c>
      <c r="D407" s="228">
        <v>2</v>
      </c>
      <c r="E407" s="212">
        <v>157500</v>
      </c>
      <c r="F407" s="212">
        <f t="shared" si="53"/>
        <v>315000</v>
      </c>
      <c r="G407" s="212"/>
      <c r="H407" s="203">
        <f t="shared" si="54"/>
        <v>0</v>
      </c>
      <c r="I407" s="203"/>
      <c r="J407" s="203"/>
      <c r="K407" s="203">
        <f t="shared" si="55"/>
        <v>157500</v>
      </c>
      <c r="L407" s="203">
        <f t="shared" si="56"/>
        <v>315000</v>
      </c>
      <c r="M407" s="205"/>
    </row>
    <row r="408" spans="1:13" ht="30" customHeight="1">
      <c r="A408" s="208" t="s">
        <v>799</v>
      </c>
      <c r="B408" s="205" t="s">
        <v>800</v>
      </c>
      <c r="C408" s="210" t="s">
        <v>77</v>
      </c>
      <c r="D408" s="228">
        <v>4</v>
      </c>
      <c r="E408" s="212">
        <v>274800</v>
      </c>
      <c r="F408" s="212">
        <f t="shared" si="53"/>
        <v>1099200</v>
      </c>
      <c r="G408" s="212"/>
      <c r="H408" s="203">
        <f t="shared" si="54"/>
        <v>0</v>
      </c>
      <c r="I408" s="203"/>
      <c r="J408" s="203"/>
      <c r="K408" s="203">
        <f t="shared" si="55"/>
        <v>274800</v>
      </c>
      <c r="L408" s="203">
        <f t="shared" si="56"/>
        <v>1099200</v>
      </c>
      <c r="M408" s="208"/>
    </row>
    <row r="409" spans="1:13" ht="30" customHeight="1">
      <c r="A409" s="208" t="s">
        <v>801</v>
      </c>
      <c r="B409" s="208" t="s">
        <v>802</v>
      </c>
      <c r="C409" s="210" t="s">
        <v>77</v>
      </c>
      <c r="D409" s="228">
        <v>3</v>
      </c>
      <c r="E409" s="212">
        <v>7900</v>
      </c>
      <c r="F409" s="212">
        <f t="shared" si="53"/>
        <v>23700</v>
      </c>
      <c r="G409" s="212"/>
      <c r="H409" s="203">
        <f t="shared" si="54"/>
        <v>0</v>
      </c>
      <c r="I409" s="203"/>
      <c r="J409" s="203"/>
      <c r="K409" s="203">
        <f t="shared" si="55"/>
        <v>7900</v>
      </c>
      <c r="L409" s="203">
        <f t="shared" si="56"/>
        <v>23700</v>
      </c>
      <c r="M409" s="208"/>
    </row>
    <row r="410" spans="1:13" ht="30" customHeight="1">
      <c r="A410" s="208" t="s">
        <v>801</v>
      </c>
      <c r="B410" s="208" t="s">
        <v>803</v>
      </c>
      <c r="C410" s="210" t="s">
        <v>77</v>
      </c>
      <c r="D410" s="228">
        <v>37</v>
      </c>
      <c r="E410" s="212">
        <v>6300</v>
      </c>
      <c r="F410" s="212">
        <f t="shared" si="53"/>
        <v>233100</v>
      </c>
      <c r="G410" s="212"/>
      <c r="H410" s="203">
        <f t="shared" si="54"/>
        <v>0</v>
      </c>
      <c r="I410" s="203"/>
      <c r="J410" s="203"/>
      <c r="K410" s="203">
        <f t="shared" si="55"/>
        <v>6300</v>
      </c>
      <c r="L410" s="203">
        <f t="shared" si="56"/>
        <v>233100</v>
      </c>
      <c r="M410" s="205"/>
    </row>
    <row r="411" spans="1:13" s="234" customFormat="1" ht="30" customHeight="1">
      <c r="A411" s="230" t="s">
        <v>716</v>
      </c>
      <c r="B411" s="230" t="s">
        <v>718</v>
      </c>
      <c r="C411" s="231" t="s">
        <v>77</v>
      </c>
      <c r="D411" s="232">
        <v>2</v>
      </c>
      <c r="E411" s="233">
        <v>79600</v>
      </c>
      <c r="F411" s="233">
        <f t="shared" si="53"/>
        <v>159200</v>
      </c>
      <c r="G411" s="233"/>
      <c r="H411" s="233">
        <f t="shared" si="54"/>
        <v>0</v>
      </c>
      <c r="I411" s="233"/>
      <c r="J411" s="233"/>
      <c r="K411" s="233">
        <f t="shared" si="55"/>
        <v>79600</v>
      </c>
      <c r="L411" s="233">
        <f t="shared" si="56"/>
        <v>159200</v>
      </c>
      <c r="M411" s="233"/>
    </row>
    <row r="412" spans="1:13" s="234" customFormat="1" ht="30" customHeight="1">
      <c r="A412" s="230" t="s">
        <v>711</v>
      </c>
      <c r="B412" s="236" t="s">
        <v>804</v>
      </c>
      <c r="C412" s="231" t="s">
        <v>77</v>
      </c>
      <c r="D412" s="232">
        <v>4</v>
      </c>
      <c r="E412" s="233">
        <v>95800</v>
      </c>
      <c r="F412" s="233">
        <f t="shared" si="53"/>
        <v>383200</v>
      </c>
      <c r="G412" s="233"/>
      <c r="H412" s="233">
        <f t="shared" si="54"/>
        <v>0</v>
      </c>
      <c r="I412" s="233"/>
      <c r="J412" s="233"/>
      <c r="K412" s="233">
        <f t="shared" si="55"/>
        <v>95800</v>
      </c>
      <c r="L412" s="233">
        <f t="shared" si="56"/>
        <v>383200</v>
      </c>
      <c r="M412" s="237"/>
    </row>
    <row r="413" spans="1:13" ht="30" customHeight="1">
      <c r="A413" s="230" t="s">
        <v>805</v>
      </c>
      <c r="B413" s="236" t="s">
        <v>541</v>
      </c>
      <c r="C413" s="235" t="s">
        <v>122</v>
      </c>
      <c r="D413" s="232">
        <v>98</v>
      </c>
      <c r="E413" s="233">
        <v>1700</v>
      </c>
      <c r="F413" s="233">
        <f t="shared" si="53"/>
        <v>166600</v>
      </c>
      <c r="G413" s="233"/>
      <c r="H413" s="233">
        <f t="shared" si="54"/>
        <v>0</v>
      </c>
      <c r="I413" s="233"/>
      <c r="J413" s="233"/>
      <c r="K413" s="233">
        <f t="shared" si="55"/>
        <v>1700</v>
      </c>
      <c r="L413" s="233">
        <f t="shared" si="56"/>
        <v>166600</v>
      </c>
      <c r="M413" s="233"/>
    </row>
    <row r="414" spans="1:13" ht="30" customHeight="1">
      <c r="A414" s="230" t="s">
        <v>805</v>
      </c>
      <c r="B414" s="236" t="s">
        <v>567</v>
      </c>
      <c r="C414" s="235" t="s">
        <v>122</v>
      </c>
      <c r="D414" s="232">
        <v>48</v>
      </c>
      <c r="E414" s="233">
        <v>1700</v>
      </c>
      <c r="F414" s="233">
        <f t="shared" si="53"/>
        <v>81600</v>
      </c>
      <c r="G414" s="233"/>
      <c r="H414" s="233">
        <f t="shared" si="54"/>
        <v>0</v>
      </c>
      <c r="I414" s="233"/>
      <c r="J414" s="233"/>
      <c r="K414" s="233">
        <f t="shared" si="55"/>
        <v>1700</v>
      </c>
      <c r="L414" s="233">
        <f t="shared" si="56"/>
        <v>81600</v>
      </c>
      <c r="M414" s="233"/>
    </row>
    <row r="415" spans="1:13" ht="30" customHeight="1">
      <c r="A415" s="230" t="s">
        <v>805</v>
      </c>
      <c r="B415" s="236" t="s">
        <v>710</v>
      </c>
      <c r="C415" s="235" t="s">
        <v>122</v>
      </c>
      <c r="D415" s="232">
        <v>20</v>
      </c>
      <c r="E415" s="233">
        <v>1800</v>
      </c>
      <c r="F415" s="233">
        <f t="shared" si="53"/>
        <v>36000</v>
      </c>
      <c r="G415" s="233"/>
      <c r="H415" s="233">
        <f t="shared" si="54"/>
        <v>0</v>
      </c>
      <c r="I415" s="233"/>
      <c r="J415" s="233"/>
      <c r="K415" s="233">
        <f t="shared" si="55"/>
        <v>1800</v>
      </c>
      <c r="L415" s="233">
        <f t="shared" si="56"/>
        <v>36000</v>
      </c>
      <c r="M415" s="233"/>
    </row>
    <row r="416" spans="1:13" ht="30" customHeight="1">
      <c r="A416" s="230" t="s">
        <v>805</v>
      </c>
      <c r="B416" s="236" t="s">
        <v>591</v>
      </c>
      <c r="C416" s="235" t="s">
        <v>122</v>
      </c>
      <c r="D416" s="232">
        <v>3</v>
      </c>
      <c r="E416" s="233">
        <v>2400</v>
      </c>
      <c r="F416" s="233">
        <f t="shared" si="53"/>
        <v>7200</v>
      </c>
      <c r="G416" s="233"/>
      <c r="H416" s="233">
        <f t="shared" si="54"/>
        <v>0</v>
      </c>
      <c r="I416" s="233"/>
      <c r="J416" s="233"/>
      <c r="K416" s="233">
        <f t="shared" si="55"/>
        <v>2400</v>
      </c>
      <c r="L416" s="233">
        <f t="shared" si="56"/>
        <v>7200</v>
      </c>
      <c r="M416" s="233"/>
    </row>
    <row r="417" spans="1:13" ht="30" customHeight="1">
      <c r="A417" s="236" t="s">
        <v>742</v>
      </c>
      <c r="B417" s="230" t="s">
        <v>744</v>
      </c>
      <c r="C417" s="231" t="s">
        <v>77</v>
      </c>
      <c r="D417" s="232">
        <v>1</v>
      </c>
      <c r="E417" s="233">
        <v>400</v>
      </c>
      <c r="F417" s="233">
        <f t="shared" si="53"/>
        <v>400</v>
      </c>
      <c r="G417" s="233"/>
      <c r="H417" s="233">
        <f t="shared" si="54"/>
        <v>0</v>
      </c>
      <c r="I417" s="233"/>
      <c r="J417" s="233"/>
      <c r="K417" s="233">
        <f t="shared" si="55"/>
        <v>400</v>
      </c>
      <c r="L417" s="233">
        <f t="shared" si="56"/>
        <v>400</v>
      </c>
      <c r="M417" s="233"/>
    </row>
    <row r="418" spans="1:13" ht="30" customHeight="1">
      <c r="A418" s="236" t="s">
        <v>742</v>
      </c>
      <c r="B418" s="230" t="s">
        <v>806</v>
      </c>
      <c r="C418" s="231" t="s">
        <v>77</v>
      </c>
      <c r="D418" s="232">
        <v>12</v>
      </c>
      <c r="E418" s="233">
        <v>600</v>
      </c>
      <c r="F418" s="233">
        <f t="shared" si="53"/>
        <v>7200</v>
      </c>
      <c r="G418" s="233"/>
      <c r="H418" s="233">
        <f t="shared" si="54"/>
        <v>0</v>
      </c>
      <c r="I418" s="233"/>
      <c r="J418" s="233"/>
      <c r="K418" s="233">
        <f t="shared" si="55"/>
        <v>600</v>
      </c>
      <c r="L418" s="233">
        <f t="shared" si="56"/>
        <v>7200</v>
      </c>
      <c r="M418" s="237"/>
    </row>
    <row r="419" spans="1:13" ht="30" customHeight="1">
      <c r="A419" s="236" t="s">
        <v>742</v>
      </c>
      <c r="B419" s="230" t="s">
        <v>807</v>
      </c>
      <c r="C419" s="231" t="s">
        <v>77</v>
      </c>
      <c r="D419" s="232">
        <v>15</v>
      </c>
      <c r="E419" s="233">
        <v>800</v>
      </c>
      <c r="F419" s="233">
        <f t="shared" si="53"/>
        <v>12000</v>
      </c>
      <c r="G419" s="233"/>
      <c r="H419" s="233">
        <f t="shared" si="54"/>
        <v>0</v>
      </c>
      <c r="I419" s="233"/>
      <c r="J419" s="233"/>
      <c r="K419" s="233">
        <f t="shared" si="55"/>
        <v>800</v>
      </c>
      <c r="L419" s="233">
        <f t="shared" si="56"/>
        <v>12000</v>
      </c>
      <c r="M419" s="233"/>
    </row>
    <row r="420" spans="1:13" ht="30" customHeight="1">
      <c r="A420" s="236" t="s">
        <v>742</v>
      </c>
      <c r="B420" s="230" t="s">
        <v>745</v>
      </c>
      <c r="C420" s="231" t="s">
        <v>77</v>
      </c>
      <c r="D420" s="232">
        <v>6</v>
      </c>
      <c r="E420" s="233">
        <v>1000</v>
      </c>
      <c r="F420" s="233">
        <f t="shared" si="53"/>
        <v>6000</v>
      </c>
      <c r="G420" s="233"/>
      <c r="H420" s="233">
        <f t="shared" si="54"/>
        <v>0</v>
      </c>
      <c r="I420" s="233"/>
      <c r="J420" s="233"/>
      <c r="K420" s="233">
        <f t="shared" si="55"/>
        <v>1000</v>
      </c>
      <c r="L420" s="233">
        <f t="shared" si="56"/>
        <v>6000</v>
      </c>
      <c r="M420" s="233"/>
    </row>
    <row r="421" spans="1:13" ht="30" customHeight="1">
      <c r="A421" s="236" t="s">
        <v>742</v>
      </c>
      <c r="B421" s="230" t="s">
        <v>808</v>
      </c>
      <c r="C421" s="231" t="s">
        <v>77</v>
      </c>
      <c r="D421" s="232">
        <v>12</v>
      </c>
      <c r="E421" s="233">
        <v>1600</v>
      </c>
      <c r="F421" s="233">
        <f t="shared" si="53"/>
        <v>19200</v>
      </c>
      <c r="G421" s="233"/>
      <c r="H421" s="233">
        <f t="shared" si="54"/>
        <v>0</v>
      </c>
      <c r="I421" s="233"/>
      <c r="J421" s="233"/>
      <c r="K421" s="233">
        <f t="shared" si="55"/>
        <v>1600</v>
      </c>
      <c r="L421" s="233">
        <f t="shared" si="56"/>
        <v>19200</v>
      </c>
      <c r="M421" s="237"/>
    </row>
    <row r="422" spans="1:13" ht="30" customHeight="1">
      <c r="A422" s="230" t="s">
        <v>746</v>
      </c>
      <c r="B422" s="236" t="s">
        <v>591</v>
      </c>
      <c r="C422" s="235" t="s">
        <v>122</v>
      </c>
      <c r="D422" s="232">
        <v>1</v>
      </c>
      <c r="E422" s="233">
        <v>5000</v>
      </c>
      <c r="F422" s="233">
        <f t="shared" si="53"/>
        <v>5000</v>
      </c>
      <c r="G422" s="233"/>
      <c r="H422" s="233">
        <f t="shared" si="54"/>
        <v>0</v>
      </c>
      <c r="I422" s="233"/>
      <c r="J422" s="233"/>
      <c r="K422" s="233">
        <f t="shared" si="55"/>
        <v>5000</v>
      </c>
      <c r="L422" s="233">
        <f t="shared" si="56"/>
        <v>5000</v>
      </c>
      <c r="M422" s="237"/>
    </row>
    <row r="423" spans="1:13" ht="30" customHeight="1">
      <c r="A423" s="230" t="s">
        <v>746</v>
      </c>
      <c r="B423" s="236" t="s">
        <v>783</v>
      </c>
      <c r="C423" s="235" t="s">
        <v>122</v>
      </c>
      <c r="D423" s="232">
        <v>3</v>
      </c>
      <c r="E423" s="233">
        <v>15000</v>
      </c>
      <c r="F423" s="233">
        <f t="shared" ref="F423:F432" si="57">D423*E423</f>
        <v>45000</v>
      </c>
      <c r="G423" s="233"/>
      <c r="H423" s="233">
        <f t="shared" ref="H423:H432" si="58">D423*G423</f>
        <v>0</v>
      </c>
      <c r="I423" s="233"/>
      <c r="J423" s="233"/>
      <c r="K423" s="233">
        <f t="shared" si="55"/>
        <v>15000</v>
      </c>
      <c r="L423" s="233">
        <f t="shared" si="56"/>
        <v>45000</v>
      </c>
      <c r="M423" s="237"/>
    </row>
    <row r="424" spans="1:13" ht="30" customHeight="1">
      <c r="A424" s="230" t="s">
        <v>809</v>
      </c>
      <c r="B424" s="236" t="s">
        <v>591</v>
      </c>
      <c r="C424" s="235" t="s">
        <v>122</v>
      </c>
      <c r="D424" s="232">
        <v>1</v>
      </c>
      <c r="E424" s="233">
        <v>16800</v>
      </c>
      <c r="F424" s="233">
        <f t="shared" si="57"/>
        <v>16800</v>
      </c>
      <c r="G424" s="233"/>
      <c r="H424" s="233">
        <f t="shared" si="58"/>
        <v>0</v>
      </c>
      <c r="I424" s="233"/>
      <c r="J424" s="233"/>
      <c r="K424" s="233">
        <f t="shared" si="55"/>
        <v>16800</v>
      </c>
      <c r="L424" s="233">
        <f t="shared" si="56"/>
        <v>16800</v>
      </c>
      <c r="M424" s="233"/>
    </row>
    <row r="425" spans="1:13" ht="30" customHeight="1">
      <c r="A425" s="230" t="s">
        <v>747</v>
      </c>
      <c r="B425" s="236" t="s">
        <v>783</v>
      </c>
      <c r="C425" s="235" t="s">
        <v>122</v>
      </c>
      <c r="D425" s="232">
        <v>3</v>
      </c>
      <c r="E425" s="233">
        <v>27500</v>
      </c>
      <c r="F425" s="233">
        <f t="shared" si="57"/>
        <v>82500</v>
      </c>
      <c r="G425" s="233"/>
      <c r="H425" s="233">
        <f t="shared" si="58"/>
        <v>0</v>
      </c>
      <c r="I425" s="233"/>
      <c r="J425" s="233"/>
      <c r="K425" s="233">
        <f t="shared" si="55"/>
        <v>27500</v>
      </c>
      <c r="L425" s="233">
        <f t="shared" si="56"/>
        <v>82500</v>
      </c>
      <c r="M425" s="237"/>
    </row>
    <row r="426" spans="1:13" ht="30" customHeight="1">
      <c r="A426" s="230" t="s">
        <v>810</v>
      </c>
      <c r="B426" s="230" t="s">
        <v>811</v>
      </c>
      <c r="C426" s="231" t="s">
        <v>216</v>
      </c>
      <c r="D426" s="232">
        <v>155</v>
      </c>
      <c r="E426" s="233">
        <v>1400</v>
      </c>
      <c r="F426" s="233">
        <f t="shared" si="57"/>
        <v>217000</v>
      </c>
      <c r="G426" s="233"/>
      <c r="H426" s="233">
        <f t="shared" si="58"/>
        <v>0</v>
      </c>
      <c r="I426" s="233"/>
      <c r="J426" s="233"/>
      <c r="K426" s="233">
        <f t="shared" si="55"/>
        <v>1400</v>
      </c>
      <c r="L426" s="233">
        <f t="shared" si="56"/>
        <v>217000</v>
      </c>
      <c r="M426" s="233"/>
    </row>
    <row r="427" spans="1:13" ht="30" customHeight="1">
      <c r="A427" s="230" t="s">
        <v>750</v>
      </c>
      <c r="B427" s="236" t="s">
        <v>751</v>
      </c>
      <c r="C427" s="235" t="s">
        <v>122</v>
      </c>
      <c r="D427" s="232">
        <v>12</v>
      </c>
      <c r="E427" s="233">
        <v>5000</v>
      </c>
      <c r="F427" s="233">
        <f t="shared" si="57"/>
        <v>60000</v>
      </c>
      <c r="G427" s="233">
        <v>15600</v>
      </c>
      <c r="H427" s="233">
        <f t="shared" si="58"/>
        <v>187200</v>
      </c>
      <c r="I427" s="233"/>
      <c r="J427" s="233"/>
      <c r="K427" s="233">
        <f t="shared" si="55"/>
        <v>20600</v>
      </c>
      <c r="L427" s="233">
        <f t="shared" si="56"/>
        <v>247200</v>
      </c>
      <c r="M427" s="237"/>
    </row>
    <row r="428" spans="1:13" ht="30" customHeight="1">
      <c r="A428" s="230" t="s">
        <v>754</v>
      </c>
      <c r="B428" s="230" t="s">
        <v>755</v>
      </c>
      <c r="C428" s="231" t="s">
        <v>82</v>
      </c>
      <c r="D428" s="232">
        <v>12</v>
      </c>
      <c r="E428" s="233">
        <v>1900</v>
      </c>
      <c r="F428" s="233">
        <f t="shared" si="57"/>
        <v>22800</v>
      </c>
      <c r="G428" s="233">
        <v>7100</v>
      </c>
      <c r="H428" s="233">
        <f t="shared" si="58"/>
        <v>85200</v>
      </c>
      <c r="I428" s="233"/>
      <c r="J428" s="233"/>
      <c r="K428" s="233">
        <f t="shared" si="55"/>
        <v>9000</v>
      </c>
      <c r="L428" s="233">
        <f t="shared" si="56"/>
        <v>108000</v>
      </c>
      <c r="M428" s="233"/>
    </row>
    <row r="429" spans="1:13" ht="30" customHeight="1">
      <c r="A429" s="230" t="s">
        <v>756</v>
      </c>
      <c r="B429" s="236" t="s">
        <v>757</v>
      </c>
      <c r="C429" s="231" t="s">
        <v>82</v>
      </c>
      <c r="D429" s="232">
        <v>10</v>
      </c>
      <c r="E429" s="233">
        <v>1700</v>
      </c>
      <c r="F429" s="233">
        <f t="shared" si="57"/>
        <v>17000</v>
      </c>
      <c r="G429" s="233">
        <v>9500</v>
      </c>
      <c r="H429" s="233">
        <f t="shared" si="58"/>
        <v>95000</v>
      </c>
      <c r="I429" s="233"/>
      <c r="J429" s="233"/>
      <c r="K429" s="233">
        <f t="shared" si="55"/>
        <v>11200</v>
      </c>
      <c r="L429" s="233">
        <f t="shared" si="56"/>
        <v>112000</v>
      </c>
      <c r="M429" s="233"/>
    </row>
    <row r="430" spans="1:13" ht="30" customHeight="1">
      <c r="A430" s="230" t="s">
        <v>16</v>
      </c>
      <c r="B430" s="230" t="s">
        <v>519</v>
      </c>
      <c r="C430" s="235" t="s">
        <v>165</v>
      </c>
      <c r="D430" s="232">
        <v>15</v>
      </c>
      <c r="E430" s="233"/>
      <c r="F430" s="233">
        <f t="shared" si="57"/>
        <v>0</v>
      </c>
      <c r="G430" s="233">
        <v>159400</v>
      </c>
      <c r="H430" s="233">
        <f t="shared" si="58"/>
        <v>2391000</v>
      </c>
      <c r="I430" s="233"/>
      <c r="J430" s="233"/>
      <c r="K430" s="233">
        <f t="shared" si="55"/>
        <v>159400</v>
      </c>
      <c r="L430" s="233">
        <f t="shared" si="56"/>
        <v>2391000</v>
      </c>
      <c r="M430" s="233"/>
    </row>
    <row r="431" spans="1:13" ht="30" customHeight="1">
      <c r="A431" s="230" t="s">
        <v>16</v>
      </c>
      <c r="B431" s="230" t="s">
        <v>580</v>
      </c>
      <c r="C431" s="235" t="s">
        <v>165</v>
      </c>
      <c r="D431" s="232">
        <v>50</v>
      </c>
      <c r="E431" s="233"/>
      <c r="F431" s="233">
        <f t="shared" si="57"/>
        <v>0</v>
      </c>
      <c r="G431" s="233">
        <v>226200</v>
      </c>
      <c r="H431" s="233">
        <f t="shared" si="58"/>
        <v>11310000</v>
      </c>
      <c r="I431" s="233"/>
      <c r="J431" s="233"/>
      <c r="K431" s="233">
        <f t="shared" si="55"/>
        <v>226200</v>
      </c>
      <c r="L431" s="233">
        <f t="shared" si="56"/>
        <v>11310000</v>
      </c>
      <c r="M431" s="233"/>
    </row>
    <row r="432" spans="1:13" ht="30" customHeight="1">
      <c r="A432" s="230" t="s">
        <v>520</v>
      </c>
      <c r="B432" s="230" t="s">
        <v>760</v>
      </c>
      <c r="C432" s="235" t="s">
        <v>55</v>
      </c>
      <c r="D432" s="232">
        <v>1</v>
      </c>
      <c r="E432" s="233">
        <f>TRUNC(SUM(H359:H431)*0.03,0)</f>
        <v>582660</v>
      </c>
      <c r="F432" s="233">
        <f t="shared" si="57"/>
        <v>582660</v>
      </c>
      <c r="G432" s="233"/>
      <c r="H432" s="233">
        <f t="shared" si="58"/>
        <v>0</v>
      </c>
      <c r="I432" s="233"/>
      <c r="J432" s="233"/>
      <c r="K432" s="233">
        <f t="shared" si="55"/>
        <v>582660</v>
      </c>
      <c r="L432" s="233">
        <f t="shared" si="56"/>
        <v>582660</v>
      </c>
      <c r="M432" s="233"/>
    </row>
    <row r="433" spans="1:13" ht="30" customHeight="1">
      <c r="A433" s="200"/>
      <c r="B433" s="200"/>
      <c r="C433" s="201"/>
      <c r="D433" s="202"/>
      <c r="E433" s="203"/>
      <c r="F433" s="203"/>
      <c r="G433" s="203"/>
      <c r="H433" s="203"/>
      <c r="I433" s="203"/>
      <c r="J433" s="203"/>
      <c r="K433" s="203"/>
      <c r="L433" s="203"/>
      <c r="M433" s="200"/>
    </row>
    <row r="434" spans="1:13" ht="30" customHeight="1">
      <c r="A434" s="200"/>
      <c r="B434" s="200"/>
      <c r="C434" s="201"/>
      <c r="D434" s="202"/>
      <c r="E434" s="203"/>
      <c r="F434" s="203"/>
      <c r="G434" s="203"/>
      <c r="H434" s="203"/>
      <c r="I434" s="203"/>
      <c r="J434" s="203"/>
      <c r="K434" s="203"/>
      <c r="L434" s="203"/>
      <c r="M434" s="200"/>
    </row>
    <row r="435" spans="1:13" ht="30" customHeight="1">
      <c r="A435" s="200"/>
      <c r="B435" s="200"/>
      <c r="C435" s="201"/>
      <c r="D435" s="202"/>
      <c r="E435" s="203"/>
      <c r="F435" s="203"/>
      <c r="G435" s="203"/>
      <c r="H435" s="203"/>
      <c r="I435" s="203"/>
      <c r="J435" s="203"/>
      <c r="K435" s="203"/>
      <c r="L435" s="203"/>
      <c r="M435" s="200"/>
    </row>
    <row r="436" spans="1:13" ht="30" customHeight="1">
      <c r="A436" s="200"/>
      <c r="B436" s="200"/>
      <c r="C436" s="201"/>
      <c r="D436" s="202"/>
      <c r="E436" s="203"/>
      <c r="F436" s="203"/>
      <c r="G436" s="203"/>
      <c r="H436" s="203"/>
      <c r="I436" s="203"/>
      <c r="J436" s="203"/>
      <c r="K436" s="203"/>
      <c r="L436" s="203"/>
      <c r="M436" s="200"/>
    </row>
    <row r="437" spans="1:13" ht="30" customHeight="1">
      <c r="A437" s="200"/>
      <c r="B437" s="200"/>
      <c r="C437" s="201"/>
      <c r="D437" s="202"/>
      <c r="E437" s="203"/>
      <c r="F437" s="203"/>
      <c r="G437" s="203"/>
      <c r="H437" s="203"/>
      <c r="I437" s="203"/>
      <c r="J437" s="203"/>
      <c r="K437" s="203"/>
      <c r="L437" s="203"/>
      <c r="M437" s="200"/>
    </row>
    <row r="438" spans="1:13" ht="30" customHeight="1">
      <c r="A438" s="200"/>
      <c r="B438" s="200"/>
      <c r="C438" s="201"/>
      <c r="D438" s="202"/>
      <c r="E438" s="203"/>
      <c r="F438" s="203"/>
      <c r="G438" s="203"/>
      <c r="H438" s="203"/>
      <c r="I438" s="203"/>
      <c r="J438" s="203"/>
      <c r="K438" s="203"/>
      <c r="L438" s="203"/>
      <c r="M438" s="200"/>
    </row>
    <row r="439" spans="1:13" ht="30" customHeight="1">
      <c r="A439" s="200"/>
      <c r="B439" s="200"/>
      <c r="C439" s="201"/>
      <c r="D439" s="202"/>
      <c r="E439" s="203"/>
      <c r="F439" s="203"/>
      <c r="G439" s="203"/>
      <c r="H439" s="203"/>
      <c r="I439" s="203"/>
      <c r="J439" s="203"/>
      <c r="K439" s="203"/>
      <c r="L439" s="203"/>
      <c r="M439" s="200"/>
    </row>
    <row r="440" spans="1:13" ht="30" customHeight="1">
      <c r="A440" s="200"/>
      <c r="B440" s="200"/>
      <c r="C440" s="201"/>
      <c r="D440" s="202"/>
      <c r="E440" s="203"/>
      <c r="F440" s="203"/>
      <c r="G440" s="203"/>
      <c r="H440" s="203"/>
      <c r="I440" s="203"/>
      <c r="J440" s="203"/>
      <c r="K440" s="203"/>
      <c r="L440" s="203"/>
      <c r="M440" s="200"/>
    </row>
    <row r="441" spans="1:13" ht="30" customHeight="1">
      <c r="A441" s="200"/>
      <c r="B441" s="200"/>
      <c r="C441" s="201"/>
      <c r="D441" s="202"/>
      <c r="E441" s="203"/>
      <c r="F441" s="203"/>
      <c r="G441" s="203"/>
      <c r="H441" s="203"/>
      <c r="I441" s="203"/>
      <c r="J441" s="203"/>
      <c r="K441" s="203"/>
      <c r="L441" s="203"/>
      <c r="M441" s="200"/>
    </row>
    <row r="442" spans="1:13" ht="30" customHeight="1">
      <c r="A442" s="200"/>
      <c r="B442" s="200"/>
      <c r="C442" s="201"/>
      <c r="D442" s="202"/>
      <c r="E442" s="203"/>
      <c r="F442" s="203"/>
      <c r="G442" s="203"/>
      <c r="H442" s="203"/>
      <c r="I442" s="203"/>
      <c r="J442" s="203"/>
      <c r="K442" s="203"/>
      <c r="L442" s="203"/>
      <c r="M442" s="200"/>
    </row>
    <row r="443" spans="1:13" ht="30" customHeight="1">
      <c r="A443" s="200"/>
      <c r="B443" s="200"/>
      <c r="C443" s="201"/>
      <c r="D443" s="202"/>
      <c r="E443" s="203"/>
      <c r="F443" s="203"/>
      <c r="G443" s="203"/>
      <c r="H443" s="203"/>
      <c r="I443" s="203"/>
      <c r="J443" s="203"/>
      <c r="K443" s="203"/>
      <c r="L443" s="203"/>
      <c r="M443" s="200"/>
    </row>
    <row r="444" spans="1:13" ht="30" customHeight="1">
      <c r="A444" s="200"/>
      <c r="B444" s="200"/>
      <c r="C444" s="201"/>
      <c r="D444" s="202"/>
      <c r="E444" s="203"/>
      <c r="F444" s="203"/>
      <c r="G444" s="203"/>
      <c r="H444" s="203"/>
      <c r="I444" s="203"/>
      <c r="J444" s="203"/>
      <c r="K444" s="203"/>
      <c r="L444" s="203"/>
      <c r="M444" s="200"/>
    </row>
    <row r="445" spans="1:13" ht="30" customHeight="1">
      <c r="A445" s="207" t="s">
        <v>812</v>
      </c>
      <c r="B445" s="200"/>
      <c r="C445" s="201"/>
      <c r="D445" s="202"/>
      <c r="E445" s="203"/>
      <c r="F445" s="203">
        <f>SUM(F359:F444)</f>
        <v>20928564</v>
      </c>
      <c r="G445" s="203"/>
      <c r="H445" s="203">
        <f>SUM(H359:H444)</f>
        <v>19422000</v>
      </c>
      <c r="I445" s="203"/>
      <c r="J445" s="203"/>
      <c r="K445" s="203"/>
      <c r="L445" s="203">
        <f>SUM(L359:L444)</f>
        <v>40350564</v>
      </c>
      <c r="M445" s="200"/>
    </row>
    <row r="446" spans="1:13" ht="30" customHeight="1">
      <c r="A446" s="229" t="s">
        <v>813</v>
      </c>
      <c r="B446" s="197"/>
      <c r="C446" s="226"/>
      <c r="D446" s="227"/>
      <c r="E446" s="196"/>
      <c r="F446" s="196"/>
      <c r="G446" s="196"/>
      <c r="H446" s="196"/>
      <c r="I446" s="196"/>
      <c r="J446" s="196"/>
      <c r="K446" s="196"/>
      <c r="L446" s="196"/>
      <c r="M446" s="197"/>
    </row>
    <row r="447" spans="1:13" ht="30" customHeight="1">
      <c r="A447" s="208" t="s">
        <v>814</v>
      </c>
      <c r="B447" s="200" t="s">
        <v>591</v>
      </c>
      <c r="C447" s="210" t="s">
        <v>739</v>
      </c>
      <c r="D447" s="228">
        <v>1</v>
      </c>
      <c r="E447" s="212">
        <v>31600</v>
      </c>
      <c r="F447" s="212">
        <f t="shared" ref="F447:F462" si="59">D447*E447</f>
        <v>31600</v>
      </c>
      <c r="G447" s="212">
        <v>20800</v>
      </c>
      <c r="H447" s="203">
        <f t="shared" ref="H447:H455" si="60">D447*G447</f>
        <v>20800</v>
      </c>
      <c r="I447" s="203"/>
      <c r="J447" s="203"/>
      <c r="K447" s="203">
        <f t="shared" ref="K447:K462" si="61">E447+G447+I447</f>
        <v>52400</v>
      </c>
      <c r="L447" s="203">
        <f t="shared" ref="L447:L462" si="62">F447+H447+J447</f>
        <v>52400</v>
      </c>
      <c r="M447" s="208"/>
    </row>
    <row r="448" spans="1:13" ht="30" customHeight="1">
      <c r="A448" s="208" t="s">
        <v>814</v>
      </c>
      <c r="B448" s="205" t="s">
        <v>593</v>
      </c>
      <c r="C448" s="210" t="s">
        <v>739</v>
      </c>
      <c r="D448" s="228">
        <v>3</v>
      </c>
      <c r="E448" s="212">
        <v>45800</v>
      </c>
      <c r="F448" s="212">
        <f t="shared" si="59"/>
        <v>137400</v>
      </c>
      <c r="G448" s="212">
        <v>25000</v>
      </c>
      <c r="H448" s="203">
        <f t="shared" si="60"/>
        <v>75000</v>
      </c>
      <c r="I448" s="203"/>
      <c r="J448" s="203"/>
      <c r="K448" s="203">
        <f t="shared" si="61"/>
        <v>70800</v>
      </c>
      <c r="L448" s="203">
        <f t="shared" si="62"/>
        <v>212400</v>
      </c>
      <c r="M448" s="208"/>
    </row>
    <row r="449" spans="1:13" ht="30" customHeight="1">
      <c r="A449" s="199" t="s">
        <v>814</v>
      </c>
      <c r="B449" s="200" t="s">
        <v>783</v>
      </c>
      <c r="C449" s="201" t="s">
        <v>739</v>
      </c>
      <c r="D449" s="202">
        <v>1</v>
      </c>
      <c r="E449" s="203">
        <v>70800</v>
      </c>
      <c r="F449" s="212">
        <f t="shared" si="59"/>
        <v>70800</v>
      </c>
      <c r="G449" s="212">
        <v>33300</v>
      </c>
      <c r="H449" s="203">
        <f t="shared" si="60"/>
        <v>33300</v>
      </c>
      <c r="I449" s="203"/>
      <c r="J449" s="203"/>
      <c r="K449" s="203">
        <f t="shared" si="61"/>
        <v>104100</v>
      </c>
      <c r="L449" s="203">
        <f t="shared" si="62"/>
        <v>104100</v>
      </c>
      <c r="M449" s="199"/>
    </row>
    <row r="450" spans="1:13" ht="30" customHeight="1">
      <c r="A450" s="199" t="s">
        <v>815</v>
      </c>
      <c r="B450" s="200" t="s">
        <v>591</v>
      </c>
      <c r="C450" s="201" t="s">
        <v>739</v>
      </c>
      <c r="D450" s="206">
        <v>1</v>
      </c>
      <c r="E450" s="203">
        <v>31600</v>
      </c>
      <c r="F450" s="212">
        <f t="shared" si="59"/>
        <v>31600</v>
      </c>
      <c r="G450" s="212">
        <v>20800</v>
      </c>
      <c r="H450" s="203">
        <f t="shared" si="60"/>
        <v>20800</v>
      </c>
      <c r="I450" s="203"/>
      <c r="J450" s="203"/>
      <c r="K450" s="203">
        <f t="shared" si="61"/>
        <v>52400</v>
      </c>
      <c r="L450" s="203">
        <f t="shared" si="62"/>
        <v>52400</v>
      </c>
      <c r="M450" s="199"/>
    </row>
    <row r="451" spans="1:13" ht="30" customHeight="1">
      <c r="A451" s="199" t="s">
        <v>815</v>
      </c>
      <c r="B451" s="200" t="s">
        <v>593</v>
      </c>
      <c r="C451" s="201" t="s">
        <v>739</v>
      </c>
      <c r="D451" s="206">
        <v>1</v>
      </c>
      <c r="E451" s="203">
        <v>45800</v>
      </c>
      <c r="F451" s="212">
        <f t="shared" si="59"/>
        <v>45800</v>
      </c>
      <c r="G451" s="212">
        <v>25000</v>
      </c>
      <c r="H451" s="203">
        <f t="shared" si="60"/>
        <v>25000</v>
      </c>
      <c r="I451" s="203"/>
      <c r="J451" s="203"/>
      <c r="K451" s="203">
        <f t="shared" si="61"/>
        <v>70800</v>
      </c>
      <c r="L451" s="203">
        <f t="shared" si="62"/>
        <v>70800</v>
      </c>
      <c r="M451" s="199"/>
    </row>
    <row r="452" spans="1:13" ht="30" customHeight="1">
      <c r="A452" s="199" t="s">
        <v>815</v>
      </c>
      <c r="B452" s="200" t="s">
        <v>783</v>
      </c>
      <c r="C452" s="201" t="s">
        <v>739</v>
      </c>
      <c r="D452" s="206">
        <v>1</v>
      </c>
      <c r="E452" s="203">
        <v>70800</v>
      </c>
      <c r="F452" s="212">
        <f t="shared" si="59"/>
        <v>70800</v>
      </c>
      <c r="G452" s="212">
        <v>33300</v>
      </c>
      <c r="H452" s="203">
        <f t="shared" si="60"/>
        <v>33300</v>
      </c>
      <c r="I452" s="203"/>
      <c r="J452" s="203"/>
      <c r="K452" s="203">
        <f t="shared" si="61"/>
        <v>104100</v>
      </c>
      <c r="L452" s="203">
        <f t="shared" si="62"/>
        <v>104100</v>
      </c>
      <c r="M452" s="199"/>
    </row>
    <row r="453" spans="1:13" ht="30" customHeight="1">
      <c r="A453" s="199" t="s">
        <v>816</v>
      </c>
      <c r="B453" s="200" t="s">
        <v>591</v>
      </c>
      <c r="C453" s="201" t="s">
        <v>739</v>
      </c>
      <c r="D453" s="206">
        <v>3</v>
      </c>
      <c r="E453" s="203">
        <v>31600</v>
      </c>
      <c r="F453" s="212">
        <f t="shared" si="59"/>
        <v>94800</v>
      </c>
      <c r="G453" s="212">
        <v>20800</v>
      </c>
      <c r="H453" s="203">
        <f t="shared" si="60"/>
        <v>62400</v>
      </c>
      <c r="I453" s="203"/>
      <c r="J453" s="203"/>
      <c r="K453" s="203">
        <f t="shared" si="61"/>
        <v>52400</v>
      </c>
      <c r="L453" s="203">
        <f t="shared" si="62"/>
        <v>157200</v>
      </c>
      <c r="M453" s="199"/>
    </row>
    <row r="454" spans="1:13" ht="30" customHeight="1">
      <c r="A454" s="200" t="s">
        <v>817</v>
      </c>
      <c r="B454" s="200" t="s">
        <v>781</v>
      </c>
      <c r="C454" s="201" t="s">
        <v>739</v>
      </c>
      <c r="D454" s="206">
        <v>4</v>
      </c>
      <c r="E454" s="203">
        <v>70800</v>
      </c>
      <c r="F454" s="212">
        <f t="shared" si="59"/>
        <v>283200</v>
      </c>
      <c r="G454" s="212">
        <v>33300</v>
      </c>
      <c r="H454" s="203">
        <f t="shared" si="60"/>
        <v>133200</v>
      </c>
      <c r="I454" s="203"/>
      <c r="J454" s="203"/>
      <c r="K454" s="203">
        <f t="shared" si="61"/>
        <v>104100</v>
      </c>
      <c r="L454" s="203">
        <f t="shared" si="62"/>
        <v>416400</v>
      </c>
      <c r="M454" s="199"/>
    </row>
    <row r="455" spans="1:13" ht="30" customHeight="1">
      <c r="A455" s="200" t="s">
        <v>817</v>
      </c>
      <c r="B455" s="200" t="s">
        <v>593</v>
      </c>
      <c r="C455" s="201" t="s">
        <v>739</v>
      </c>
      <c r="D455" s="206">
        <v>6</v>
      </c>
      <c r="E455" s="203">
        <v>91600</v>
      </c>
      <c r="F455" s="212">
        <f t="shared" si="59"/>
        <v>549600</v>
      </c>
      <c r="G455" s="212">
        <v>41600</v>
      </c>
      <c r="H455" s="203">
        <f t="shared" si="60"/>
        <v>249600</v>
      </c>
      <c r="I455" s="203"/>
      <c r="J455" s="203"/>
      <c r="K455" s="203">
        <f t="shared" si="61"/>
        <v>133200</v>
      </c>
      <c r="L455" s="203">
        <f t="shared" si="62"/>
        <v>799200</v>
      </c>
      <c r="M455" s="199"/>
    </row>
    <row r="456" spans="1:13" ht="30" customHeight="1">
      <c r="A456" s="199" t="s">
        <v>818</v>
      </c>
      <c r="B456" s="200" t="s">
        <v>208</v>
      </c>
      <c r="C456" s="201" t="s">
        <v>77</v>
      </c>
      <c r="D456" s="206">
        <v>31</v>
      </c>
      <c r="E456" s="203">
        <v>1500</v>
      </c>
      <c r="F456" s="212">
        <f t="shared" si="59"/>
        <v>46500</v>
      </c>
      <c r="G456" s="212">
        <v>1200</v>
      </c>
      <c r="H456" s="203">
        <f>G456*D456</f>
        <v>37200</v>
      </c>
      <c r="I456" s="203"/>
      <c r="J456" s="203"/>
      <c r="K456" s="203">
        <f t="shared" si="61"/>
        <v>2700</v>
      </c>
      <c r="L456" s="203">
        <f t="shared" si="62"/>
        <v>83700</v>
      </c>
      <c r="M456" s="199"/>
    </row>
    <row r="457" spans="1:13" ht="30" customHeight="1">
      <c r="A457" s="199" t="s">
        <v>819</v>
      </c>
      <c r="B457" s="200" t="s">
        <v>820</v>
      </c>
      <c r="C457" s="201" t="s">
        <v>124</v>
      </c>
      <c r="D457" s="206">
        <v>31</v>
      </c>
      <c r="E457" s="203">
        <v>3700</v>
      </c>
      <c r="F457" s="212">
        <f t="shared" si="59"/>
        <v>114700</v>
      </c>
      <c r="G457" s="212">
        <v>2900</v>
      </c>
      <c r="H457" s="203">
        <f>G457*D457</f>
        <v>89900</v>
      </c>
      <c r="I457" s="203"/>
      <c r="J457" s="203"/>
      <c r="K457" s="203">
        <f t="shared" si="61"/>
        <v>6600</v>
      </c>
      <c r="L457" s="203">
        <f t="shared" si="62"/>
        <v>204600</v>
      </c>
      <c r="M457" s="199"/>
    </row>
    <row r="458" spans="1:13" ht="30" customHeight="1">
      <c r="A458" s="199" t="s">
        <v>821</v>
      </c>
      <c r="B458" s="200" t="s">
        <v>541</v>
      </c>
      <c r="C458" s="201" t="s">
        <v>739</v>
      </c>
      <c r="D458" s="206">
        <v>4</v>
      </c>
      <c r="E458" s="203">
        <v>4600</v>
      </c>
      <c r="F458" s="212">
        <f t="shared" si="59"/>
        <v>18400</v>
      </c>
      <c r="G458" s="203">
        <v>2500</v>
      </c>
      <c r="H458" s="203">
        <f>G458*D458</f>
        <v>10000</v>
      </c>
      <c r="I458" s="203"/>
      <c r="J458" s="203"/>
      <c r="K458" s="203">
        <f t="shared" si="61"/>
        <v>7100</v>
      </c>
      <c r="L458" s="203">
        <f t="shared" si="62"/>
        <v>28400</v>
      </c>
      <c r="M458" s="199"/>
    </row>
    <row r="459" spans="1:13" ht="30" customHeight="1">
      <c r="A459" s="199" t="s">
        <v>818</v>
      </c>
      <c r="B459" s="200" t="s">
        <v>822</v>
      </c>
      <c r="C459" s="201" t="s">
        <v>77</v>
      </c>
      <c r="D459" s="206">
        <v>4</v>
      </c>
      <c r="E459" s="203">
        <v>1200</v>
      </c>
      <c r="F459" s="212">
        <f t="shared" si="59"/>
        <v>4800</v>
      </c>
      <c r="G459" s="203">
        <v>1000</v>
      </c>
      <c r="H459" s="203">
        <f>G459*D459</f>
        <v>4000</v>
      </c>
      <c r="I459" s="203"/>
      <c r="J459" s="203"/>
      <c r="K459" s="203">
        <f t="shared" si="61"/>
        <v>2200</v>
      </c>
      <c r="L459" s="203">
        <f t="shared" si="62"/>
        <v>8800</v>
      </c>
      <c r="M459" s="199"/>
    </row>
    <row r="460" spans="1:13" ht="30" customHeight="1">
      <c r="A460" s="199" t="s">
        <v>823</v>
      </c>
      <c r="B460" s="200" t="s">
        <v>824</v>
      </c>
      <c r="C460" s="201" t="s">
        <v>124</v>
      </c>
      <c r="D460" s="206">
        <v>6</v>
      </c>
      <c r="E460" s="203">
        <v>1100</v>
      </c>
      <c r="F460" s="212">
        <f t="shared" si="59"/>
        <v>6600</v>
      </c>
      <c r="G460" s="203"/>
      <c r="H460" s="203">
        <f>D460*G460</f>
        <v>0</v>
      </c>
      <c r="I460" s="203"/>
      <c r="J460" s="203"/>
      <c r="K460" s="203">
        <f t="shared" si="61"/>
        <v>1100</v>
      </c>
      <c r="L460" s="203">
        <f t="shared" si="62"/>
        <v>6600</v>
      </c>
      <c r="M460" s="200"/>
    </row>
    <row r="461" spans="1:13" ht="30" customHeight="1">
      <c r="A461" s="199" t="s">
        <v>825</v>
      </c>
      <c r="B461" s="200" t="s">
        <v>781</v>
      </c>
      <c r="C461" s="201" t="s">
        <v>77</v>
      </c>
      <c r="D461" s="206">
        <v>12</v>
      </c>
      <c r="E461" s="203">
        <v>29100</v>
      </c>
      <c r="F461" s="212">
        <f t="shared" si="59"/>
        <v>349200</v>
      </c>
      <c r="G461" s="203">
        <v>12500</v>
      </c>
      <c r="H461" s="203">
        <f>G461*D461</f>
        <v>150000</v>
      </c>
      <c r="I461" s="203"/>
      <c r="J461" s="203"/>
      <c r="K461" s="203">
        <f t="shared" si="61"/>
        <v>41600</v>
      </c>
      <c r="L461" s="203">
        <f t="shared" si="62"/>
        <v>499200</v>
      </c>
      <c r="M461" s="199"/>
    </row>
    <row r="462" spans="1:13" ht="30" customHeight="1">
      <c r="A462" s="199" t="s">
        <v>825</v>
      </c>
      <c r="B462" s="200" t="s">
        <v>593</v>
      </c>
      <c r="C462" s="201" t="s">
        <v>77</v>
      </c>
      <c r="D462" s="206">
        <v>16</v>
      </c>
      <c r="E462" s="203">
        <v>51600</v>
      </c>
      <c r="F462" s="212">
        <f t="shared" si="59"/>
        <v>825600</v>
      </c>
      <c r="G462" s="203">
        <v>18300</v>
      </c>
      <c r="H462" s="203">
        <f>G462*D462</f>
        <v>292800</v>
      </c>
      <c r="I462" s="203"/>
      <c r="J462" s="203"/>
      <c r="K462" s="203">
        <f t="shared" si="61"/>
        <v>69900</v>
      </c>
      <c r="L462" s="203">
        <f t="shared" si="62"/>
        <v>1118400</v>
      </c>
      <c r="M462" s="199"/>
    </row>
    <row r="463" spans="1:13" ht="30" customHeight="1">
      <c r="A463" s="200"/>
      <c r="B463" s="200"/>
      <c r="C463" s="201"/>
      <c r="D463" s="206"/>
      <c r="E463" s="203"/>
      <c r="F463" s="212"/>
      <c r="G463" s="203"/>
      <c r="H463" s="203"/>
      <c r="I463" s="203"/>
      <c r="J463" s="203"/>
      <c r="K463" s="203"/>
      <c r="L463" s="203"/>
      <c r="M463" s="200"/>
    </row>
    <row r="464" spans="1:13" ht="30" customHeight="1">
      <c r="A464" s="200"/>
      <c r="B464" s="200"/>
      <c r="C464" s="201"/>
      <c r="D464" s="206"/>
      <c r="E464" s="203"/>
      <c r="F464" s="212"/>
      <c r="G464" s="203"/>
      <c r="H464" s="203"/>
      <c r="I464" s="203"/>
      <c r="J464" s="203"/>
      <c r="K464" s="203"/>
      <c r="L464" s="203"/>
      <c r="M464" s="200"/>
    </row>
    <row r="465" spans="1:13" ht="30" customHeight="1">
      <c r="A465" s="200"/>
      <c r="B465" s="200"/>
      <c r="C465" s="201"/>
      <c r="D465" s="206"/>
      <c r="E465" s="203"/>
      <c r="F465" s="212"/>
      <c r="G465" s="203"/>
      <c r="H465" s="203"/>
      <c r="I465" s="203"/>
      <c r="J465" s="203"/>
      <c r="K465" s="203"/>
      <c r="L465" s="203"/>
      <c r="M465" s="200"/>
    </row>
    <row r="466" spans="1:13" ht="30" customHeight="1">
      <c r="A466" s="200"/>
      <c r="B466" s="200"/>
      <c r="C466" s="201"/>
      <c r="D466" s="206"/>
      <c r="E466" s="203"/>
      <c r="F466" s="212"/>
      <c r="G466" s="203"/>
      <c r="H466" s="203"/>
      <c r="I466" s="203"/>
      <c r="J466" s="203"/>
      <c r="K466" s="203"/>
      <c r="L466" s="203"/>
      <c r="M466" s="200"/>
    </row>
    <row r="467" spans="1:13" ht="30" customHeight="1">
      <c r="A467" s="207" t="s">
        <v>522</v>
      </c>
      <c r="B467" s="200"/>
      <c r="C467" s="201"/>
      <c r="D467" s="206"/>
      <c r="E467" s="203"/>
      <c r="F467" s="212">
        <f>SUM(F447:F466)</f>
        <v>2681400</v>
      </c>
      <c r="G467" s="212"/>
      <c r="H467" s="212">
        <f>SUM(H447:H466)</f>
        <v>1237300</v>
      </c>
      <c r="I467" s="212"/>
      <c r="J467" s="212"/>
      <c r="K467" s="212"/>
      <c r="L467" s="212">
        <f>SUM(L447:L466)</f>
        <v>3918700</v>
      </c>
      <c r="M467" s="200"/>
    </row>
  </sheetData>
  <autoFilter ref="A1:A467"/>
  <mergeCells count="10">
    <mergeCell ref="A1:M2"/>
    <mergeCell ref="A4:A5"/>
    <mergeCell ref="B4:B5"/>
    <mergeCell ref="C4:C5"/>
    <mergeCell ref="D4:D5"/>
    <mergeCell ref="E4:F4"/>
    <mergeCell ref="G4:H4"/>
    <mergeCell ref="I4:J4"/>
    <mergeCell ref="K4:L4"/>
    <mergeCell ref="M4:M5"/>
  </mergeCells>
  <phoneticPr fontId="14" type="noConversion"/>
  <conditionalFormatting sqref="L468:L1048576">
    <cfRule type="cellIs" dxfId="0" priority="2" operator="lessThan">
      <formula>"="</formula>
    </cfRule>
  </conditionalFormatting>
  <printOptions horizontalCentered="1"/>
  <pageMargins left="0.15763888888888899" right="0.15763888888888899" top="0.70833333333333304" bottom="0.39374999999999999" header="0.511811023622047" footer="0.511811023622047"/>
  <pageSetup paperSize="9" scale="65" fitToHeight="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L20"/>
  <sheetViews>
    <sheetView view="pageBreakPreview" zoomScale="85" zoomScaleNormal="100" zoomScalePageLayoutView="85" workbookViewId="0">
      <pane ySplit="3" topLeftCell="A4" activePane="bottomLeft" state="frozen"/>
      <selection pane="bottomLeft" activeCell="I20" sqref="I20"/>
    </sheetView>
  </sheetViews>
  <sheetFormatPr defaultColWidth="8.88671875" defaultRowHeight="13.5"/>
  <cols>
    <col min="1" max="2" width="16.6640625" style="249" customWidth="1"/>
    <col min="3" max="3" width="4.109375" style="250" customWidth="1"/>
    <col min="4" max="4" width="4.6640625" style="251" customWidth="1"/>
    <col min="5" max="8" width="12.88671875" style="252" customWidth="1"/>
    <col min="9" max="10" width="9.44140625" style="252" customWidth="1"/>
    <col min="11" max="11" width="13.109375" style="252" customWidth="1"/>
    <col min="12" max="12" width="7.109375" style="249" customWidth="1"/>
    <col min="13" max="16384" width="8.88671875" style="253"/>
  </cols>
  <sheetData>
    <row r="1" spans="1:12" ht="20.25" customHeight="1">
      <c r="A1" s="319" t="s">
        <v>826</v>
      </c>
      <c r="B1" s="319"/>
      <c r="C1" s="319"/>
      <c r="D1" s="319"/>
      <c r="E1" s="319"/>
      <c r="F1" s="319"/>
      <c r="G1" s="319"/>
      <c r="H1" s="319"/>
      <c r="I1" s="319"/>
      <c r="J1" s="319"/>
      <c r="K1" s="319"/>
      <c r="L1" s="319"/>
    </row>
    <row r="2" spans="1:12" s="255" customFormat="1" ht="27" customHeight="1">
      <c r="A2" s="320" t="s">
        <v>827</v>
      </c>
      <c r="B2" s="320"/>
      <c r="C2" s="321" t="s">
        <v>45</v>
      </c>
      <c r="D2" s="322" t="s">
        <v>46</v>
      </c>
      <c r="E2" s="322" t="s">
        <v>828</v>
      </c>
      <c r="F2" s="322"/>
      <c r="G2" s="322"/>
      <c r="H2" s="322"/>
      <c r="I2" s="322" t="s">
        <v>20</v>
      </c>
      <c r="J2" s="322"/>
      <c r="K2" s="322" t="s">
        <v>829</v>
      </c>
      <c r="L2" s="320" t="s">
        <v>51</v>
      </c>
    </row>
    <row r="3" spans="1:12" s="255" customFormat="1" ht="27" customHeight="1">
      <c r="A3" s="320"/>
      <c r="B3" s="320"/>
      <c r="C3" s="321"/>
      <c r="D3" s="321"/>
      <c r="E3" s="254" t="s">
        <v>52</v>
      </c>
      <c r="F3" s="254" t="s">
        <v>53</v>
      </c>
      <c r="G3" s="254" t="s">
        <v>52</v>
      </c>
      <c r="H3" s="254" t="s">
        <v>53</v>
      </c>
      <c r="I3" s="254" t="s">
        <v>52</v>
      </c>
      <c r="J3" s="254" t="s">
        <v>53</v>
      </c>
      <c r="K3" s="322"/>
      <c r="L3" s="322"/>
    </row>
    <row r="4" spans="1:12" ht="27" customHeight="1">
      <c r="A4" s="323" t="s">
        <v>830</v>
      </c>
      <c r="B4" s="323"/>
      <c r="C4" s="323"/>
      <c r="D4" s="323"/>
      <c r="E4" s="323"/>
      <c r="F4" s="323"/>
      <c r="G4" s="323"/>
      <c r="H4" s="323"/>
      <c r="I4" s="323"/>
      <c r="J4" s="323"/>
      <c r="K4" s="323"/>
      <c r="L4" s="323"/>
    </row>
    <row r="5" spans="1:12" ht="27" customHeight="1">
      <c r="A5" s="323" t="s">
        <v>831</v>
      </c>
      <c r="B5" s="323"/>
      <c r="C5" s="323"/>
      <c r="D5" s="323"/>
      <c r="E5" s="323"/>
      <c r="F5" s="323"/>
      <c r="G5" s="323"/>
      <c r="H5" s="323"/>
      <c r="I5" s="323"/>
      <c r="J5" s="323"/>
      <c r="K5" s="323"/>
      <c r="L5" s="323"/>
    </row>
    <row r="6" spans="1:12" ht="27" customHeight="1">
      <c r="A6" s="324" t="s">
        <v>832</v>
      </c>
      <c r="B6" s="324"/>
      <c r="C6" s="257" t="s">
        <v>55</v>
      </c>
      <c r="D6" s="258">
        <v>1</v>
      </c>
      <c r="E6" s="259">
        <f>전기내역서!F66</f>
        <v>10895762</v>
      </c>
      <c r="F6" s="259">
        <f>D6*E6</f>
        <v>10895762</v>
      </c>
      <c r="G6" s="259">
        <f>전기내역서!H66</f>
        <v>4917220</v>
      </c>
      <c r="H6" s="259">
        <f>D6*G6</f>
        <v>4917220</v>
      </c>
      <c r="I6" s="259"/>
      <c r="J6" s="259">
        <f>D6*I6</f>
        <v>0</v>
      </c>
      <c r="K6" s="259">
        <f>SUM(F6,H6,J6)</f>
        <v>15812982</v>
      </c>
      <c r="L6" s="256"/>
    </row>
    <row r="7" spans="1:12" ht="27" customHeight="1">
      <c r="A7" s="324" t="s">
        <v>833</v>
      </c>
      <c r="B7" s="324"/>
      <c r="C7" s="257" t="s">
        <v>55</v>
      </c>
      <c r="D7" s="258">
        <v>1</v>
      </c>
      <c r="E7" s="259">
        <f>전기내역서!F108</f>
        <v>5030504</v>
      </c>
      <c r="F7" s="259">
        <f>D7*E7</f>
        <v>5030504</v>
      </c>
      <c r="G7" s="259">
        <f>전기내역서!H108</f>
        <v>8457330</v>
      </c>
      <c r="H7" s="259">
        <f>D7*G7</f>
        <v>8457330</v>
      </c>
      <c r="I7" s="259"/>
      <c r="J7" s="259">
        <f>D7*I7</f>
        <v>0</v>
      </c>
      <c r="K7" s="259">
        <f>SUM(F7,H7,J7)</f>
        <v>13487834</v>
      </c>
      <c r="L7" s="256"/>
    </row>
    <row r="8" spans="1:12" ht="27" customHeight="1">
      <c r="A8" s="324" t="s">
        <v>834</v>
      </c>
      <c r="B8" s="324"/>
      <c r="C8" s="257" t="s">
        <v>55</v>
      </c>
      <c r="D8" s="258">
        <v>1</v>
      </c>
      <c r="E8" s="259">
        <f>전기내역서!F129</f>
        <v>2178960</v>
      </c>
      <c r="F8" s="259">
        <f>D8*E8</f>
        <v>2178960</v>
      </c>
      <c r="G8" s="259">
        <f>전기내역서!H129</f>
        <v>4974900</v>
      </c>
      <c r="H8" s="259">
        <f>D8*G8</f>
        <v>4974900</v>
      </c>
      <c r="I8" s="259"/>
      <c r="J8" s="259">
        <f>D8*I8</f>
        <v>0</v>
      </c>
      <c r="K8" s="259">
        <f>SUM(F8,H8,J8)</f>
        <v>7153860</v>
      </c>
      <c r="L8" s="256"/>
    </row>
    <row r="9" spans="1:12" ht="27" customHeight="1">
      <c r="A9" s="324" t="s">
        <v>835</v>
      </c>
      <c r="B9" s="324"/>
      <c r="C9" s="257" t="s">
        <v>55</v>
      </c>
      <c r="D9" s="258">
        <v>1</v>
      </c>
      <c r="E9" s="259">
        <f>전기내역서!F150</f>
        <v>787900</v>
      </c>
      <c r="F9" s="259">
        <f>D9*E9</f>
        <v>787900</v>
      </c>
      <c r="G9" s="259">
        <f>전기내역서!H150</f>
        <v>1989960</v>
      </c>
      <c r="H9" s="259">
        <f>D9*G9</f>
        <v>1989960</v>
      </c>
      <c r="I9" s="259"/>
      <c r="J9" s="259"/>
      <c r="K9" s="259">
        <f>SUM(F9,H9,J9)</f>
        <v>2777860</v>
      </c>
      <c r="L9" s="256"/>
    </row>
    <row r="10" spans="1:12" ht="27" customHeight="1">
      <c r="A10" s="325" t="s">
        <v>836</v>
      </c>
      <c r="B10" s="325"/>
      <c r="C10" s="260"/>
      <c r="D10" s="261"/>
      <c r="E10" s="262"/>
      <c r="F10" s="262">
        <f>SUM(F6:F9)</f>
        <v>18893126</v>
      </c>
      <c r="G10" s="262"/>
      <c r="H10" s="262">
        <f>SUM(H6:H9)</f>
        <v>20339410</v>
      </c>
      <c r="I10" s="262"/>
      <c r="J10" s="262"/>
      <c r="K10" s="262">
        <f>SUM(K6:K9)</f>
        <v>39232536</v>
      </c>
      <c r="L10" s="263"/>
    </row>
    <row r="11" spans="1:12" ht="27" customHeight="1">
      <c r="A11" s="324" t="s">
        <v>837</v>
      </c>
      <c r="B11" s="324"/>
      <c r="C11" s="324"/>
      <c r="D11" s="324"/>
      <c r="E11" s="324"/>
      <c r="F11" s="324"/>
      <c r="G11" s="324"/>
      <c r="H11" s="324"/>
      <c r="I11" s="324"/>
      <c r="J11" s="324"/>
      <c r="K11" s="324"/>
      <c r="L11" s="324"/>
    </row>
    <row r="12" spans="1:12" ht="27" customHeight="1">
      <c r="A12" s="324" t="s">
        <v>838</v>
      </c>
      <c r="B12" s="324"/>
      <c r="C12" s="257">
        <v>1</v>
      </c>
      <c r="D12" s="264" t="s">
        <v>55</v>
      </c>
      <c r="E12" s="259">
        <f>전기내역서!F192</f>
        <v>6975148</v>
      </c>
      <c r="F12" s="259">
        <f>C12*E12</f>
        <v>6975148</v>
      </c>
      <c r="G12" s="259">
        <f>전기내역서!H192</f>
        <v>6434822</v>
      </c>
      <c r="H12" s="259">
        <f>C12*G12</f>
        <v>6434822</v>
      </c>
      <c r="I12" s="259"/>
      <c r="J12" s="259"/>
      <c r="K12" s="259">
        <f>F12+H12</f>
        <v>13409970</v>
      </c>
      <c r="L12" s="256"/>
    </row>
    <row r="13" spans="1:12" ht="27" customHeight="1">
      <c r="A13" s="324" t="s">
        <v>839</v>
      </c>
      <c r="B13" s="324"/>
      <c r="C13" s="257">
        <v>1</v>
      </c>
      <c r="D13" s="264" t="s">
        <v>55</v>
      </c>
      <c r="E13" s="259">
        <f>전기내역서!F213</f>
        <v>721994</v>
      </c>
      <c r="F13" s="259">
        <f>C13*E13</f>
        <v>721994</v>
      </c>
      <c r="G13" s="259">
        <f>전기내역서!H213</f>
        <v>6129118</v>
      </c>
      <c r="H13" s="259">
        <f>C13*G13</f>
        <v>6129118</v>
      </c>
      <c r="I13" s="259"/>
      <c r="J13" s="259"/>
      <c r="K13" s="259">
        <f>F13+H13</f>
        <v>6851112</v>
      </c>
      <c r="L13" s="256"/>
    </row>
    <row r="14" spans="1:12" ht="27" customHeight="1">
      <c r="A14" s="325" t="s">
        <v>836</v>
      </c>
      <c r="B14" s="325"/>
      <c r="C14" s="260"/>
      <c r="D14" s="261"/>
      <c r="E14" s="262"/>
      <c r="F14" s="262">
        <f>SUM(F12:F13)</f>
        <v>7697142</v>
      </c>
      <c r="G14" s="262"/>
      <c r="H14" s="262">
        <f>SUM(H12:H13)</f>
        <v>12563940</v>
      </c>
      <c r="I14" s="262"/>
      <c r="J14" s="262"/>
      <c r="K14" s="262">
        <f>SUM(K12:K13)</f>
        <v>20261082</v>
      </c>
      <c r="L14" s="263"/>
    </row>
    <row r="15" spans="1:12" ht="27" customHeight="1">
      <c r="A15" s="324" t="s">
        <v>840</v>
      </c>
      <c r="B15" s="324"/>
      <c r="C15" s="324"/>
      <c r="D15" s="324"/>
      <c r="E15" s="324"/>
      <c r="F15" s="324"/>
      <c r="G15" s="324"/>
      <c r="H15" s="324"/>
      <c r="I15" s="324"/>
      <c r="J15" s="324"/>
      <c r="K15" s="324"/>
      <c r="L15" s="324"/>
    </row>
    <row r="16" spans="1:12" ht="27" customHeight="1">
      <c r="A16" s="324" t="s">
        <v>841</v>
      </c>
      <c r="B16" s="324"/>
      <c r="C16" s="257">
        <v>1</v>
      </c>
      <c r="D16" s="264" t="s">
        <v>55</v>
      </c>
      <c r="E16" s="259">
        <f>전기내역서!F255</f>
        <v>5981169</v>
      </c>
      <c r="F16" s="259">
        <f>C16*E16</f>
        <v>5981169</v>
      </c>
      <c r="G16" s="259">
        <f>전기내역서!H255</f>
        <v>5472390</v>
      </c>
      <c r="H16" s="259">
        <f>C16*G16</f>
        <v>5472390</v>
      </c>
      <c r="I16" s="259"/>
      <c r="J16" s="259"/>
      <c r="K16" s="259">
        <f>F16+H16</f>
        <v>11453559</v>
      </c>
      <c r="L16" s="256"/>
    </row>
    <row r="17" spans="1:12" ht="27" customHeight="1">
      <c r="A17" s="324" t="s">
        <v>842</v>
      </c>
      <c r="B17" s="324"/>
      <c r="C17" s="257">
        <v>1</v>
      </c>
      <c r="D17" s="264" t="s">
        <v>55</v>
      </c>
      <c r="E17" s="259">
        <f>전기내역서!F276</f>
        <v>936800</v>
      </c>
      <c r="F17" s="259">
        <f>C17*E17</f>
        <v>936800</v>
      </c>
      <c r="G17" s="259">
        <f>전기내역서!H276</f>
        <v>1989960</v>
      </c>
      <c r="H17" s="259">
        <f>C17*G17</f>
        <v>1989960</v>
      </c>
      <c r="I17" s="259"/>
      <c r="J17" s="259"/>
      <c r="K17" s="259">
        <f>F17+H17</f>
        <v>2926760</v>
      </c>
      <c r="L17" s="256"/>
    </row>
    <row r="18" spans="1:12" ht="27" customHeight="1">
      <c r="A18" s="325" t="s">
        <v>836</v>
      </c>
      <c r="B18" s="325"/>
      <c r="C18" s="260"/>
      <c r="D18" s="261"/>
      <c r="E18" s="262"/>
      <c r="F18" s="262">
        <f>SUM(F16:F17)</f>
        <v>6917969</v>
      </c>
      <c r="G18" s="262"/>
      <c r="H18" s="262">
        <f>SUM(H16:H17)</f>
        <v>7462350</v>
      </c>
      <c r="I18" s="262"/>
      <c r="J18" s="262"/>
      <c r="K18" s="262">
        <f>SUM(K16:K17)</f>
        <v>14380319</v>
      </c>
      <c r="L18" s="263"/>
    </row>
    <row r="19" spans="1:12" ht="13.5" customHeight="1"/>
    <row r="20" spans="1:12" ht="46.5" customHeight="1">
      <c r="A20" s="326" t="s">
        <v>843</v>
      </c>
      <c r="B20" s="326"/>
      <c r="C20" s="265"/>
      <c r="D20" s="266"/>
      <c r="E20" s="267"/>
      <c r="F20" s="267">
        <f>+F18+F14+F10</f>
        <v>33508237</v>
      </c>
      <c r="G20" s="267"/>
      <c r="H20" s="267">
        <f>+H18+H14+H10</f>
        <v>40365700</v>
      </c>
      <c r="I20" s="267"/>
      <c r="J20" s="267"/>
      <c r="K20" s="267">
        <f>+K18+K14+K10</f>
        <v>73873937</v>
      </c>
      <c r="L20" s="268"/>
    </row>
  </sheetData>
  <mergeCells count="25">
    <mergeCell ref="A20:B20"/>
    <mergeCell ref="A14:B14"/>
    <mergeCell ref="A15:L15"/>
    <mergeCell ref="A16:B16"/>
    <mergeCell ref="A17:B17"/>
    <mergeCell ref="A18:B18"/>
    <mergeCell ref="A9:B9"/>
    <mergeCell ref="A10:B10"/>
    <mergeCell ref="A11:L11"/>
    <mergeCell ref="A12:B12"/>
    <mergeCell ref="A13:B13"/>
    <mergeCell ref="A4:L4"/>
    <mergeCell ref="A5:L5"/>
    <mergeCell ref="A6:B6"/>
    <mergeCell ref="A7:B7"/>
    <mergeCell ref="A8:B8"/>
    <mergeCell ref="A1:L1"/>
    <mergeCell ref="A2:B3"/>
    <mergeCell ref="C2:C3"/>
    <mergeCell ref="D2:D3"/>
    <mergeCell ref="E2:F2"/>
    <mergeCell ref="G2:H2"/>
    <mergeCell ref="I2:J2"/>
    <mergeCell ref="K2:K3"/>
    <mergeCell ref="L2:L3"/>
  </mergeCells>
  <phoneticPr fontId="14" type="noConversion"/>
  <printOptions horizontalCentered="1" verticalCentered="1"/>
  <pageMargins left="0.55138888888888904" right="0.35416666666666702" top="0.59027777777777801" bottom="0.59027777777777801" header="0.511811023622047" footer="0.511811023622047"/>
  <pageSetup paperSize="9" scale="9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FBFBF"/>
  </sheetPr>
  <dimension ref="A1:L276"/>
  <sheetViews>
    <sheetView tabSelected="1" view="pageBreakPreview" zoomScale="70" zoomScaleNormal="89" zoomScalePageLayoutView="70" workbookViewId="0">
      <pane ySplit="3" topLeftCell="A55" activePane="bottomLeft" state="frozen"/>
      <selection pane="bottomLeft" activeCell="F58" sqref="F58"/>
    </sheetView>
  </sheetViews>
  <sheetFormatPr defaultColWidth="8.88671875" defaultRowHeight="16.5"/>
  <cols>
    <col min="1" max="1" width="24.33203125" style="269" customWidth="1"/>
    <col min="2" max="2" width="25.33203125" style="269" customWidth="1"/>
    <col min="3" max="3" width="4.109375" style="270" customWidth="1"/>
    <col min="4" max="4" width="10" style="110" customWidth="1"/>
    <col min="5" max="5" width="13" style="271" customWidth="1"/>
    <col min="6" max="6" width="13.109375" style="271" customWidth="1"/>
    <col min="7" max="7" width="10.44140625" style="271" customWidth="1"/>
    <col min="8" max="8" width="11.77734375" style="271" customWidth="1"/>
    <col min="9" max="9" width="8.44140625" style="272" customWidth="1"/>
    <col min="10" max="10" width="9.109375" style="272" customWidth="1"/>
    <col min="11" max="11" width="13" style="271" customWidth="1"/>
    <col min="12" max="12" width="11.109375" style="273" customWidth="1"/>
    <col min="13" max="16384" width="8.88671875" style="274"/>
  </cols>
  <sheetData>
    <row r="1" spans="1:12" ht="22.5" customHeight="1">
      <c r="A1" s="319" t="s">
        <v>826</v>
      </c>
      <c r="B1" s="319"/>
      <c r="C1" s="319"/>
      <c r="D1" s="319"/>
      <c r="E1" s="319"/>
      <c r="F1" s="319"/>
      <c r="G1" s="319"/>
      <c r="H1" s="319"/>
      <c r="I1" s="319"/>
      <c r="J1" s="319"/>
      <c r="K1" s="319"/>
      <c r="L1" s="319"/>
    </row>
    <row r="2" spans="1:12" s="184" customFormat="1" ht="29.25" customHeight="1">
      <c r="A2" s="327" t="s">
        <v>844</v>
      </c>
      <c r="B2" s="327" t="s">
        <v>845</v>
      </c>
      <c r="C2" s="328" t="s">
        <v>45</v>
      </c>
      <c r="D2" s="329" t="s">
        <v>46</v>
      </c>
      <c r="E2" s="330" t="s">
        <v>828</v>
      </c>
      <c r="F2" s="330"/>
      <c r="G2" s="330" t="s">
        <v>16</v>
      </c>
      <c r="H2" s="330"/>
      <c r="I2" s="330" t="s">
        <v>20</v>
      </c>
      <c r="J2" s="330"/>
      <c r="K2" s="329" t="s">
        <v>829</v>
      </c>
      <c r="L2" s="327" t="s">
        <v>51</v>
      </c>
    </row>
    <row r="3" spans="1:12" s="184" customFormat="1" ht="29.25" customHeight="1">
      <c r="A3" s="327"/>
      <c r="B3" s="327"/>
      <c r="C3" s="327"/>
      <c r="D3" s="327"/>
      <c r="E3" s="275" t="s">
        <v>52</v>
      </c>
      <c r="F3" s="275" t="s">
        <v>53</v>
      </c>
      <c r="G3" s="275" t="s">
        <v>52</v>
      </c>
      <c r="H3" s="275" t="s">
        <v>53</v>
      </c>
      <c r="I3" s="276" t="s">
        <v>52</v>
      </c>
      <c r="J3" s="276" t="s">
        <v>53</v>
      </c>
      <c r="K3" s="329"/>
      <c r="L3" s="329"/>
    </row>
    <row r="4" spans="1:12" ht="29.25" customHeight="1">
      <c r="A4" s="331" t="s">
        <v>846</v>
      </c>
      <c r="B4" s="331"/>
      <c r="C4" s="331"/>
      <c r="D4" s="331"/>
      <c r="E4" s="331"/>
      <c r="F4" s="331"/>
      <c r="G4" s="331"/>
      <c r="H4" s="331"/>
      <c r="I4" s="331"/>
      <c r="J4" s="331"/>
      <c r="K4" s="331"/>
      <c r="L4" s="331"/>
    </row>
    <row r="5" spans="1:12" ht="29.25" customHeight="1">
      <c r="A5" s="277" t="s">
        <v>847</v>
      </c>
      <c r="B5" s="278" t="s">
        <v>848</v>
      </c>
      <c r="C5" s="279" t="s">
        <v>547</v>
      </c>
      <c r="D5" s="97">
        <v>40</v>
      </c>
      <c r="E5" s="97">
        <v>1800</v>
      </c>
      <c r="F5" s="97">
        <f t="shared" ref="F5:F48" si="0">D5*E5</f>
        <v>72000</v>
      </c>
      <c r="G5" s="97"/>
      <c r="H5" s="97"/>
      <c r="I5" s="280"/>
      <c r="J5" s="280"/>
      <c r="K5" s="97">
        <f t="shared" ref="K5:K48" si="1">F5</f>
        <v>72000</v>
      </c>
      <c r="L5" s="281"/>
    </row>
    <row r="6" spans="1:12" ht="29.25" customHeight="1">
      <c r="A6" s="282" t="s">
        <v>849</v>
      </c>
      <c r="B6" s="283" t="s">
        <v>850</v>
      </c>
      <c r="C6" s="279" t="s">
        <v>547</v>
      </c>
      <c r="D6" s="97">
        <v>46</v>
      </c>
      <c r="E6" s="97">
        <v>1100</v>
      </c>
      <c r="F6" s="97">
        <f t="shared" si="0"/>
        <v>50600</v>
      </c>
      <c r="G6" s="97"/>
      <c r="H6" s="97"/>
      <c r="I6" s="281"/>
      <c r="J6" s="281"/>
      <c r="K6" s="97">
        <f t="shared" si="1"/>
        <v>50600</v>
      </c>
      <c r="L6" s="281"/>
    </row>
    <row r="7" spans="1:12" ht="29.25" customHeight="1">
      <c r="A7" s="282" t="s">
        <v>849</v>
      </c>
      <c r="B7" s="283" t="s">
        <v>851</v>
      </c>
      <c r="C7" s="279" t="s">
        <v>547</v>
      </c>
      <c r="D7" s="97">
        <v>42</v>
      </c>
      <c r="E7" s="97">
        <v>1400</v>
      </c>
      <c r="F7" s="97">
        <f t="shared" si="0"/>
        <v>58800</v>
      </c>
      <c r="G7" s="97"/>
      <c r="H7" s="97"/>
      <c r="I7" s="281"/>
      <c r="J7" s="281"/>
      <c r="K7" s="97">
        <f t="shared" si="1"/>
        <v>58800</v>
      </c>
      <c r="L7" s="281"/>
    </row>
    <row r="8" spans="1:12" ht="29.25" customHeight="1">
      <c r="A8" s="282" t="s">
        <v>849</v>
      </c>
      <c r="B8" s="283" t="s">
        <v>852</v>
      </c>
      <c r="C8" s="279" t="s">
        <v>547</v>
      </c>
      <c r="D8" s="97">
        <v>68</v>
      </c>
      <c r="E8" s="97">
        <v>1500</v>
      </c>
      <c r="F8" s="97">
        <f t="shared" si="0"/>
        <v>102000</v>
      </c>
      <c r="G8" s="97"/>
      <c r="H8" s="97"/>
      <c r="I8" s="259"/>
      <c r="J8" s="259"/>
      <c r="K8" s="97">
        <f t="shared" si="1"/>
        <v>102000</v>
      </c>
      <c r="L8" s="284"/>
    </row>
    <row r="9" spans="1:12" ht="29.25" customHeight="1">
      <c r="A9" s="282" t="s">
        <v>849</v>
      </c>
      <c r="B9" s="283" t="s">
        <v>853</v>
      </c>
      <c r="C9" s="279" t="s">
        <v>547</v>
      </c>
      <c r="D9" s="122">
        <v>36</v>
      </c>
      <c r="E9" s="122">
        <v>1700</v>
      </c>
      <c r="F9" s="97">
        <f t="shared" si="0"/>
        <v>61200</v>
      </c>
      <c r="G9" s="97"/>
      <c r="H9" s="97"/>
      <c r="I9" s="259"/>
      <c r="J9" s="259"/>
      <c r="K9" s="97">
        <f t="shared" si="1"/>
        <v>61200</v>
      </c>
      <c r="L9" s="284"/>
    </row>
    <row r="10" spans="1:12" ht="29.25" customHeight="1">
      <c r="A10" s="282" t="s">
        <v>854</v>
      </c>
      <c r="B10" s="283" t="s">
        <v>855</v>
      </c>
      <c r="C10" s="279" t="s">
        <v>547</v>
      </c>
      <c r="D10" s="122">
        <v>8</v>
      </c>
      <c r="E10" s="122">
        <v>1800</v>
      </c>
      <c r="F10" s="97">
        <f t="shared" si="0"/>
        <v>14400</v>
      </c>
      <c r="G10" s="97"/>
      <c r="H10" s="97"/>
      <c r="I10" s="259"/>
      <c r="J10" s="259"/>
      <c r="K10" s="97">
        <f t="shared" si="1"/>
        <v>14400</v>
      </c>
      <c r="L10" s="284"/>
    </row>
    <row r="11" spans="1:12" ht="29.25" customHeight="1">
      <c r="A11" s="282" t="s">
        <v>854</v>
      </c>
      <c r="B11" s="283" t="s">
        <v>856</v>
      </c>
      <c r="C11" s="279" t="s">
        <v>547</v>
      </c>
      <c r="D11" s="122">
        <v>8</v>
      </c>
      <c r="E11" s="122">
        <v>2700</v>
      </c>
      <c r="F11" s="97">
        <f t="shared" si="0"/>
        <v>21600</v>
      </c>
      <c r="G11" s="97"/>
      <c r="H11" s="97"/>
      <c r="I11" s="259"/>
      <c r="J11" s="259"/>
      <c r="K11" s="97">
        <f t="shared" si="1"/>
        <v>21600</v>
      </c>
      <c r="L11" s="284"/>
    </row>
    <row r="12" spans="1:12" ht="29.25" customHeight="1">
      <c r="A12" s="282" t="s">
        <v>854</v>
      </c>
      <c r="B12" s="283" t="s">
        <v>857</v>
      </c>
      <c r="C12" s="279" t="s">
        <v>547</v>
      </c>
      <c r="D12" s="122">
        <v>12</v>
      </c>
      <c r="E12" s="122">
        <v>4800</v>
      </c>
      <c r="F12" s="97">
        <f t="shared" si="0"/>
        <v>57600</v>
      </c>
      <c r="G12" s="97"/>
      <c r="H12" s="97"/>
      <c r="I12" s="259"/>
      <c r="J12" s="259"/>
      <c r="K12" s="97">
        <f t="shared" si="1"/>
        <v>57600</v>
      </c>
      <c r="L12" s="284"/>
    </row>
    <row r="13" spans="1:12" ht="29.25" customHeight="1">
      <c r="A13" s="282" t="s">
        <v>858</v>
      </c>
      <c r="B13" s="282" t="s">
        <v>859</v>
      </c>
      <c r="C13" s="285" t="s">
        <v>400</v>
      </c>
      <c r="D13" s="122">
        <v>4</v>
      </c>
      <c r="E13" s="122">
        <v>400</v>
      </c>
      <c r="F13" s="97">
        <f t="shared" si="0"/>
        <v>1600</v>
      </c>
      <c r="G13" s="97"/>
      <c r="H13" s="97"/>
      <c r="I13" s="259"/>
      <c r="J13" s="259"/>
      <c r="K13" s="97">
        <f t="shared" si="1"/>
        <v>1600</v>
      </c>
      <c r="L13" s="284"/>
    </row>
    <row r="14" spans="1:12" ht="29.25" customHeight="1">
      <c r="A14" s="282" t="s">
        <v>858</v>
      </c>
      <c r="B14" s="282" t="s">
        <v>860</v>
      </c>
      <c r="C14" s="285" t="s">
        <v>400</v>
      </c>
      <c r="D14" s="122">
        <v>6</v>
      </c>
      <c r="E14" s="122">
        <v>600</v>
      </c>
      <c r="F14" s="97">
        <f t="shared" si="0"/>
        <v>3600</v>
      </c>
      <c r="G14" s="97"/>
      <c r="H14" s="97"/>
      <c r="I14" s="259"/>
      <c r="J14" s="259"/>
      <c r="K14" s="97">
        <f t="shared" si="1"/>
        <v>3600</v>
      </c>
      <c r="L14" s="284"/>
    </row>
    <row r="15" spans="1:12" ht="29.25" customHeight="1">
      <c r="A15" s="282" t="s">
        <v>858</v>
      </c>
      <c r="B15" s="282" t="s">
        <v>861</v>
      </c>
      <c r="C15" s="285" t="s">
        <v>400</v>
      </c>
      <c r="D15" s="122">
        <v>8</v>
      </c>
      <c r="E15" s="122">
        <v>800</v>
      </c>
      <c r="F15" s="97">
        <f t="shared" si="0"/>
        <v>6400</v>
      </c>
      <c r="G15" s="97"/>
      <c r="H15" s="97"/>
      <c r="I15" s="259"/>
      <c r="J15" s="259"/>
      <c r="K15" s="97">
        <f t="shared" si="1"/>
        <v>6400</v>
      </c>
      <c r="L15" s="284"/>
    </row>
    <row r="16" spans="1:12" ht="29.25" customHeight="1">
      <c r="A16" s="282" t="s">
        <v>858</v>
      </c>
      <c r="B16" s="282" t="s">
        <v>862</v>
      </c>
      <c r="C16" s="285" t="s">
        <v>400</v>
      </c>
      <c r="D16" s="122">
        <v>4</v>
      </c>
      <c r="E16" s="122">
        <v>1400</v>
      </c>
      <c r="F16" s="97">
        <f t="shared" si="0"/>
        <v>5600</v>
      </c>
      <c r="G16" s="97"/>
      <c r="H16" s="97"/>
      <c r="I16" s="259"/>
      <c r="J16" s="259"/>
      <c r="K16" s="97">
        <f t="shared" si="1"/>
        <v>5600</v>
      </c>
      <c r="L16" s="284"/>
    </row>
    <row r="17" spans="1:12" ht="29.25" customHeight="1">
      <c r="A17" s="282" t="s">
        <v>863</v>
      </c>
      <c r="B17" s="283" t="s">
        <v>864</v>
      </c>
      <c r="C17" s="285" t="s">
        <v>400</v>
      </c>
      <c r="D17" s="122">
        <v>4</v>
      </c>
      <c r="E17" s="122">
        <v>1300</v>
      </c>
      <c r="F17" s="97">
        <f t="shared" si="0"/>
        <v>5200</v>
      </c>
      <c r="G17" s="97"/>
      <c r="H17" s="97"/>
      <c r="I17" s="259"/>
      <c r="J17" s="259"/>
      <c r="K17" s="97">
        <f t="shared" si="1"/>
        <v>5200</v>
      </c>
      <c r="L17" s="284"/>
    </row>
    <row r="18" spans="1:12" ht="29.25" customHeight="1">
      <c r="A18" s="282" t="s">
        <v>863</v>
      </c>
      <c r="B18" s="283" t="s">
        <v>865</v>
      </c>
      <c r="C18" s="285" t="s">
        <v>400</v>
      </c>
      <c r="D18" s="122">
        <v>4</v>
      </c>
      <c r="E18" s="122">
        <v>1900</v>
      </c>
      <c r="F18" s="97">
        <f t="shared" si="0"/>
        <v>7600</v>
      </c>
      <c r="G18" s="97"/>
      <c r="H18" s="97"/>
      <c r="I18" s="259"/>
      <c r="J18" s="259"/>
      <c r="K18" s="97">
        <f t="shared" si="1"/>
        <v>7600</v>
      </c>
      <c r="L18" s="284"/>
    </row>
    <row r="19" spans="1:12" ht="29.25" customHeight="1">
      <c r="A19" s="282" t="s">
        <v>863</v>
      </c>
      <c r="B19" s="283" t="s">
        <v>866</v>
      </c>
      <c r="C19" s="285" t="s">
        <v>400</v>
      </c>
      <c r="D19" s="122">
        <v>2</v>
      </c>
      <c r="E19" s="122">
        <v>3700</v>
      </c>
      <c r="F19" s="97">
        <f t="shared" si="0"/>
        <v>7400</v>
      </c>
      <c r="G19" s="97"/>
      <c r="H19" s="97"/>
      <c r="I19" s="259"/>
      <c r="J19" s="259"/>
      <c r="K19" s="97">
        <f t="shared" si="1"/>
        <v>7400</v>
      </c>
      <c r="L19" s="284"/>
    </row>
    <row r="20" spans="1:12" ht="29.25" customHeight="1">
      <c r="A20" s="277" t="s">
        <v>867</v>
      </c>
      <c r="B20" s="278" t="s">
        <v>868</v>
      </c>
      <c r="C20" s="279" t="s">
        <v>547</v>
      </c>
      <c r="D20" s="122">
        <v>79</v>
      </c>
      <c r="E20" s="122">
        <v>800</v>
      </c>
      <c r="F20" s="97">
        <f t="shared" si="0"/>
        <v>63200</v>
      </c>
      <c r="G20" s="97"/>
      <c r="H20" s="97"/>
      <c r="I20" s="259"/>
      <c r="J20" s="259"/>
      <c r="K20" s="97">
        <f t="shared" si="1"/>
        <v>63200</v>
      </c>
      <c r="L20" s="284"/>
    </row>
    <row r="21" spans="1:12" ht="29.25" customHeight="1">
      <c r="A21" s="277" t="s">
        <v>867</v>
      </c>
      <c r="B21" s="278" t="s">
        <v>869</v>
      </c>
      <c r="C21" s="279" t="s">
        <v>547</v>
      </c>
      <c r="D21" s="97">
        <v>72</v>
      </c>
      <c r="E21" s="97">
        <v>1700</v>
      </c>
      <c r="F21" s="97">
        <f t="shared" si="0"/>
        <v>122400</v>
      </c>
      <c r="G21" s="97"/>
      <c r="H21" s="97"/>
      <c r="I21" s="259"/>
      <c r="J21" s="259"/>
      <c r="K21" s="97">
        <f t="shared" si="1"/>
        <v>122400</v>
      </c>
      <c r="L21" s="284"/>
    </row>
    <row r="22" spans="1:12" ht="29.25" customHeight="1">
      <c r="A22" s="277" t="s">
        <v>867</v>
      </c>
      <c r="B22" s="278" t="s">
        <v>870</v>
      </c>
      <c r="C22" s="279" t="s">
        <v>547</v>
      </c>
      <c r="D22" s="97">
        <v>72</v>
      </c>
      <c r="E22" s="97">
        <v>2600</v>
      </c>
      <c r="F22" s="97">
        <f t="shared" si="0"/>
        <v>187200</v>
      </c>
      <c r="G22" s="97"/>
      <c r="H22" s="97"/>
      <c r="I22" s="259"/>
      <c r="J22" s="259"/>
      <c r="K22" s="97">
        <f t="shared" si="1"/>
        <v>187200</v>
      </c>
      <c r="L22" s="284"/>
    </row>
    <row r="23" spans="1:12" ht="29.25" customHeight="1">
      <c r="A23" s="277" t="s">
        <v>867</v>
      </c>
      <c r="B23" s="278" t="s">
        <v>871</v>
      </c>
      <c r="C23" s="279" t="s">
        <v>547</v>
      </c>
      <c r="D23" s="90">
        <v>35</v>
      </c>
      <c r="E23" s="90">
        <v>3900</v>
      </c>
      <c r="F23" s="97">
        <f t="shared" si="0"/>
        <v>136500</v>
      </c>
      <c r="G23" s="97"/>
      <c r="H23" s="97"/>
      <c r="I23" s="259"/>
      <c r="J23" s="259"/>
      <c r="K23" s="97">
        <f t="shared" si="1"/>
        <v>136500</v>
      </c>
      <c r="L23" s="284"/>
    </row>
    <row r="24" spans="1:12" ht="29.25" customHeight="1">
      <c r="A24" s="277" t="s">
        <v>872</v>
      </c>
      <c r="B24" s="278" t="s">
        <v>873</v>
      </c>
      <c r="C24" s="279" t="s">
        <v>547</v>
      </c>
      <c r="D24" s="90">
        <v>48</v>
      </c>
      <c r="E24" s="90">
        <v>1900</v>
      </c>
      <c r="F24" s="97">
        <f t="shared" si="0"/>
        <v>91200</v>
      </c>
      <c r="G24" s="97"/>
      <c r="H24" s="97"/>
      <c r="I24" s="259"/>
      <c r="J24" s="259"/>
      <c r="K24" s="97">
        <f t="shared" si="1"/>
        <v>91200</v>
      </c>
      <c r="L24" s="284"/>
    </row>
    <row r="25" spans="1:12" ht="29.25" customHeight="1">
      <c r="A25" s="277" t="s">
        <v>872</v>
      </c>
      <c r="B25" s="278" t="s">
        <v>874</v>
      </c>
      <c r="C25" s="279" t="s">
        <v>547</v>
      </c>
      <c r="D25" s="90">
        <v>30</v>
      </c>
      <c r="E25" s="90">
        <v>4000</v>
      </c>
      <c r="F25" s="97">
        <f t="shared" si="0"/>
        <v>120000</v>
      </c>
      <c r="G25" s="97"/>
      <c r="H25" s="97"/>
      <c r="I25" s="259"/>
      <c r="J25" s="259"/>
      <c r="K25" s="97">
        <f t="shared" si="1"/>
        <v>120000</v>
      </c>
      <c r="L25" s="284"/>
    </row>
    <row r="26" spans="1:12" ht="29.25" customHeight="1">
      <c r="A26" s="277" t="s">
        <v>872</v>
      </c>
      <c r="B26" s="278" t="s">
        <v>875</v>
      </c>
      <c r="C26" s="279" t="s">
        <v>547</v>
      </c>
      <c r="D26" s="90">
        <v>42</v>
      </c>
      <c r="E26" s="90">
        <v>7500</v>
      </c>
      <c r="F26" s="97">
        <f t="shared" si="0"/>
        <v>315000</v>
      </c>
      <c r="G26" s="97"/>
      <c r="H26" s="97"/>
      <c r="I26" s="259"/>
      <c r="J26" s="259"/>
      <c r="K26" s="97">
        <f t="shared" si="1"/>
        <v>315000</v>
      </c>
      <c r="L26" s="284"/>
    </row>
    <row r="27" spans="1:12" ht="29.25" customHeight="1">
      <c r="A27" s="277" t="s">
        <v>872</v>
      </c>
      <c r="B27" s="278" t="s">
        <v>876</v>
      </c>
      <c r="C27" s="279" t="s">
        <v>547</v>
      </c>
      <c r="D27" s="90">
        <v>72</v>
      </c>
      <c r="E27" s="90">
        <v>5800</v>
      </c>
      <c r="F27" s="97">
        <f t="shared" si="0"/>
        <v>417600</v>
      </c>
      <c r="G27" s="97"/>
      <c r="H27" s="97"/>
      <c r="I27" s="259"/>
      <c r="J27" s="259"/>
      <c r="K27" s="97">
        <f t="shared" si="1"/>
        <v>417600</v>
      </c>
      <c r="L27" s="284"/>
    </row>
    <row r="28" spans="1:12" ht="29.25" customHeight="1">
      <c r="A28" s="277" t="s">
        <v>872</v>
      </c>
      <c r="B28" s="278" t="s">
        <v>877</v>
      </c>
      <c r="C28" s="279" t="s">
        <v>547</v>
      </c>
      <c r="D28" s="90">
        <v>160</v>
      </c>
      <c r="E28" s="90">
        <v>6200</v>
      </c>
      <c r="F28" s="97">
        <f t="shared" si="0"/>
        <v>992000</v>
      </c>
      <c r="G28" s="97"/>
      <c r="H28" s="97"/>
      <c r="I28" s="259"/>
      <c r="J28" s="259"/>
      <c r="K28" s="97">
        <f t="shared" si="1"/>
        <v>992000</v>
      </c>
      <c r="L28" s="284"/>
    </row>
    <row r="29" spans="1:12" ht="29.25" customHeight="1">
      <c r="A29" s="277" t="s">
        <v>878</v>
      </c>
      <c r="B29" s="278" t="s">
        <v>879</v>
      </c>
      <c r="C29" s="279" t="s">
        <v>547</v>
      </c>
      <c r="D29" s="90">
        <v>16</v>
      </c>
      <c r="E29" s="90">
        <v>1700</v>
      </c>
      <c r="F29" s="97">
        <f t="shared" si="0"/>
        <v>27200</v>
      </c>
      <c r="G29" s="97"/>
      <c r="H29" s="97"/>
      <c r="I29" s="259"/>
      <c r="J29" s="259"/>
      <c r="K29" s="97">
        <f t="shared" si="1"/>
        <v>27200</v>
      </c>
      <c r="L29" s="284"/>
    </row>
    <row r="30" spans="1:12" ht="29.25" customHeight="1">
      <c r="A30" s="277" t="s">
        <v>878</v>
      </c>
      <c r="B30" s="278" t="s">
        <v>880</v>
      </c>
      <c r="C30" s="279" t="s">
        <v>547</v>
      </c>
      <c r="D30" s="90">
        <v>14</v>
      </c>
      <c r="E30" s="90">
        <v>2500</v>
      </c>
      <c r="F30" s="97">
        <f t="shared" si="0"/>
        <v>35000</v>
      </c>
      <c r="G30" s="97"/>
      <c r="H30" s="97"/>
      <c r="I30" s="259"/>
      <c r="J30" s="259"/>
      <c r="K30" s="97">
        <f t="shared" si="1"/>
        <v>35000</v>
      </c>
      <c r="L30" s="284"/>
    </row>
    <row r="31" spans="1:12" ht="29.25" customHeight="1">
      <c r="A31" s="277" t="s">
        <v>878</v>
      </c>
      <c r="B31" s="278" t="s">
        <v>881</v>
      </c>
      <c r="C31" s="279" t="s">
        <v>547</v>
      </c>
      <c r="D31" s="90">
        <v>22</v>
      </c>
      <c r="E31" s="90">
        <v>18300</v>
      </c>
      <c r="F31" s="97">
        <f t="shared" si="0"/>
        <v>402600</v>
      </c>
      <c r="G31" s="97"/>
      <c r="H31" s="97"/>
      <c r="I31" s="259"/>
      <c r="J31" s="259"/>
      <c r="K31" s="97">
        <f t="shared" si="1"/>
        <v>402600</v>
      </c>
      <c r="L31" s="284"/>
    </row>
    <row r="32" spans="1:12" ht="29.25" customHeight="1">
      <c r="A32" s="277" t="s">
        <v>882</v>
      </c>
      <c r="B32" s="278" t="s">
        <v>883</v>
      </c>
      <c r="C32" s="286" t="s">
        <v>400</v>
      </c>
      <c r="D32" s="122">
        <v>40</v>
      </c>
      <c r="E32" s="122">
        <v>200</v>
      </c>
      <c r="F32" s="97">
        <f t="shared" si="0"/>
        <v>8000</v>
      </c>
      <c r="G32" s="97"/>
      <c r="H32" s="97"/>
      <c r="I32" s="259"/>
      <c r="J32" s="259"/>
      <c r="K32" s="97">
        <f t="shared" si="1"/>
        <v>8000</v>
      </c>
      <c r="L32" s="284"/>
    </row>
    <row r="33" spans="1:12" ht="29.25" customHeight="1">
      <c r="A33" s="277" t="s">
        <v>882</v>
      </c>
      <c r="B33" s="278" t="s">
        <v>884</v>
      </c>
      <c r="C33" s="286" t="s">
        <v>400</v>
      </c>
      <c r="D33" s="122">
        <v>20</v>
      </c>
      <c r="E33" s="122">
        <v>300</v>
      </c>
      <c r="F33" s="97">
        <f t="shared" si="0"/>
        <v>6000</v>
      </c>
      <c r="G33" s="97"/>
      <c r="H33" s="97"/>
      <c r="I33" s="259"/>
      <c r="J33" s="259"/>
      <c r="K33" s="97">
        <f t="shared" si="1"/>
        <v>6000</v>
      </c>
      <c r="L33" s="284"/>
    </row>
    <row r="34" spans="1:12" ht="29.25" customHeight="1">
      <c r="A34" s="277" t="s">
        <v>882</v>
      </c>
      <c r="B34" s="278" t="s">
        <v>885</v>
      </c>
      <c r="C34" s="286" t="s">
        <v>400</v>
      </c>
      <c r="D34" s="122">
        <v>20</v>
      </c>
      <c r="E34" s="122">
        <v>600</v>
      </c>
      <c r="F34" s="97">
        <f t="shared" si="0"/>
        <v>12000</v>
      </c>
      <c r="G34" s="97"/>
      <c r="H34" s="97"/>
      <c r="I34" s="259"/>
      <c r="J34" s="259"/>
      <c r="K34" s="97">
        <f t="shared" si="1"/>
        <v>12000</v>
      </c>
      <c r="L34" s="284"/>
    </row>
    <row r="35" spans="1:12" ht="29.25" customHeight="1">
      <c r="A35" s="277" t="s">
        <v>882</v>
      </c>
      <c r="B35" s="278" t="s">
        <v>886</v>
      </c>
      <c r="C35" s="286" t="s">
        <v>400</v>
      </c>
      <c r="D35" s="122">
        <v>4</v>
      </c>
      <c r="E35" s="122">
        <v>800</v>
      </c>
      <c r="F35" s="97">
        <f t="shared" si="0"/>
        <v>3200</v>
      </c>
      <c r="G35" s="97"/>
      <c r="H35" s="97"/>
      <c r="I35" s="259"/>
      <c r="J35" s="259"/>
      <c r="K35" s="97">
        <f t="shared" si="1"/>
        <v>3200</v>
      </c>
      <c r="L35" s="284"/>
    </row>
    <row r="36" spans="1:12" ht="29.25" customHeight="1">
      <c r="A36" s="277" t="s">
        <v>887</v>
      </c>
      <c r="B36" s="278" t="s">
        <v>888</v>
      </c>
      <c r="C36" s="286" t="s">
        <v>400</v>
      </c>
      <c r="D36" s="122">
        <v>16</v>
      </c>
      <c r="E36" s="122">
        <v>1800</v>
      </c>
      <c r="F36" s="97">
        <f t="shared" si="0"/>
        <v>28800</v>
      </c>
      <c r="G36" s="97"/>
      <c r="H36" s="97"/>
      <c r="I36" s="259"/>
      <c r="J36" s="259"/>
      <c r="K36" s="97">
        <f t="shared" si="1"/>
        <v>28800</v>
      </c>
      <c r="L36" s="284"/>
    </row>
    <row r="37" spans="1:12" ht="29.25" customHeight="1">
      <c r="A37" s="277" t="s">
        <v>889</v>
      </c>
      <c r="B37" s="278" t="s">
        <v>890</v>
      </c>
      <c r="C37" s="286" t="s">
        <v>891</v>
      </c>
      <c r="D37" s="68">
        <v>1</v>
      </c>
      <c r="E37" s="122">
        <v>2081500</v>
      </c>
      <c r="F37" s="97">
        <f t="shared" si="0"/>
        <v>2081500</v>
      </c>
      <c r="G37" s="97"/>
      <c r="H37" s="97"/>
      <c r="I37" s="259"/>
      <c r="J37" s="259"/>
      <c r="K37" s="97">
        <f t="shared" si="1"/>
        <v>2081500</v>
      </c>
      <c r="L37" s="284"/>
    </row>
    <row r="38" spans="1:12" ht="29.25" customHeight="1">
      <c r="A38" s="277" t="s">
        <v>892</v>
      </c>
      <c r="B38" s="278" t="s">
        <v>893</v>
      </c>
      <c r="C38" s="286" t="s">
        <v>891</v>
      </c>
      <c r="D38" s="68">
        <v>1</v>
      </c>
      <c r="E38" s="122">
        <v>499600</v>
      </c>
      <c r="F38" s="97">
        <f t="shared" si="0"/>
        <v>499600</v>
      </c>
      <c r="G38" s="97"/>
      <c r="H38" s="97"/>
      <c r="I38" s="259"/>
      <c r="J38" s="259"/>
      <c r="K38" s="97">
        <f t="shared" si="1"/>
        <v>499600</v>
      </c>
      <c r="L38" s="284"/>
    </row>
    <row r="39" spans="1:12" ht="29.25" customHeight="1">
      <c r="A39" s="277" t="s">
        <v>892</v>
      </c>
      <c r="B39" s="278" t="s">
        <v>894</v>
      </c>
      <c r="C39" s="286" t="s">
        <v>891</v>
      </c>
      <c r="D39" s="68">
        <v>1</v>
      </c>
      <c r="E39" s="122">
        <v>1248900</v>
      </c>
      <c r="F39" s="97">
        <f t="shared" si="0"/>
        <v>1248900</v>
      </c>
      <c r="G39" s="97"/>
      <c r="H39" s="97"/>
      <c r="I39" s="259"/>
      <c r="J39" s="259"/>
      <c r="K39" s="97">
        <f t="shared" si="1"/>
        <v>1248900</v>
      </c>
      <c r="L39" s="284"/>
    </row>
    <row r="40" spans="1:12" ht="29.25" customHeight="1">
      <c r="A40" s="277" t="s">
        <v>892</v>
      </c>
      <c r="B40" s="278" t="s">
        <v>895</v>
      </c>
      <c r="C40" s="286" t="s">
        <v>891</v>
      </c>
      <c r="D40" s="68">
        <v>1</v>
      </c>
      <c r="E40" s="122">
        <v>541200</v>
      </c>
      <c r="F40" s="97">
        <f t="shared" si="0"/>
        <v>541200</v>
      </c>
      <c r="G40" s="97"/>
      <c r="H40" s="97"/>
      <c r="I40" s="259"/>
      <c r="J40" s="259"/>
      <c r="K40" s="97">
        <f t="shared" si="1"/>
        <v>541200</v>
      </c>
      <c r="L40" s="284"/>
    </row>
    <row r="41" spans="1:12" ht="29.25" customHeight="1">
      <c r="A41" s="277" t="s">
        <v>892</v>
      </c>
      <c r="B41" s="278" t="s">
        <v>896</v>
      </c>
      <c r="C41" s="286" t="s">
        <v>891</v>
      </c>
      <c r="D41" s="68">
        <v>1</v>
      </c>
      <c r="E41" s="122">
        <v>541200</v>
      </c>
      <c r="F41" s="97">
        <f t="shared" si="0"/>
        <v>541200</v>
      </c>
      <c r="G41" s="97"/>
      <c r="H41" s="97"/>
      <c r="I41" s="259"/>
      <c r="J41" s="259"/>
      <c r="K41" s="97">
        <f t="shared" si="1"/>
        <v>541200</v>
      </c>
      <c r="L41" s="284"/>
    </row>
    <row r="42" spans="1:12" ht="29.25" customHeight="1">
      <c r="A42" s="277" t="s">
        <v>892</v>
      </c>
      <c r="B42" s="278" t="s">
        <v>897</v>
      </c>
      <c r="C42" s="286" t="s">
        <v>891</v>
      </c>
      <c r="D42" s="68">
        <v>1</v>
      </c>
      <c r="E42" s="122">
        <v>541200</v>
      </c>
      <c r="F42" s="97">
        <f t="shared" si="0"/>
        <v>541200</v>
      </c>
      <c r="G42" s="97"/>
      <c r="H42" s="97"/>
      <c r="I42" s="259"/>
      <c r="J42" s="259"/>
      <c r="K42" s="97">
        <f t="shared" si="1"/>
        <v>541200</v>
      </c>
      <c r="L42" s="284"/>
    </row>
    <row r="43" spans="1:12" ht="29.25" customHeight="1">
      <c r="A43" s="277" t="s">
        <v>892</v>
      </c>
      <c r="B43" s="278" t="s">
        <v>898</v>
      </c>
      <c r="C43" s="286" t="s">
        <v>891</v>
      </c>
      <c r="D43" s="68">
        <v>1</v>
      </c>
      <c r="E43" s="122">
        <v>541200</v>
      </c>
      <c r="F43" s="97">
        <f t="shared" si="0"/>
        <v>541200</v>
      </c>
      <c r="G43" s="97"/>
      <c r="H43" s="97"/>
      <c r="I43" s="259"/>
      <c r="J43" s="259"/>
      <c r="K43" s="97">
        <f t="shared" si="1"/>
        <v>541200</v>
      </c>
      <c r="L43" s="284"/>
    </row>
    <row r="44" spans="1:12" ht="29.25" customHeight="1">
      <c r="A44" s="277" t="s">
        <v>892</v>
      </c>
      <c r="B44" s="278" t="s">
        <v>899</v>
      </c>
      <c r="C44" s="286" t="s">
        <v>891</v>
      </c>
      <c r="D44" s="68">
        <v>1</v>
      </c>
      <c r="E44" s="122">
        <v>291400</v>
      </c>
      <c r="F44" s="97">
        <f t="shared" si="0"/>
        <v>291400</v>
      </c>
      <c r="G44" s="97"/>
      <c r="H44" s="97"/>
      <c r="I44" s="259"/>
      <c r="J44" s="259"/>
      <c r="K44" s="97">
        <f t="shared" si="1"/>
        <v>291400</v>
      </c>
      <c r="L44" s="284"/>
    </row>
    <row r="45" spans="1:12" ht="29.25" customHeight="1">
      <c r="A45" s="277" t="s">
        <v>892</v>
      </c>
      <c r="B45" s="278" t="s">
        <v>900</v>
      </c>
      <c r="C45" s="286" t="s">
        <v>891</v>
      </c>
      <c r="D45" s="68">
        <v>1</v>
      </c>
      <c r="E45" s="122">
        <v>499600</v>
      </c>
      <c r="F45" s="97">
        <f t="shared" si="0"/>
        <v>499600</v>
      </c>
      <c r="G45" s="97"/>
      <c r="H45" s="97"/>
      <c r="I45" s="259"/>
      <c r="J45" s="259"/>
      <c r="K45" s="97">
        <f t="shared" si="1"/>
        <v>499600</v>
      </c>
      <c r="L45" s="284"/>
    </row>
    <row r="46" spans="1:12" ht="29.25" customHeight="1">
      <c r="A46" s="277" t="s">
        <v>901</v>
      </c>
      <c r="B46" s="277"/>
      <c r="C46" s="286" t="s">
        <v>891</v>
      </c>
      <c r="D46" s="68">
        <v>1</v>
      </c>
      <c r="E46" s="122">
        <v>249800</v>
      </c>
      <c r="F46" s="97">
        <f t="shared" si="0"/>
        <v>249800</v>
      </c>
      <c r="G46" s="97"/>
      <c r="H46" s="97"/>
      <c r="I46" s="259"/>
      <c r="J46" s="259"/>
      <c r="K46" s="97">
        <f t="shared" si="1"/>
        <v>249800</v>
      </c>
      <c r="L46" s="284"/>
    </row>
    <row r="47" spans="1:12" ht="29.25" customHeight="1">
      <c r="A47" s="277" t="s">
        <v>902</v>
      </c>
      <c r="B47" s="278" t="s">
        <v>903</v>
      </c>
      <c r="C47" s="286" t="s">
        <v>400</v>
      </c>
      <c r="D47" s="68">
        <v>1</v>
      </c>
      <c r="E47" s="122">
        <v>349700</v>
      </c>
      <c r="F47" s="97">
        <f t="shared" si="0"/>
        <v>349700</v>
      </c>
      <c r="G47" s="97"/>
      <c r="H47" s="97"/>
      <c r="I47" s="259"/>
      <c r="J47" s="259"/>
      <c r="K47" s="97">
        <f t="shared" si="1"/>
        <v>349700</v>
      </c>
      <c r="L47" s="284"/>
    </row>
    <row r="48" spans="1:12" ht="29.25" customHeight="1">
      <c r="A48" s="283" t="s">
        <v>904</v>
      </c>
      <c r="B48" s="282" t="s">
        <v>905</v>
      </c>
      <c r="C48" s="285" t="s">
        <v>55</v>
      </c>
      <c r="D48" s="122">
        <v>1</v>
      </c>
      <c r="E48" s="122">
        <f>TRUNC(SUM(F5:F12,F20:F31)*0.02,0)</f>
        <v>66962</v>
      </c>
      <c r="F48" s="97">
        <f t="shared" si="0"/>
        <v>66962</v>
      </c>
      <c r="G48" s="97"/>
      <c r="H48" s="97"/>
      <c r="I48" s="259"/>
      <c r="J48" s="259"/>
      <c r="K48" s="97">
        <f t="shared" si="1"/>
        <v>66962</v>
      </c>
      <c r="L48" s="284"/>
    </row>
    <row r="49" spans="1:12" ht="29.25" customHeight="1">
      <c r="A49" s="282" t="s">
        <v>494</v>
      </c>
      <c r="B49" s="282" t="s">
        <v>906</v>
      </c>
      <c r="C49" s="285" t="s">
        <v>165</v>
      </c>
      <c r="D49" s="122">
        <v>14</v>
      </c>
      <c r="E49" s="122"/>
      <c r="F49" s="122"/>
      <c r="G49" s="97">
        <v>241500</v>
      </c>
      <c r="H49" s="97">
        <f>D49*G49</f>
        <v>3381000</v>
      </c>
      <c r="I49" s="259"/>
      <c r="J49" s="259"/>
      <c r="K49" s="97">
        <f>SUM(H49)</f>
        <v>3381000</v>
      </c>
      <c r="L49" s="284"/>
    </row>
    <row r="50" spans="1:12" ht="29.25" customHeight="1">
      <c r="A50" s="282" t="s">
        <v>494</v>
      </c>
      <c r="B50" s="282" t="s">
        <v>907</v>
      </c>
      <c r="C50" s="285" t="s">
        <v>165</v>
      </c>
      <c r="D50" s="122">
        <v>5</v>
      </c>
      <c r="E50" s="122"/>
      <c r="F50" s="122"/>
      <c r="G50" s="97">
        <v>278600</v>
      </c>
      <c r="H50" s="97">
        <f>D50*G50</f>
        <v>1393000</v>
      </c>
      <c r="I50" s="259"/>
      <c r="J50" s="259"/>
      <c r="K50" s="97">
        <f>SUM(H50)</f>
        <v>1393000</v>
      </c>
      <c r="L50" s="284"/>
    </row>
    <row r="51" spans="1:12" ht="29.25" customHeight="1">
      <c r="A51" s="283" t="s">
        <v>908</v>
      </c>
      <c r="B51" s="282" t="s">
        <v>909</v>
      </c>
      <c r="C51" s="285" t="s">
        <v>55</v>
      </c>
      <c r="D51" s="122">
        <v>1</v>
      </c>
      <c r="E51" s="122"/>
      <c r="F51" s="122"/>
      <c r="G51" s="97">
        <f>TRUNC(SUM(H49:H50)*0.03,0)</f>
        <v>143220</v>
      </c>
      <c r="H51" s="97">
        <f>D51*G51</f>
        <v>143220</v>
      </c>
      <c r="I51" s="259"/>
      <c r="J51" s="259"/>
      <c r="K51" s="97">
        <f>SUM(H51)</f>
        <v>143220</v>
      </c>
      <c r="L51" s="284"/>
    </row>
    <row r="52" spans="1:12" ht="29.25" customHeight="1">
      <c r="A52" s="282"/>
      <c r="B52" s="282"/>
      <c r="C52" s="285"/>
      <c r="D52" s="122"/>
      <c r="E52" s="122"/>
      <c r="F52" s="122"/>
      <c r="G52" s="97"/>
      <c r="H52" s="97"/>
      <c r="I52" s="259"/>
      <c r="J52" s="259"/>
      <c r="K52" s="97"/>
      <c r="L52" s="284"/>
    </row>
    <row r="53" spans="1:12" ht="29.25" customHeight="1">
      <c r="A53" s="282"/>
      <c r="B53" s="282"/>
      <c r="C53" s="285"/>
      <c r="D53" s="122"/>
      <c r="E53" s="122"/>
      <c r="F53" s="122"/>
      <c r="G53" s="97"/>
      <c r="H53" s="97"/>
      <c r="I53" s="259"/>
      <c r="J53" s="259"/>
      <c r="K53" s="97"/>
      <c r="L53" s="284"/>
    </row>
    <row r="54" spans="1:12" ht="29.25" customHeight="1">
      <c r="A54" s="282"/>
      <c r="B54" s="282"/>
      <c r="C54" s="285"/>
      <c r="D54" s="122"/>
      <c r="E54" s="122"/>
      <c r="F54" s="122"/>
      <c r="G54" s="97"/>
      <c r="H54" s="97"/>
      <c r="I54" s="259"/>
      <c r="J54" s="259"/>
      <c r="K54" s="97"/>
      <c r="L54" s="284"/>
    </row>
    <row r="55" spans="1:12" ht="29.25" customHeight="1">
      <c r="A55" s="282"/>
      <c r="B55" s="282"/>
      <c r="C55" s="285"/>
      <c r="D55" s="122"/>
      <c r="E55" s="122"/>
      <c r="F55" s="122"/>
      <c r="G55" s="97"/>
      <c r="H55" s="97"/>
      <c r="I55" s="259"/>
      <c r="J55" s="259"/>
      <c r="K55" s="97"/>
      <c r="L55" s="284"/>
    </row>
    <row r="56" spans="1:12" ht="29.25" customHeight="1">
      <c r="A56" s="282"/>
      <c r="B56" s="282"/>
      <c r="C56" s="285"/>
      <c r="D56" s="122"/>
      <c r="E56" s="122"/>
      <c r="F56" s="122"/>
      <c r="G56" s="97"/>
      <c r="H56" s="97"/>
      <c r="I56" s="259"/>
      <c r="J56" s="259"/>
      <c r="K56" s="97"/>
      <c r="L56" s="284"/>
    </row>
    <row r="57" spans="1:12" ht="29.25" customHeight="1">
      <c r="A57" s="282"/>
      <c r="B57" s="282"/>
      <c r="C57" s="285"/>
      <c r="D57" s="122"/>
      <c r="E57" s="122"/>
      <c r="F57" s="122"/>
      <c r="G57" s="97"/>
      <c r="H57" s="97"/>
      <c r="I57" s="259"/>
      <c r="J57" s="259"/>
      <c r="K57" s="97"/>
      <c r="L57" s="284"/>
    </row>
    <row r="58" spans="1:12" ht="29.25" customHeight="1">
      <c r="A58" s="282"/>
      <c r="B58" s="282"/>
      <c r="C58" s="285"/>
      <c r="D58" s="122"/>
      <c r="E58" s="122"/>
      <c r="F58" s="122"/>
      <c r="G58" s="97"/>
      <c r="H58" s="97"/>
      <c r="I58" s="259"/>
      <c r="J58" s="259"/>
      <c r="K58" s="97"/>
      <c r="L58" s="284"/>
    </row>
    <row r="59" spans="1:12" ht="29.25" customHeight="1">
      <c r="A59" s="282"/>
      <c r="B59" s="282"/>
      <c r="C59" s="285"/>
      <c r="D59" s="122"/>
      <c r="E59" s="122"/>
      <c r="F59" s="122"/>
      <c r="G59" s="97"/>
      <c r="H59" s="97"/>
      <c r="I59" s="259"/>
      <c r="J59" s="259"/>
      <c r="K59" s="97"/>
      <c r="L59" s="284"/>
    </row>
    <row r="60" spans="1:12" ht="29.25" customHeight="1">
      <c r="A60" s="282"/>
      <c r="B60" s="282"/>
      <c r="C60" s="285"/>
      <c r="D60" s="122"/>
      <c r="E60" s="122"/>
      <c r="F60" s="122"/>
      <c r="G60" s="97"/>
      <c r="H60" s="97"/>
      <c r="I60" s="259"/>
      <c r="J60" s="259"/>
      <c r="K60" s="97"/>
      <c r="L60" s="284"/>
    </row>
    <row r="61" spans="1:12" ht="29.25" customHeight="1">
      <c r="A61" s="282"/>
      <c r="B61" s="282"/>
      <c r="C61" s="285"/>
      <c r="D61" s="122"/>
      <c r="E61" s="122"/>
      <c r="F61" s="122"/>
      <c r="G61" s="97"/>
      <c r="H61" s="97"/>
      <c r="I61" s="259"/>
      <c r="J61" s="259"/>
      <c r="K61" s="97"/>
      <c r="L61" s="284"/>
    </row>
    <row r="62" spans="1:12" ht="29.25" customHeight="1">
      <c r="A62" s="282"/>
      <c r="B62" s="282"/>
      <c r="C62" s="285"/>
      <c r="D62" s="122"/>
      <c r="E62" s="122"/>
      <c r="F62" s="122"/>
      <c r="G62" s="97"/>
      <c r="H62" s="97"/>
      <c r="I62" s="259"/>
      <c r="J62" s="259"/>
      <c r="K62" s="97"/>
      <c r="L62" s="284"/>
    </row>
    <row r="63" spans="1:12" ht="29.25" customHeight="1">
      <c r="A63" s="282"/>
      <c r="B63" s="282"/>
      <c r="C63" s="285"/>
      <c r="D63" s="122"/>
      <c r="E63" s="122"/>
      <c r="F63" s="122"/>
      <c r="G63" s="97"/>
      <c r="H63" s="97"/>
      <c r="I63" s="259"/>
      <c r="J63" s="259"/>
      <c r="K63" s="97"/>
      <c r="L63" s="284"/>
    </row>
    <row r="64" spans="1:12" ht="29.25" customHeight="1">
      <c r="A64" s="282"/>
      <c r="B64" s="282"/>
      <c r="C64" s="285"/>
      <c r="D64" s="122"/>
      <c r="E64" s="122"/>
      <c r="F64" s="122"/>
      <c r="G64" s="97"/>
      <c r="H64" s="97"/>
      <c r="I64" s="259"/>
      <c r="J64" s="259"/>
      <c r="K64" s="97"/>
      <c r="L64" s="284"/>
    </row>
    <row r="65" spans="1:12" ht="29.25" customHeight="1">
      <c r="A65" s="282"/>
      <c r="B65" s="282"/>
      <c r="C65" s="285"/>
      <c r="D65" s="122"/>
      <c r="E65" s="122"/>
      <c r="F65" s="122"/>
      <c r="G65" s="97"/>
      <c r="H65" s="97"/>
      <c r="I65" s="259"/>
      <c r="J65" s="259"/>
      <c r="K65" s="97"/>
      <c r="L65" s="284"/>
    </row>
    <row r="66" spans="1:12" ht="29.25" customHeight="1">
      <c r="A66" s="263" t="s">
        <v>910</v>
      </c>
      <c r="B66" s="263"/>
      <c r="C66" s="260"/>
      <c r="D66" s="287"/>
      <c r="E66" s="287"/>
      <c r="F66" s="287">
        <f>SUM(F5:F65)</f>
        <v>10895762</v>
      </c>
      <c r="G66" s="287"/>
      <c r="H66" s="287">
        <f>SUM(H49:H65)</f>
        <v>4917220</v>
      </c>
      <c r="I66" s="262"/>
      <c r="J66" s="262"/>
      <c r="K66" s="287">
        <f>SUM(K5:K65)</f>
        <v>15812982</v>
      </c>
      <c r="L66" s="263"/>
    </row>
    <row r="67" spans="1:12" ht="29.25" customHeight="1">
      <c r="A67" s="331" t="s">
        <v>911</v>
      </c>
      <c r="B67" s="331"/>
      <c r="C67" s="331"/>
      <c r="D67" s="331"/>
      <c r="E67" s="331"/>
      <c r="F67" s="331"/>
      <c r="G67" s="331"/>
      <c r="H67" s="331"/>
      <c r="I67" s="331"/>
      <c r="J67" s="331"/>
      <c r="K67" s="331"/>
      <c r="L67" s="331"/>
    </row>
    <row r="68" spans="1:12" ht="29.25" customHeight="1">
      <c r="A68" s="282" t="s">
        <v>912</v>
      </c>
      <c r="B68" s="283" t="s">
        <v>913</v>
      </c>
      <c r="C68" s="288" t="s">
        <v>547</v>
      </c>
      <c r="D68" s="97">
        <v>1069</v>
      </c>
      <c r="E68" s="97">
        <v>100</v>
      </c>
      <c r="F68" s="97">
        <f t="shared" ref="F68:F94" si="2">D68*E68</f>
        <v>106900</v>
      </c>
      <c r="G68" s="97"/>
      <c r="H68" s="97"/>
      <c r="I68" s="259"/>
      <c r="J68" s="259"/>
      <c r="K68" s="97">
        <f t="shared" ref="K68:K94" si="3">F68</f>
        <v>106900</v>
      </c>
      <c r="L68" s="284"/>
    </row>
    <row r="69" spans="1:12" ht="29.25" customHeight="1">
      <c r="A69" s="277" t="s">
        <v>914</v>
      </c>
      <c r="B69" s="278" t="s">
        <v>915</v>
      </c>
      <c r="C69" s="288" t="s">
        <v>547</v>
      </c>
      <c r="D69" s="90">
        <v>224</v>
      </c>
      <c r="E69" s="90">
        <v>300</v>
      </c>
      <c r="F69" s="97">
        <f t="shared" si="2"/>
        <v>67200</v>
      </c>
      <c r="G69" s="97"/>
      <c r="H69" s="97"/>
      <c r="I69" s="259"/>
      <c r="J69" s="259"/>
      <c r="K69" s="97">
        <f t="shared" si="3"/>
        <v>67200</v>
      </c>
      <c r="L69" s="284"/>
    </row>
    <row r="70" spans="1:12" ht="29.25" customHeight="1">
      <c r="A70" s="278" t="s">
        <v>916</v>
      </c>
      <c r="B70" s="278" t="s">
        <v>917</v>
      </c>
      <c r="C70" s="288" t="s">
        <v>547</v>
      </c>
      <c r="D70" s="90">
        <v>183</v>
      </c>
      <c r="E70" s="90">
        <v>400</v>
      </c>
      <c r="F70" s="97">
        <f t="shared" si="2"/>
        <v>73200</v>
      </c>
      <c r="G70" s="97"/>
      <c r="H70" s="97"/>
      <c r="I70" s="259"/>
      <c r="J70" s="259"/>
      <c r="K70" s="97">
        <f t="shared" si="3"/>
        <v>73200</v>
      </c>
      <c r="L70" s="284"/>
    </row>
    <row r="71" spans="1:12" ht="29.25" customHeight="1">
      <c r="A71" s="278" t="s">
        <v>916</v>
      </c>
      <c r="B71" s="277" t="s">
        <v>918</v>
      </c>
      <c r="C71" s="286" t="s">
        <v>400</v>
      </c>
      <c r="D71" s="90">
        <v>183</v>
      </c>
      <c r="E71" s="90">
        <v>300</v>
      </c>
      <c r="F71" s="97">
        <f t="shared" si="2"/>
        <v>54900</v>
      </c>
      <c r="G71" s="97"/>
      <c r="H71" s="97"/>
      <c r="I71" s="259"/>
      <c r="J71" s="259"/>
      <c r="K71" s="97">
        <f t="shared" si="3"/>
        <v>54900</v>
      </c>
      <c r="L71" s="284"/>
    </row>
    <row r="72" spans="1:12" ht="29.25" customHeight="1">
      <c r="A72" s="277" t="s">
        <v>919</v>
      </c>
      <c r="B72" s="278" t="s">
        <v>920</v>
      </c>
      <c r="C72" s="286" t="s">
        <v>400</v>
      </c>
      <c r="D72" s="90">
        <v>152</v>
      </c>
      <c r="E72" s="90">
        <v>800</v>
      </c>
      <c r="F72" s="97">
        <f t="shared" si="2"/>
        <v>121600</v>
      </c>
      <c r="G72" s="97"/>
      <c r="H72" s="97"/>
      <c r="I72" s="259"/>
      <c r="J72" s="259"/>
      <c r="K72" s="97">
        <f t="shared" si="3"/>
        <v>121600</v>
      </c>
      <c r="L72" s="284"/>
    </row>
    <row r="73" spans="1:12" ht="29.25" customHeight="1">
      <c r="A73" s="277" t="s">
        <v>919</v>
      </c>
      <c r="B73" s="277" t="s">
        <v>921</v>
      </c>
      <c r="C73" s="286" t="s">
        <v>400</v>
      </c>
      <c r="D73" s="90">
        <v>26</v>
      </c>
      <c r="E73" s="90">
        <v>1100</v>
      </c>
      <c r="F73" s="97">
        <f t="shared" si="2"/>
        <v>28600</v>
      </c>
      <c r="G73" s="97"/>
      <c r="H73" s="97"/>
      <c r="I73" s="259"/>
      <c r="J73" s="259"/>
      <c r="K73" s="97">
        <f t="shared" si="3"/>
        <v>28600</v>
      </c>
      <c r="L73" s="284"/>
    </row>
    <row r="74" spans="1:12" ht="29.25" customHeight="1">
      <c r="A74" s="277" t="s">
        <v>922</v>
      </c>
      <c r="B74" s="278" t="s">
        <v>923</v>
      </c>
      <c r="C74" s="286" t="s">
        <v>400</v>
      </c>
      <c r="D74" s="90">
        <v>26</v>
      </c>
      <c r="E74" s="90">
        <v>700</v>
      </c>
      <c r="F74" s="97">
        <f t="shared" si="2"/>
        <v>18200</v>
      </c>
      <c r="G74" s="97"/>
      <c r="H74" s="97"/>
      <c r="I74" s="259"/>
      <c r="J74" s="259"/>
      <c r="K74" s="97">
        <f t="shared" si="3"/>
        <v>18200</v>
      </c>
      <c r="L74" s="284"/>
    </row>
    <row r="75" spans="1:12" ht="29.25" customHeight="1">
      <c r="A75" s="277" t="s">
        <v>922</v>
      </c>
      <c r="B75" s="278" t="s">
        <v>924</v>
      </c>
      <c r="C75" s="286" t="s">
        <v>400</v>
      </c>
      <c r="D75" s="90">
        <v>12</v>
      </c>
      <c r="E75" s="90">
        <v>900</v>
      </c>
      <c r="F75" s="97">
        <f t="shared" si="2"/>
        <v>10800</v>
      </c>
      <c r="G75" s="97"/>
      <c r="H75" s="97"/>
      <c r="I75" s="259"/>
      <c r="J75" s="259"/>
      <c r="K75" s="97">
        <f t="shared" si="3"/>
        <v>10800</v>
      </c>
      <c r="L75" s="284"/>
    </row>
    <row r="76" spans="1:12" ht="29.25" customHeight="1">
      <c r="A76" s="277" t="s">
        <v>925</v>
      </c>
      <c r="B76" s="277" t="s">
        <v>926</v>
      </c>
      <c r="C76" s="286" t="s">
        <v>400</v>
      </c>
      <c r="D76" s="90">
        <v>152</v>
      </c>
      <c r="E76" s="90">
        <v>400</v>
      </c>
      <c r="F76" s="97">
        <f t="shared" si="2"/>
        <v>60800</v>
      </c>
      <c r="G76" s="97"/>
      <c r="H76" s="97"/>
      <c r="I76" s="259"/>
      <c r="J76" s="259"/>
      <c r="K76" s="97">
        <f t="shared" si="3"/>
        <v>60800</v>
      </c>
      <c r="L76" s="284"/>
    </row>
    <row r="77" spans="1:12" ht="29.25" customHeight="1">
      <c r="A77" s="277" t="s">
        <v>925</v>
      </c>
      <c r="B77" s="277" t="s">
        <v>927</v>
      </c>
      <c r="C77" s="286" t="s">
        <v>400</v>
      </c>
      <c r="D77" s="90">
        <v>12</v>
      </c>
      <c r="E77" s="90">
        <v>400</v>
      </c>
      <c r="F77" s="97">
        <f t="shared" si="2"/>
        <v>4800</v>
      </c>
      <c r="G77" s="97"/>
      <c r="H77" s="97"/>
      <c r="I77" s="259"/>
      <c r="J77" s="259"/>
      <c r="K77" s="97">
        <f t="shared" si="3"/>
        <v>4800</v>
      </c>
      <c r="L77" s="284"/>
    </row>
    <row r="78" spans="1:12" ht="29.25" customHeight="1">
      <c r="A78" s="283" t="s">
        <v>928</v>
      </c>
      <c r="B78" s="283" t="s">
        <v>929</v>
      </c>
      <c r="C78" s="288" t="s">
        <v>547</v>
      </c>
      <c r="D78" s="122">
        <v>4476</v>
      </c>
      <c r="E78" s="122">
        <v>500</v>
      </c>
      <c r="F78" s="97">
        <f t="shared" si="2"/>
        <v>2238000</v>
      </c>
      <c r="G78" s="97"/>
      <c r="H78" s="97"/>
      <c r="I78" s="259"/>
      <c r="J78" s="259"/>
      <c r="K78" s="97">
        <f t="shared" si="3"/>
        <v>2238000</v>
      </c>
      <c r="L78" s="284"/>
    </row>
    <row r="79" spans="1:12" ht="29.25" customHeight="1">
      <c r="A79" s="282" t="s">
        <v>930</v>
      </c>
      <c r="B79" s="282" t="s">
        <v>931</v>
      </c>
      <c r="C79" s="285" t="s">
        <v>400</v>
      </c>
      <c r="D79" s="122">
        <v>8</v>
      </c>
      <c r="E79" s="122">
        <v>1700</v>
      </c>
      <c r="F79" s="97">
        <f t="shared" si="2"/>
        <v>13600</v>
      </c>
      <c r="G79" s="97"/>
      <c r="H79" s="97"/>
      <c r="I79" s="259"/>
      <c r="J79" s="259"/>
      <c r="K79" s="97">
        <f t="shared" si="3"/>
        <v>13600</v>
      </c>
      <c r="L79" s="284"/>
    </row>
    <row r="80" spans="1:12" ht="29.25" customHeight="1">
      <c r="A80" s="282" t="s">
        <v>930</v>
      </c>
      <c r="B80" s="282" t="s">
        <v>932</v>
      </c>
      <c r="C80" s="285" t="s">
        <v>400</v>
      </c>
      <c r="D80" s="122">
        <v>12</v>
      </c>
      <c r="E80" s="122">
        <v>2500</v>
      </c>
      <c r="F80" s="97">
        <f t="shared" si="2"/>
        <v>30000</v>
      </c>
      <c r="G80" s="97"/>
      <c r="H80" s="97"/>
      <c r="I80" s="259"/>
      <c r="J80" s="259"/>
      <c r="K80" s="97">
        <f t="shared" si="3"/>
        <v>30000</v>
      </c>
      <c r="L80" s="284"/>
    </row>
    <row r="81" spans="1:12" ht="29.25" customHeight="1">
      <c r="A81" s="282" t="s">
        <v>930</v>
      </c>
      <c r="B81" s="282" t="s">
        <v>933</v>
      </c>
      <c r="C81" s="285" t="s">
        <v>400</v>
      </c>
      <c r="D81" s="122">
        <v>2</v>
      </c>
      <c r="E81" s="122">
        <v>3300</v>
      </c>
      <c r="F81" s="97">
        <f t="shared" si="2"/>
        <v>6600</v>
      </c>
      <c r="G81" s="97"/>
      <c r="H81" s="97"/>
      <c r="I81" s="259"/>
      <c r="J81" s="259"/>
      <c r="K81" s="97">
        <f t="shared" si="3"/>
        <v>6600</v>
      </c>
      <c r="L81" s="284"/>
    </row>
    <row r="82" spans="1:12" ht="29.25" customHeight="1">
      <c r="A82" s="282" t="s">
        <v>930</v>
      </c>
      <c r="B82" s="282" t="s">
        <v>934</v>
      </c>
      <c r="C82" s="285" t="s">
        <v>400</v>
      </c>
      <c r="D82" s="122">
        <v>2</v>
      </c>
      <c r="E82" s="122">
        <v>4300</v>
      </c>
      <c r="F82" s="97">
        <f t="shared" si="2"/>
        <v>8600</v>
      </c>
      <c r="G82" s="97"/>
      <c r="H82" s="97"/>
      <c r="I82" s="259"/>
      <c r="J82" s="259"/>
      <c r="K82" s="97">
        <f t="shared" si="3"/>
        <v>8600</v>
      </c>
      <c r="L82" s="284"/>
    </row>
    <row r="83" spans="1:12" ht="29.25" customHeight="1">
      <c r="A83" s="282" t="s">
        <v>930</v>
      </c>
      <c r="B83" s="282" t="s">
        <v>935</v>
      </c>
      <c r="C83" s="285" t="s">
        <v>400</v>
      </c>
      <c r="D83" s="122">
        <v>3</v>
      </c>
      <c r="E83" s="122">
        <v>5200</v>
      </c>
      <c r="F83" s="97">
        <f t="shared" si="2"/>
        <v>15600</v>
      </c>
      <c r="G83" s="97"/>
      <c r="H83" s="97"/>
      <c r="I83" s="259"/>
      <c r="J83" s="259"/>
      <c r="K83" s="97">
        <f t="shared" si="3"/>
        <v>15600</v>
      </c>
      <c r="L83" s="284"/>
    </row>
    <row r="84" spans="1:12" ht="29.25" customHeight="1">
      <c r="A84" s="282" t="s">
        <v>930</v>
      </c>
      <c r="B84" s="282" t="s">
        <v>936</v>
      </c>
      <c r="C84" s="285" t="s">
        <v>400</v>
      </c>
      <c r="D84" s="122">
        <v>4</v>
      </c>
      <c r="E84" s="122">
        <v>2200</v>
      </c>
      <c r="F84" s="97">
        <f t="shared" si="2"/>
        <v>8800</v>
      </c>
      <c r="G84" s="97"/>
      <c r="H84" s="97"/>
      <c r="I84" s="259"/>
      <c r="J84" s="259"/>
      <c r="K84" s="97">
        <f t="shared" si="3"/>
        <v>8800</v>
      </c>
      <c r="L84" s="284"/>
    </row>
    <row r="85" spans="1:12" ht="29.25" customHeight="1">
      <c r="A85" s="282" t="s">
        <v>937</v>
      </c>
      <c r="B85" s="282" t="s">
        <v>938</v>
      </c>
      <c r="C85" s="285" t="s">
        <v>400</v>
      </c>
      <c r="D85" s="122">
        <v>8</v>
      </c>
      <c r="E85" s="122">
        <v>1500</v>
      </c>
      <c r="F85" s="97">
        <f t="shared" si="2"/>
        <v>12000</v>
      </c>
      <c r="G85" s="97"/>
      <c r="H85" s="97"/>
      <c r="I85" s="259"/>
      <c r="J85" s="259"/>
      <c r="K85" s="97">
        <f t="shared" si="3"/>
        <v>12000</v>
      </c>
      <c r="L85" s="284"/>
    </row>
    <row r="86" spans="1:12" ht="29.25" customHeight="1">
      <c r="A86" s="282" t="s">
        <v>939</v>
      </c>
      <c r="B86" s="282"/>
      <c r="C86" s="285" t="s">
        <v>400</v>
      </c>
      <c r="D86" s="122">
        <v>500</v>
      </c>
      <c r="E86" s="122">
        <v>100</v>
      </c>
      <c r="F86" s="97">
        <f t="shared" si="2"/>
        <v>50000</v>
      </c>
      <c r="G86" s="97"/>
      <c r="H86" s="97"/>
      <c r="I86" s="259"/>
      <c r="J86" s="259"/>
      <c r="K86" s="97">
        <f t="shared" si="3"/>
        <v>50000</v>
      </c>
      <c r="L86" s="284"/>
    </row>
    <row r="87" spans="1:12" ht="29.25" customHeight="1">
      <c r="A87" s="282" t="s">
        <v>940</v>
      </c>
      <c r="B87" s="283" t="s">
        <v>941</v>
      </c>
      <c r="C87" s="285" t="s">
        <v>400</v>
      </c>
      <c r="D87" s="122">
        <v>52</v>
      </c>
      <c r="E87" s="122">
        <v>23300</v>
      </c>
      <c r="F87" s="97">
        <f t="shared" si="2"/>
        <v>1211600</v>
      </c>
      <c r="G87" s="97"/>
      <c r="H87" s="97"/>
      <c r="I87" s="259"/>
      <c r="J87" s="259"/>
      <c r="K87" s="97">
        <f t="shared" si="3"/>
        <v>1211600</v>
      </c>
      <c r="L87" s="284"/>
    </row>
    <row r="88" spans="1:12" ht="29.25" customHeight="1">
      <c r="A88" s="282" t="s">
        <v>942</v>
      </c>
      <c r="B88" s="283" t="s">
        <v>943</v>
      </c>
      <c r="C88" s="285" t="s">
        <v>400</v>
      </c>
      <c r="D88" s="122">
        <v>5</v>
      </c>
      <c r="E88" s="122">
        <v>7500</v>
      </c>
      <c r="F88" s="97">
        <f t="shared" si="2"/>
        <v>37500</v>
      </c>
      <c r="G88" s="97"/>
      <c r="H88" s="97"/>
      <c r="I88" s="259"/>
      <c r="J88" s="259"/>
      <c r="K88" s="97">
        <f t="shared" si="3"/>
        <v>37500</v>
      </c>
      <c r="L88" s="284"/>
    </row>
    <row r="89" spans="1:12" ht="29.25" customHeight="1">
      <c r="A89" s="282" t="s">
        <v>944</v>
      </c>
      <c r="B89" s="283" t="s">
        <v>945</v>
      </c>
      <c r="C89" s="285" t="s">
        <v>400</v>
      </c>
      <c r="D89" s="122">
        <v>16</v>
      </c>
      <c r="E89" s="122">
        <v>10800</v>
      </c>
      <c r="F89" s="97">
        <f t="shared" si="2"/>
        <v>172800</v>
      </c>
      <c r="G89" s="97"/>
      <c r="H89" s="97"/>
      <c r="I89" s="259"/>
      <c r="J89" s="259"/>
      <c r="K89" s="97">
        <f t="shared" si="3"/>
        <v>172800</v>
      </c>
      <c r="L89" s="284"/>
    </row>
    <row r="90" spans="1:12" ht="29.25" customHeight="1">
      <c r="A90" s="282" t="s">
        <v>946</v>
      </c>
      <c r="B90" s="283" t="s">
        <v>947</v>
      </c>
      <c r="C90" s="285" t="s">
        <v>400</v>
      </c>
      <c r="D90" s="122">
        <v>2</v>
      </c>
      <c r="E90" s="122">
        <v>18300</v>
      </c>
      <c r="F90" s="97">
        <f t="shared" si="2"/>
        <v>36600</v>
      </c>
      <c r="G90" s="97"/>
      <c r="H90" s="97"/>
      <c r="I90" s="259"/>
      <c r="J90" s="259"/>
      <c r="K90" s="97">
        <f t="shared" si="3"/>
        <v>36600</v>
      </c>
      <c r="L90" s="284"/>
    </row>
    <row r="91" spans="1:12" ht="29.25" customHeight="1">
      <c r="A91" s="282" t="s">
        <v>948</v>
      </c>
      <c r="B91" s="283" t="s">
        <v>949</v>
      </c>
      <c r="C91" s="285" t="s">
        <v>400</v>
      </c>
      <c r="D91" s="122">
        <v>66</v>
      </c>
      <c r="E91" s="122">
        <v>5800</v>
      </c>
      <c r="F91" s="97">
        <f t="shared" si="2"/>
        <v>382800</v>
      </c>
      <c r="G91" s="97"/>
      <c r="H91" s="97"/>
      <c r="I91" s="259"/>
      <c r="J91" s="259"/>
      <c r="K91" s="97">
        <f t="shared" si="3"/>
        <v>382800</v>
      </c>
      <c r="L91" s="284"/>
    </row>
    <row r="92" spans="1:12" ht="29.25" customHeight="1">
      <c r="A92" s="282" t="s">
        <v>950</v>
      </c>
      <c r="B92" s="283" t="s">
        <v>951</v>
      </c>
      <c r="C92" s="285" t="s">
        <v>400</v>
      </c>
      <c r="D92" s="122">
        <v>3</v>
      </c>
      <c r="E92" s="122">
        <v>25000</v>
      </c>
      <c r="F92" s="97">
        <f t="shared" si="2"/>
        <v>75000</v>
      </c>
      <c r="G92" s="97"/>
      <c r="H92" s="97"/>
      <c r="I92" s="259"/>
      <c r="J92" s="259"/>
      <c r="K92" s="97">
        <f t="shared" si="3"/>
        <v>75000</v>
      </c>
      <c r="L92" s="284"/>
    </row>
    <row r="93" spans="1:12" ht="29.25" customHeight="1">
      <c r="A93" s="282" t="s">
        <v>952</v>
      </c>
      <c r="B93" s="282" t="s">
        <v>953</v>
      </c>
      <c r="C93" s="285" t="s">
        <v>400</v>
      </c>
      <c r="D93" s="122">
        <v>1</v>
      </c>
      <c r="E93" s="122">
        <v>133200</v>
      </c>
      <c r="F93" s="97">
        <f t="shared" si="2"/>
        <v>133200</v>
      </c>
      <c r="G93" s="97"/>
      <c r="H93" s="97"/>
      <c r="I93" s="259"/>
      <c r="J93" s="259"/>
      <c r="K93" s="97">
        <f t="shared" si="3"/>
        <v>133200</v>
      </c>
      <c r="L93" s="284"/>
    </row>
    <row r="94" spans="1:12" ht="29.25" customHeight="1">
      <c r="A94" s="283" t="s">
        <v>904</v>
      </c>
      <c r="B94" s="282" t="s">
        <v>905</v>
      </c>
      <c r="C94" s="285" t="s">
        <v>55</v>
      </c>
      <c r="D94" s="122">
        <v>1</v>
      </c>
      <c r="E94" s="122">
        <f>TRUNC(SUM(F68:F71,F78)*0.02,0)</f>
        <v>50804</v>
      </c>
      <c r="F94" s="97">
        <f t="shared" si="2"/>
        <v>50804</v>
      </c>
      <c r="G94" s="97"/>
      <c r="H94" s="97"/>
      <c r="I94" s="259"/>
      <c r="J94" s="259"/>
      <c r="K94" s="97">
        <f t="shared" si="3"/>
        <v>50804</v>
      </c>
      <c r="L94" s="284"/>
    </row>
    <row r="95" spans="1:12" ht="29.25" customHeight="1">
      <c r="A95" s="282" t="s">
        <v>494</v>
      </c>
      <c r="B95" s="282" t="s">
        <v>906</v>
      </c>
      <c r="C95" s="285" t="s">
        <v>165</v>
      </c>
      <c r="D95" s="122">
        <v>34</v>
      </c>
      <c r="E95" s="122"/>
      <c r="F95" s="122"/>
      <c r="G95" s="97">
        <v>241500</v>
      </c>
      <c r="H95" s="97">
        <f>D95*G95</f>
        <v>8211000</v>
      </c>
      <c r="I95" s="259"/>
      <c r="J95" s="259"/>
      <c r="K95" s="97">
        <f>H95</f>
        <v>8211000</v>
      </c>
      <c r="L95" s="284"/>
    </row>
    <row r="96" spans="1:12" ht="29.25" customHeight="1">
      <c r="A96" s="283" t="s">
        <v>908</v>
      </c>
      <c r="B96" s="282" t="s">
        <v>909</v>
      </c>
      <c r="C96" s="285" t="s">
        <v>55</v>
      </c>
      <c r="D96" s="122">
        <v>1</v>
      </c>
      <c r="E96" s="122"/>
      <c r="F96" s="122"/>
      <c r="G96" s="97">
        <f>TRUNC(SUM(H95)*0.03,0)</f>
        <v>246330</v>
      </c>
      <c r="H96" s="97">
        <f>D96*G96</f>
        <v>246330</v>
      </c>
      <c r="I96" s="259"/>
      <c r="J96" s="259"/>
      <c r="K96" s="97">
        <f>H96</f>
        <v>246330</v>
      </c>
      <c r="L96" s="284"/>
    </row>
    <row r="97" spans="1:12" ht="29.25" customHeight="1">
      <c r="A97" s="282"/>
      <c r="B97" s="282"/>
      <c r="C97" s="285"/>
      <c r="D97" s="122"/>
      <c r="E97" s="122"/>
      <c r="F97" s="122"/>
      <c r="G97" s="97"/>
      <c r="H97" s="97"/>
      <c r="I97" s="259"/>
      <c r="J97" s="259"/>
      <c r="K97" s="97"/>
      <c r="L97" s="284"/>
    </row>
    <row r="98" spans="1:12" ht="29.25" customHeight="1">
      <c r="A98" s="282"/>
      <c r="B98" s="282"/>
      <c r="C98" s="285"/>
      <c r="D98" s="122"/>
      <c r="E98" s="122"/>
      <c r="F98" s="122"/>
      <c r="G98" s="97"/>
      <c r="H98" s="97"/>
      <c r="I98" s="259"/>
      <c r="J98" s="259"/>
      <c r="K98" s="97"/>
      <c r="L98" s="284"/>
    </row>
    <row r="99" spans="1:12" ht="29.25" customHeight="1">
      <c r="A99" s="282"/>
      <c r="B99" s="282"/>
      <c r="C99" s="285"/>
      <c r="D99" s="122"/>
      <c r="E99" s="122"/>
      <c r="F99" s="122"/>
      <c r="G99" s="97"/>
      <c r="H99" s="97"/>
      <c r="I99" s="259"/>
      <c r="J99" s="259"/>
      <c r="K99" s="97"/>
      <c r="L99" s="284"/>
    </row>
    <row r="100" spans="1:12" ht="29.25" customHeight="1">
      <c r="A100" s="282"/>
      <c r="B100" s="282"/>
      <c r="C100" s="285"/>
      <c r="D100" s="122"/>
      <c r="E100" s="122"/>
      <c r="F100" s="122"/>
      <c r="G100" s="97"/>
      <c r="H100" s="97"/>
      <c r="I100" s="259"/>
      <c r="J100" s="259"/>
      <c r="K100" s="97"/>
      <c r="L100" s="284"/>
    </row>
    <row r="101" spans="1:12" ht="29.25" customHeight="1">
      <c r="A101" s="282"/>
      <c r="B101" s="282"/>
      <c r="C101" s="285"/>
      <c r="D101" s="122"/>
      <c r="E101" s="122"/>
      <c r="F101" s="122"/>
      <c r="G101" s="97"/>
      <c r="H101" s="97"/>
      <c r="I101" s="259"/>
      <c r="J101" s="259"/>
      <c r="K101" s="97"/>
      <c r="L101" s="284"/>
    </row>
    <row r="102" spans="1:12" ht="29.25" customHeight="1">
      <c r="A102" s="282"/>
      <c r="B102" s="282"/>
      <c r="C102" s="285"/>
      <c r="D102" s="122"/>
      <c r="E102" s="122"/>
      <c r="F102" s="122"/>
      <c r="G102" s="97"/>
      <c r="H102" s="97"/>
      <c r="I102" s="259"/>
      <c r="J102" s="259"/>
      <c r="K102" s="97"/>
      <c r="L102" s="284"/>
    </row>
    <row r="103" spans="1:12" ht="29.25" customHeight="1">
      <c r="A103" s="282"/>
      <c r="B103" s="282"/>
      <c r="C103" s="285"/>
      <c r="D103" s="122"/>
      <c r="E103" s="122"/>
      <c r="F103" s="122"/>
      <c r="G103" s="97"/>
      <c r="H103" s="97"/>
      <c r="I103" s="259"/>
      <c r="J103" s="259"/>
      <c r="K103" s="97"/>
      <c r="L103" s="284"/>
    </row>
    <row r="104" spans="1:12" ht="29.25" customHeight="1">
      <c r="A104" s="282"/>
      <c r="B104" s="282"/>
      <c r="C104" s="285"/>
      <c r="D104" s="122"/>
      <c r="E104" s="122"/>
      <c r="F104" s="122"/>
      <c r="G104" s="97"/>
      <c r="H104" s="97"/>
      <c r="I104" s="259"/>
      <c r="J104" s="259"/>
      <c r="K104" s="97"/>
      <c r="L104" s="284"/>
    </row>
    <row r="105" spans="1:12" ht="29.25" customHeight="1">
      <c r="A105" s="282"/>
      <c r="B105" s="282"/>
      <c r="C105" s="285"/>
      <c r="D105" s="122"/>
      <c r="E105" s="122"/>
      <c r="F105" s="122"/>
      <c r="G105" s="97"/>
      <c r="H105" s="97"/>
      <c r="I105" s="259"/>
      <c r="J105" s="259"/>
      <c r="K105" s="97"/>
      <c r="L105" s="284"/>
    </row>
    <row r="106" spans="1:12" ht="29.25" customHeight="1">
      <c r="A106" s="282"/>
      <c r="B106" s="282"/>
      <c r="C106" s="285"/>
      <c r="D106" s="122"/>
      <c r="E106" s="122"/>
      <c r="F106" s="122"/>
      <c r="G106" s="97"/>
      <c r="H106" s="97"/>
      <c r="I106" s="259"/>
      <c r="J106" s="259"/>
      <c r="K106" s="97"/>
      <c r="L106" s="284"/>
    </row>
    <row r="107" spans="1:12" ht="29.25" customHeight="1">
      <c r="A107" s="282"/>
      <c r="B107" s="282"/>
      <c r="C107" s="285"/>
      <c r="D107" s="122"/>
      <c r="E107" s="122"/>
      <c r="F107" s="122"/>
      <c r="G107" s="97"/>
      <c r="H107" s="97"/>
      <c r="I107" s="259"/>
      <c r="J107" s="259"/>
      <c r="K107" s="97"/>
      <c r="L107" s="284"/>
    </row>
    <row r="108" spans="1:12" ht="29.25" customHeight="1">
      <c r="A108" s="263" t="s">
        <v>910</v>
      </c>
      <c r="B108" s="263"/>
      <c r="C108" s="260"/>
      <c r="D108" s="287"/>
      <c r="E108" s="287"/>
      <c r="F108" s="287">
        <f>SUM(F68:F107)</f>
        <v>5030504</v>
      </c>
      <c r="G108" s="287"/>
      <c r="H108" s="287">
        <f>SUM(H95:H107)</f>
        <v>8457330</v>
      </c>
      <c r="I108" s="262"/>
      <c r="J108" s="262"/>
      <c r="K108" s="287">
        <f>SUM(K68:K107)</f>
        <v>13487834</v>
      </c>
      <c r="L108" s="263"/>
    </row>
    <row r="109" spans="1:12" ht="29.25" customHeight="1">
      <c r="A109" s="331" t="s">
        <v>954</v>
      </c>
      <c r="B109" s="331"/>
      <c r="C109" s="331"/>
      <c r="D109" s="331"/>
      <c r="E109" s="331"/>
      <c r="F109" s="331"/>
      <c r="G109" s="331"/>
      <c r="H109" s="331"/>
      <c r="I109" s="331"/>
      <c r="J109" s="331"/>
      <c r="K109" s="331"/>
      <c r="L109" s="331"/>
    </row>
    <row r="110" spans="1:12" ht="29.25" customHeight="1">
      <c r="A110" s="282" t="s">
        <v>912</v>
      </c>
      <c r="B110" s="283" t="s">
        <v>955</v>
      </c>
      <c r="C110" s="288" t="s">
        <v>547</v>
      </c>
      <c r="D110" s="97">
        <v>980</v>
      </c>
      <c r="E110" s="97">
        <v>100</v>
      </c>
      <c r="F110" s="97">
        <f t="shared" ref="F110:F120" si="4">D110*E110</f>
        <v>98000</v>
      </c>
      <c r="G110" s="97"/>
      <c r="H110" s="97"/>
      <c r="I110" s="259"/>
      <c r="J110" s="259"/>
      <c r="K110" s="97">
        <f t="shared" ref="K110:K120" si="5">F110</f>
        <v>98000</v>
      </c>
      <c r="L110" s="284"/>
    </row>
    <row r="111" spans="1:12" ht="29.25" customHeight="1">
      <c r="A111" s="282" t="s">
        <v>912</v>
      </c>
      <c r="B111" s="283" t="s">
        <v>956</v>
      </c>
      <c r="C111" s="288" t="s">
        <v>547</v>
      </c>
      <c r="D111" s="97">
        <v>200</v>
      </c>
      <c r="E111" s="97">
        <v>300</v>
      </c>
      <c r="F111" s="97">
        <f t="shared" si="4"/>
        <v>60000</v>
      </c>
      <c r="G111" s="97"/>
      <c r="H111" s="97"/>
      <c r="I111" s="259"/>
      <c r="J111" s="259"/>
      <c r="K111" s="97">
        <f t="shared" si="5"/>
        <v>60000</v>
      </c>
      <c r="L111" s="284"/>
    </row>
    <row r="112" spans="1:12" ht="29.25" customHeight="1">
      <c r="A112" s="282" t="s">
        <v>919</v>
      </c>
      <c r="B112" s="282" t="s">
        <v>921</v>
      </c>
      <c r="C112" s="285" t="s">
        <v>400</v>
      </c>
      <c r="D112" s="122">
        <v>126</v>
      </c>
      <c r="E112" s="122">
        <v>1100</v>
      </c>
      <c r="F112" s="97">
        <f t="shared" si="4"/>
        <v>138600</v>
      </c>
      <c r="G112" s="97"/>
      <c r="H112" s="97"/>
      <c r="I112" s="259"/>
      <c r="J112" s="259"/>
      <c r="K112" s="97">
        <f t="shared" si="5"/>
        <v>138600</v>
      </c>
      <c r="L112" s="284"/>
    </row>
    <row r="113" spans="1:12" ht="29.25" customHeight="1">
      <c r="A113" s="282" t="s">
        <v>957</v>
      </c>
      <c r="B113" s="283" t="s">
        <v>923</v>
      </c>
      <c r="C113" s="285" t="s">
        <v>400</v>
      </c>
      <c r="D113" s="122">
        <v>38</v>
      </c>
      <c r="E113" s="122">
        <v>700</v>
      </c>
      <c r="F113" s="97">
        <f t="shared" si="4"/>
        <v>26600</v>
      </c>
      <c r="G113" s="97"/>
      <c r="H113" s="97"/>
      <c r="I113" s="259"/>
      <c r="J113" s="259"/>
      <c r="K113" s="97">
        <f t="shared" si="5"/>
        <v>26600</v>
      </c>
      <c r="L113" s="284"/>
    </row>
    <row r="114" spans="1:12" ht="29.25" customHeight="1">
      <c r="A114" s="282" t="s">
        <v>958</v>
      </c>
      <c r="B114" s="283" t="s">
        <v>959</v>
      </c>
      <c r="C114" s="285" t="s">
        <v>400</v>
      </c>
      <c r="D114" s="122">
        <v>20</v>
      </c>
      <c r="E114" s="122">
        <v>5400</v>
      </c>
      <c r="F114" s="97">
        <f t="shared" si="4"/>
        <v>108000</v>
      </c>
      <c r="G114" s="97"/>
      <c r="H114" s="97"/>
      <c r="I114" s="259"/>
      <c r="J114" s="259"/>
      <c r="K114" s="97">
        <f t="shared" si="5"/>
        <v>108000</v>
      </c>
      <c r="L114" s="284"/>
    </row>
    <row r="115" spans="1:12" ht="29.25" customHeight="1">
      <c r="A115" s="283" t="s">
        <v>928</v>
      </c>
      <c r="B115" s="283" t="s">
        <v>929</v>
      </c>
      <c r="C115" s="288" t="s">
        <v>547</v>
      </c>
      <c r="D115" s="122">
        <v>2940</v>
      </c>
      <c r="E115" s="122">
        <v>500</v>
      </c>
      <c r="F115" s="97">
        <f t="shared" si="4"/>
        <v>1470000</v>
      </c>
      <c r="G115" s="97"/>
      <c r="H115" s="97"/>
      <c r="I115" s="259"/>
      <c r="J115" s="259"/>
      <c r="K115" s="97">
        <f t="shared" si="5"/>
        <v>1470000</v>
      </c>
      <c r="L115" s="284"/>
    </row>
    <row r="116" spans="1:12" ht="29.25" customHeight="1">
      <c r="A116" s="277" t="s">
        <v>937</v>
      </c>
      <c r="B116" s="277" t="s">
        <v>960</v>
      </c>
      <c r="C116" s="286" t="s">
        <v>400</v>
      </c>
      <c r="D116" s="122">
        <v>6</v>
      </c>
      <c r="E116" s="122">
        <v>3700</v>
      </c>
      <c r="F116" s="97">
        <f t="shared" si="4"/>
        <v>22200</v>
      </c>
      <c r="G116" s="97"/>
      <c r="H116" s="97"/>
      <c r="I116" s="259"/>
      <c r="J116" s="259"/>
      <c r="K116" s="97">
        <f t="shared" si="5"/>
        <v>22200</v>
      </c>
      <c r="L116" s="284"/>
    </row>
    <row r="117" spans="1:12" ht="29.25" customHeight="1">
      <c r="A117" s="277" t="s">
        <v>937</v>
      </c>
      <c r="B117" s="277" t="s">
        <v>961</v>
      </c>
      <c r="C117" s="286" t="s">
        <v>400</v>
      </c>
      <c r="D117" s="90">
        <v>56</v>
      </c>
      <c r="E117" s="90">
        <v>1900</v>
      </c>
      <c r="F117" s="97">
        <f t="shared" si="4"/>
        <v>106400</v>
      </c>
      <c r="G117" s="97"/>
      <c r="H117" s="97"/>
      <c r="I117" s="259"/>
      <c r="J117" s="259"/>
      <c r="K117" s="97">
        <f t="shared" si="5"/>
        <v>106400</v>
      </c>
      <c r="L117" s="284"/>
    </row>
    <row r="118" spans="1:12" ht="29.25" customHeight="1">
      <c r="A118" s="277" t="s">
        <v>937</v>
      </c>
      <c r="B118" s="277" t="s">
        <v>962</v>
      </c>
      <c r="C118" s="286" t="s">
        <v>400</v>
      </c>
      <c r="D118" s="122">
        <v>14</v>
      </c>
      <c r="E118" s="122">
        <v>4600</v>
      </c>
      <c r="F118" s="97">
        <f t="shared" si="4"/>
        <v>64400</v>
      </c>
      <c r="G118" s="97"/>
      <c r="H118" s="97"/>
      <c r="I118" s="259"/>
      <c r="J118" s="259"/>
      <c r="K118" s="97">
        <f t="shared" si="5"/>
        <v>64400</v>
      </c>
      <c r="L118" s="284"/>
    </row>
    <row r="119" spans="1:12" ht="29.25" customHeight="1">
      <c r="A119" s="277" t="s">
        <v>963</v>
      </c>
      <c r="B119" s="278" t="s">
        <v>964</v>
      </c>
      <c r="C119" s="286" t="s">
        <v>400</v>
      </c>
      <c r="D119" s="90">
        <v>522</v>
      </c>
      <c r="E119" s="90">
        <v>100</v>
      </c>
      <c r="F119" s="97">
        <f t="shared" si="4"/>
        <v>52200</v>
      </c>
      <c r="G119" s="97"/>
      <c r="H119" s="97"/>
      <c r="I119" s="259"/>
      <c r="J119" s="259"/>
      <c r="K119" s="97">
        <f t="shared" si="5"/>
        <v>52200</v>
      </c>
      <c r="L119" s="284"/>
    </row>
    <row r="120" spans="1:12" ht="29.25" customHeight="1">
      <c r="A120" s="283" t="s">
        <v>904</v>
      </c>
      <c r="B120" s="282" t="s">
        <v>905</v>
      </c>
      <c r="C120" s="285" t="s">
        <v>55</v>
      </c>
      <c r="D120" s="122">
        <v>1</v>
      </c>
      <c r="E120" s="122">
        <f>TRUNC(SUM(F110:F111,F115)*0.02,0)</f>
        <v>32560</v>
      </c>
      <c r="F120" s="97">
        <f t="shared" si="4"/>
        <v>32560</v>
      </c>
      <c r="G120" s="97"/>
      <c r="H120" s="97"/>
      <c r="I120" s="259"/>
      <c r="J120" s="259"/>
      <c r="K120" s="97">
        <f t="shared" si="5"/>
        <v>32560</v>
      </c>
      <c r="L120" s="284"/>
    </row>
    <row r="121" spans="1:12" ht="29.25" customHeight="1">
      <c r="A121" s="282" t="s">
        <v>494</v>
      </c>
      <c r="B121" s="282" t="s">
        <v>906</v>
      </c>
      <c r="C121" s="285" t="s">
        <v>165</v>
      </c>
      <c r="D121" s="122">
        <v>20</v>
      </c>
      <c r="E121" s="122"/>
      <c r="F121" s="122"/>
      <c r="G121" s="97">
        <v>241500</v>
      </c>
      <c r="H121" s="97">
        <f>D121*G121</f>
        <v>4830000</v>
      </c>
      <c r="I121" s="259"/>
      <c r="J121" s="259"/>
      <c r="K121" s="97">
        <f>H121</f>
        <v>4830000</v>
      </c>
      <c r="L121" s="284"/>
    </row>
    <row r="122" spans="1:12" ht="29.25" customHeight="1">
      <c r="A122" s="283" t="s">
        <v>908</v>
      </c>
      <c r="B122" s="282" t="s">
        <v>909</v>
      </c>
      <c r="C122" s="285" t="s">
        <v>55</v>
      </c>
      <c r="D122" s="122">
        <v>1</v>
      </c>
      <c r="E122" s="122"/>
      <c r="F122" s="122"/>
      <c r="G122" s="97">
        <f>TRUNC(SUM(H121)*0.03,0)</f>
        <v>144900</v>
      </c>
      <c r="H122" s="97">
        <f>D122*G122</f>
        <v>144900</v>
      </c>
      <c r="I122" s="259"/>
      <c r="J122" s="259"/>
      <c r="K122" s="97">
        <f>H122</f>
        <v>144900</v>
      </c>
      <c r="L122" s="284"/>
    </row>
    <row r="123" spans="1:12" ht="29.25" customHeight="1">
      <c r="A123" s="284"/>
      <c r="B123" s="284"/>
      <c r="C123" s="257"/>
      <c r="D123" s="97"/>
      <c r="E123" s="97"/>
      <c r="F123" s="97"/>
      <c r="G123" s="97"/>
      <c r="H123" s="97"/>
      <c r="I123" s="259"/>
      <c r="J123" s="259"/>
      <c r="K123" s="97"/>
      <c r="L123" s="284"/>
    </row>
    <row r="124" spans="1:12" ht="29.25" customHeight="1">
      <c r="A124" s="284"/>
      <c r="B124" s="284"/>
      <c r="C124" s="257"/>
      <c r="D124" s="97"/>
      <c r="E124" s="97"/>
      <c r="F124" s="97"/>
      <c r="G124" s="97"/>
      <c r="H124" s="97"/>
      <c r="I124" s="259"/>
      <c r="J124" s="259"/>
      <c r="K124" s="97"/>
      <c r="L124" s="284"/>
    </row>
    <row r="125" spans="1:12" ht="29.25" customHeight="1">
      <c r="A125" s="284"/>
      <c r="B125" s="284"/>
      <c r="C125" s="257"/>
      <c r="D125" s="97"/>
      <c r="E125" s="97"/>
      <c r="F125" s="97"/>
      <c r="G125" s="97"/>
      <c r="H125" s="97"/>
      <c r="I125" s="259"/>
      <c r="J125" s="259"/>
      <c r="K125" s="97"/>
      <c r="L125" s="284"/>
    </row>
    <row r="126" spans="1:12" ht="29.25" customHeight="1">
      <c r="A126" s="284"/>
      <c r="B126" s="284"/>
      <c r="C126" s="257"/>
      <c r="D126" s="97"/>
      <c r="E126" s="97"/>
      <c r="F126" s="97"/>
      <c r="G126" s="97"/>
      <c r="H126" s="97"/>
      <c r="I126" s="259"/>
      <c r="J126" s="259"/>
      <c r="K126" s="97"/>
      <c r="L126" s="284"/>
    </row>
    <row r="127" spans="1:12" ht="29.25" customHeight="1">
      <c r="A127" s="284"/>
      <c r="B127" s="284"/>
      <c r="C127" s="257"/>
      <c r="D127" s="97"/>
      <c r="E127" s="97"/>
      <c r="F127" s="97"/>
      <c r="G127" s="97"/>
      <c r="H127" s="97"/>
      <c r="I127" s="259"/>
      <c r="J127" s="259"/>
      <c r="K127" s="97"/>
      <c r="L127" s="284"/>
    </row>
    <row r="128" spans="1:12" ht="29.25" customHeight="1">
      <c r="A128" s="284"/>
      <c r="B128" s="284"/>
      <c r="C128" s="257"/>
      <c r="D128" s="97"/>
      <c r="E128" s="97"/>
      <c r="F128" s="97"/>
      <c r="G128" s="97"/>
      <c r="H128" s="97"/>
      <c r="I128" s="259"/>
      <c r="J128" s="259"/>
      <c r="K128" s="97"/>
      <c r="L128" s="284"/>
    </row>
    <row r="129" spans="1:12" ht="29.25" customHeight="1">
      <c r="A129" s="263" t="s">
        <v>910</v>
      </c>
      <c r="B129" s="263"/>
      <c r="C129" s="260"/>
      <c r="D129" s="287"/>
      <c r="E129" s="287"/>
      <c r="F129" s="287">
        <f>SUM(F110:F128)</f>
        <v>2178960</v>
      </c>
      <c r="G129" s="287"/>
      <c r="H129" s="287">
        <f>SUM(H121:H128)</f>
        <v>4974900</v>
      </c>
      <c r="I129" s="262"/>
      <c r="J129" s="262"/>
      <c r="K129" s="287">
        <f>SUM(K110:K128)</f>
        <v>7153860</v>
      </c>
      <c r="L129" s="263"/>
    </row>
    <row r="130" spans="1:12" s="289" customFormat="1" ht="29.25" customHeight="1">
      <c r="A130" s="331" t="s">
        <v>965</v>
      </c>
      <c r="B130" s="331"/>
      <c r="C130" s="331"/>
      <c r="D130" s="331"/>
      <c r="E130" s="331"/>
      <c r="F130" s="331"/>
      <c r="G130" s="331"/>
      <c r="H130" s="331"/>
      <c r="I130" s="331"/>
      <c r="J130" s="331"/>
      <c r="K130" s="331"/>
      <c r="L130" s="331"/>
    </row>
    <row r="131" spans="1:12" s="289" customFormat="1" ht="29.25" customHeight="1">
      <c r="A131" s="282" t="s">
        <v>912</v>
      </c>
      <c r="B131" s="283" t="s">
        <v>966</v>
      </c>
      <c r="C131" s="288" t="s">
        <v>547</v>
      </c>
      <c r="D131" s="97">
        <v>224</v>
      </c>
      <c r="E131" s="97">
        <v>300</v>
      </c>
      <c r="F131" s="97">
        <f t="shared" ref="F131:F141" si="6">D131*E131</f>
        <v>67200</v>
      </c>
      <c r="G131" s="281"/>
      <c r="H131" s="281"/>
      <c r="I131" s="281"/>
      <c r="J131" s="281"/>
      <c r="K131" s="97">
        <f t="shared" ref="K131:K139" si="7">F131+H131</f>
        <v>67200</v>
      </c>
      <c r="L131" s="281"/>
    </row>
    <row r="132" spans="1:12" s="289" customFormat="1" ht="29.25" customHeight="1">
      <c r="A132" s="282" t="s">
        <v>912</v>
      </c>
      <c r="B132" s="283" t="s">
        <v>956</v>
      </c>
      <c r="C132" s="288" t="s">
        <v>547</v>
      </c>
      <c r="D132" s="97">
        <v>20</v>
      </c>
      <c r="E132" s="97">
        <v>400</v>
      </c>
      <c r="F132" s="281">
        <f t="shared" si="6"/>
        <v>8000</v>
      </c>
      <c r="G132" s="281"/>
      <c r="H132" s="281"/>
      <c r="I132" s="281"/>
      <c r="J132" s="281"/>
      <c r="K132" s="281">
        <f t="shared" si="7"/>
        <v>8000</v>
      </c>
      <c r="L132" s="281"/>
    </row>
    <row r="133" spans="1:12" s="289" customFormat="1" ht="29.25" customHeight="1">
      <c r="A133" s="282" t="s">
        <v>919</v>
      </c>
      <c r="B133" s="282" t="s">
        <v>921</v>
      </c>
      <c r="C133" s="285" t="s">
        <v>400</v>
      </c>
      <c r="D133" s="122">
        <v>10</v>
      </c>
      <c r="E133" s="122">
        <v>1100</v>
      </c>
      <c r="F133" s="281">
        <f t="shared" si="6"/>
        <v>11000</v>
      </c>
      <c r="G133" s="281"/>
      <c r="H133" s="281"/>
      <c r="I133" s="281"/>
      <c r="J133" s="281"/>
      <c r="K133" s="281">
        <f t="shared" si="7"/>
        <v>11000</v>
      </c>
      <c r="L133" s="281"/>
    </row>
    <row r="134" spans="1:12" s="289" customFormat="1" ht="29.25" customHeight="1">
      <c r="A134" s="283" t="s">
        <v>928</v>
      </c>
      <c r="B134" s="283" t="s">
        <v>967</v>
      </c>
      <c r="C134" s="288" t="s">
        <v>547</v>
      </c>
      <c r="D134" s="122">
        <v>622</v>
      </c>
      <c r="E134" s="122">
        <v>900</v>
      </c>
      <c r="F134" s="281">
        <f t="shared" si="6"/>
        <v>559800</v>
      </c>
      <c r="G134" s="281"/>
      <c r="H134" s="281"/>
      <c r="I134" s="281"/>
      <c r="J134" s="281"/>
      <c r="K134" s="97">
        <f t="shared" si="7"/>
        <v>559800</v>
      </c>
      <c r="L134" s="281"/>
    </row>
    <row r="135" spans="1:12" s="289" customFormat="1" ht="29.25" customHeight="1">
      <c r="A135" s="277" t="s">
        <v>867</v>
      </c>
      <c r="B135" s="278" t="s">
        <v>968</v>
      </c>
      <c r="C135" s="279" t="s">
        <v>547</v>
      </c>
      <c r="D135" s="122">
        <v>10</v>
      </c>
      <c r="E135" s="122">
        <v>600</v>
      </c>
      <c r="F135" s="97">
        <f t="shared" si="6"/>
        <v>6000</v>
      </c>
      <c r="G135" s="281"/>
      <c r="H135" s="281"/>
      <c r="I135" s="281"/>
      <c r="J135" s="281"/>
      <c r="K135" s="97">
        <f t="shared" si="7"/>
        <v>6000</v>
      </c>
      <c r="L135" s="281"/>
    </row>
    <row r="136" spans="1:12" s="289" customFormat="1" ht="29.25" customHeight="1">
      <c r="A136" s="277" t="s">
        <v>867</v>
      </c>
      <c r="B136" s="278" t="s">
        <v>868</v>
      </c>
      <c r="C136" s="279" t="s">
        <v>547</v>
      </c>
      <c r="D136" s="122">
        <v>20</v>
      </c>
      <c r="E136" s="122">
        <v>800</v>
      </c>
      <c r="F136" s="97">
        <f t="shared" si="6"/>
        <v>16000</v>
      </c>
      <c r="G136" s="281"/>
      <c r="H136" s="281"/>
      <c r="I136" s="281"/>
      <c r="J136" s="281"/>
      <c r="K136" s="97">
        <f t="shared" si="7"/>
        <v>16000</v>
      </c>
      <c r="L136" s="281"/>
    </row>
    <row r="137" spans="1:12" s="289" customFormat="1" ht="29.25" customHeight="1">
      <c r="A137" s="277" t="s">
        <v>872</v>
      </c>
      <c r="B137" s="278" t="s">
        <v>969</v>
      </c>
      <c r="C137" s="279" t="s">
        <v>547</v>
      </c>
      <c r="D137" s="122">
        <v>10</v>
      </c>
      <c r="E137" s="122">
        <v>1400</v>
      </c>
      <c r="F137" s="97">
        <f t="shared" si="6"/>
        <v>14000</v>
      </c>
      <c r="G137" s="281"/>
      <c r="H137" s="281"/>
      <c r="I137" s="281"/>
      <c r="J137" s="281"/>
      <c r="K137" s="97">
        <f t="shared" si="7"/>
        <v>14000</v>
      </c>
      <c r="L137" s="281"/>
    </row>
    <row r="138" spans="1:12" s="289" customFormat="1" ht="29.25" customHeight="1">
      <c r="A138" s="277" t="s">
        <v>872</v>
      </c>
      <c r="B138" s="278" t="s">
        <v>970</v>
      </c>
      <c r="C138" s="279" t="s">
        <v>547</v>
      </c>
      <c r="D138" s="122">
        <v>20</v>
      </c>
      <c r="E138" s="122">
        <v>3200</v>
      </c>
      <c r="F138" s="97">
        <f t="shared" si="6"/>
        <v>64000</v>
      </c>
      <c r="G138" s="281"/>
      <c r="H138" s="281"/>
      <c r="I138" s="281"/>
      <c r="J138" s="281"/>
      <c r="K138" s="97">
        <f t="shared" si="7"/>
        <v>64000</v>
      </c>
      <c r="L138" s="281"/>
    </row>
    <row r="139" spans="1:12" s="289" customFormat="1" ht="29.25" customHeight="1">
      <c r="A139" s="277" t="s">
        <v>937</v>
      </c>
      <c r="B139" s="277" t="s">
        <v>971</v>
      </c>
      <c r="C139" s="286" t="s">
        <v>400</v>
      </c>
      <c r="D139" s="122">
        <v>10</v>
      </c>
      <c r="E139" s="122">
        <v>1500</v>
      </c>
      <c r="F139" s="281">
        <f t="shared" si="6"/>
        <v>15000</v>
      </c>
      <c r="G139" s="281"/>
      <c r="H139" s="281"/>
      <c r="I139" s="281"/>
      <c r="J139" s="281"/>
      <c r="K139" s="281">
        <f t="shared" si="7"/>
        <v>15000</v>
      </c>
      <c r="L139" s="281"/>
    </row>
    <row r="140" spans="1:12" s="289" customFormat="1" ht="29.25" customHeight="1">
      <c r="A140" s="277" t="s">
        <v>963</v>
      </c>
      <c r="B140" s="278" t="s">
        <v>964</v>
      </c>
      <c r="C140" s="286" t="s">
        <v>400</v>
      </c>
      <c r="D140" s="90">
        <v>122</v>
      </c>
      <c r="E140" s="90">
        <v>100</v>
      </c>
      <c r="F140" s="281">
        <f t="shared" si="6"/>
        <v>12200</v>
      </c>
      <c r="G140" s="97"/>
      <c r="H140" s="97"/>
      <c r="I140" s="259"/>
      <c r="J140" s="259"/>
      <c r="K140" s="97">
        <f>F140</f>
        <v>12200</v>
      </c>
      <c r="L140" s="284"/>
    </row>
    <row r="141" spans="1:12" s="289" customFormat="1" ht="29.25" customHeight="1">
      <c r="A141" s="283" t="s">
        <v>904</v>
      </c>
      <c r="B141" s="282" t="s">
        <v>905</v>
      </c>
      <c r="C141" s="285" t="s">
        <v>55</v>
      </c>
      <c r="D141" s="122">
        <v>1</v>
      </c>
      <c r="E141" s="122">
        <f>TRUNC(SUM(F131:F132,F134:F138)*0.02,0)</f>
        <v>14700</v>
      </c>
      <c r="F141" s="97">
        <f t="shared" si="6"/>
        <v>14700</v>
      </c>
      <c r="G141" s="97"/>
      <c r="H141" s="97"/>
      <c r="I141" s="259"/>
      <c r="J141" s="259"/>
      <c r="K141" s="97">
        <f>F141</f>
        <v>14700</v>
      </c>
      <c r="L141" s="284"/>
    </row>
    <row r="142" spans="1:12" s="289" customFormat="1" ht="29.25" customHeight="1">
      <c r="A142" s="282" t="s">
        <v>494</v>
      </c>
      <c r="B142" s="282" t="s">
        <v>906</v>
      </c>
      <c r="C142" s="285" t="s">
        <v>165</v>
      </c>
      <c r="D142" s="122">
        <v>8</v>
      </c>
      <c r="E142" s="122"/>
      <c r="F142" s="122"/>
      <c r="G142" s="97">
        <v>241500</v>
      </c>
      <c r="H142" s="97">
        <f>D142*G142</f>
        <v>1932000</v>
      </c>
      <c r="I142" s="259"/>
      <c r="J142" s="259"/>
      <c r="K142" s="97">
        <f>H142</f>
        <v>1932000</v>
      </c>
      <c r="L142" s="284"/>
    </row>
    <row r="143" spans="1:12" s="289" customFormat="1" ht="29.25" customHeight="1">
      <c r="A143" s="283" t="s">
        <v>908</v>
      </c>
      <c r="B143" s="282" t="s">
        <v>909</v>
      </c>
      <c r="C143" s="285" t="s">
        <v>55</v>
      </c>
      <c r="D143" s="122">
        <v>1</v>
      </c>
      <c r="E143" s="122"/>
      <c r="F143" s="122"/>
      <c r="G143" s="290">
        <f>TRUNC(SUM(H142)*0.03,0)</f>
        <v>57960</v>
      </c>
      <c r="H143" s="97">
        <f>D143*G143</f>
        <v>57960</v>
      </c>
      <c r="I143" s="259"/>
      <c r="J143" s="259"/>
      <c r="K143" s="97">
        <f>H143</f>
        <v>57960</v>
      </c>
      <c r="L143" s="284"/>
    </row>
    <row r="144" spans="1:12" s="289" customFormat="1" ht="29.25" customHeight="1">
      <c r="A144" s="284"/>
      <c r="B144" s="284"/>
      <c r="C144" s="257"/>
      <c r="D144" s="97"/>
      <c r="E144" s="97"/>
      <c r="F144" s="97"/>
      <c r="G144" s="97"/>
      <c r="H144" s="97"/>
      <c r="I144" s="259"/>
      <c r="J144" s="259"/>
      <c r="K144" s="97"/>
      <c r="L144" s="284"/>
    </row>
    <row r="145" spans="1:12" s="289" customFormat="1" ht="29.25" customHeight="1">
      <c r="A145" s="284"/>
      <c r="B145" s="284"/>
      <c r="C145" s="257"/>
      <c r="D145" s="97"/>
      <c r="E145" s="97"/>
      <c r="F145" s="97"/>
      <c r="G145" s="97"/>
      <c r="H145" s="97"/>
      <c r="I145" s="259"/>
      <c r="J145" s="259"/>
      <c r="K145" s="97"/>
      <c r="L145" s="284"/>
    </row>
    <row r="146" spans="1:12" s="289" customFormat="1" ht="29.25" customHeight="1">
      <c r="A146" s="284"/>
      <c r="B146" s="284"/>
      <c r="C146" s="257"/>
      <c r="D146" s="97"/>
      <c r="E146" s="97"/>
      <c r="F146" s="97"/>
      <c r="G146" s="97"/>
      <c r="H146" s="97"/>
      <c r="I146" s="259"/>
      <c r="J146" s="259"/>
      <c r="K146" s="97"/>
      <c r="L146" s="284"/>
    </row>
    <row r="147" spans="1:12" s="289" customFormat="1" ht="29.25" customHeight="1">
      <c r="A147" s="284"/>
      <c r="B147" s="284"/>
      <c r="C147" s="257"/>
      <c r="D147" s="97"/>
      <c r="E147" s="97"/>
      <c r="F147" s="97"/>
      <c r="G147" s="97"/>
      <c r="H147" s="97"/>
      <c r="I147" s="259"/>
      <c r="J147" s="259"/>
      <c r="K147" s="97"/>
      <c r="L147" s="284"/>
    </row>
    <row r="148" spans="1:12" s="289" customFormat="1" ht="29.25" customHeight="1">
      <c r="A148" s="284"/>
      <c r="B148" s="284"/>
      <c r="C148" s="257"/>
      <c r="D148" s="97"/>
      <c r="E148" s="97"/>
      <c r="F148" s="97"/>
      <c r="G148" s="97"/>
      <c r="H148" s="97"/>
      <c r="I148" s="259"/>
      <c r="J148" s="259"/>
      <c r="K148" s="97"/>
      <c r="L148" s="284"/>
    </row>
    <row r="149" spans="1:12" s="289" customFormat="1" ht="29.25" customHeight="1">
      <c r="A149" s="284"/>
      <c r="B149" s="284"/>
      <c r="C149" s="257"/>
      <c r="D149" s="97"/>
      <c r="E149" s="97"/>
      <c r="F149" s="97"/>
      <c r="G149" s="97"/>
      <c r="H149" s="97"/>
      <c r="I149" s="259"/>
      <c r="J149" s="259"/>
      <c r="K149" s="97"/>
      <c r="L149" s="284"/>
    </row>
    <row r="150" spans="1:12" s="289" customFormat="1" ht="29.25" customHeight="1">
      <c r="A150" s="263" t="s">
        <v>910</v>
      </c>
      <c r="B150" s="263"/>
      <c r="C150" s="260"/>
      <c r="D150" s="287"/>
      <c r="E150" s="287"/>
      <c r="F150" s="287">
        <f>SUM(F131:F149)</f>
        <v>787900</v>
      </c>
      <c r="G150" s="287"/>
      <c r="H150" s="287">
        <f>SUM(H142:H149)</f>
        <v>1989960</v>
      </c>
      <c r="I150" s="262"/>
      <c r="J150" s="262"/>
      <c r="K150" s="287">
        <f>SUM(K131:K149)</f>
        <v>2777860</v>
      </c>
      <c r="L150" s="263"/>
    </row>
    <row r="151" spans="1:12" ht="29.25" customHeight="1">
      <c r="A151" s="331" t="s">
        <v>972</v>
      </c>
      <c r="B151" s="331"/>
      <c r="C151" s="331"/>
      <c r="D151" s="331"/>
      <c r="E151" s="331"/>
      <c r="F151" s="331"/>
      <c r="G151" s="331"/>
      <c r="H151" s="331"/>
      <c r="I151" s="331"/>
      <c r="J151" s="331"/>
      <c r="K151" s="331"/>
      <c r="L151" s="331"/>
    </row>
    <row r="152" spans="1:12" ht="29.25" customHeight="1">
      <c r="A152" s="282" t="s">
        <v>912</v>
      </c>
      <c r="B152" s="283" t="s">
        <v>913</v>
      </c>
      <c r="C152" s="288" t="s">
        <v>547</v>
      </c>
      <c r="D152" s="97">
        <v>88</v>
      </c>
      <c r="E152" s="97">
        <v>200</v>
      </c>
      <c r="F152" s="97">
        <f t="shared" ref="F152:F182" si="8">D152*E152</f>
        <v>17600</v>
      </c>
      <c r="G152" s="97"/>
      <c r="H152" s="97"/>
      <c r="I152" s="281"/>
      <c r="J152" s="281"/>
      <c r="K152" s="97">
        <f t="shared" ref="K152:K182" si="9">F152</f>
        <v>17600</v>
      </c>
      <c r="L152" s="281"/>
    </row>
    <row r="153" spans="1:12" ht="29.25" customHeight="1">
      <c r="A153" s="282" t="s">
        <v>912</v>
      </c>
      <c r="B153" s="283" t="s">
        <v>973</v>
      </c>
      <c r="C153" s="288" t="s">
        <v>547</v>
      </c>
      <c r="D153" s="97">
        <v>44</v>
      </c>
      <c r="E153" s="97">
        <v>300</v>
      </c>
      <c r="F153" s="97">
        <f t="shared" si="8"/>
        <v>13200</v>
      </c>
      <c r="G153" s="97"/>
      <c r="H153" s="97"/>
      <c r="I153" s="281"/>
      <c r="J153" s="281"/>
      <c r="K153" s="97">
        <f t="shared" si="9"/>
        <v>13200</v>
      </c>
      <c r="L153" s="281"/>
    </row>
    <row r="154" spans="1:12" ht="29.25" customHeight="1">
      <c r="A154" s="282" t="s">
        <v>912</v>
      </c>
      <c r="B154" s="283" t="s">
        <v>974</v>
      </c>
      <c r="C154" s="288" t="s">
        <v>547</v>
      </c>
      <c r="D154" s="97">
        <v>44</v>
      </c>
      <c r="E154" s="97">
        <v>300</v>
      </c>
      <c r="F154" s="97">
        <f t="shared" si="8"/>
        <v>13200</v>
      </c>
      <c r="G154" s="97"/>
      <c r="H154" s="97"/>
      <c r="I154" s="281"/>
      <c r="J154" s="281"/>
      <c r="K154" s="97">
        <f t="shared" si="9"/>
        <v>13200</v>
      </c>
      <c r="L154" s="281"/>
    </row>
    <row r="155" spans="1:12" ht="29.25" customHeight="1">
      <c r="A155" s="282" t="s">
        <v>912</v>
      </c>
      <c r="B155" s="283" t="s">
        <v>975</v>
      </c>
      <c r="C155" s="288" t="s">
        <v>547</v>
      </c>
      <c r="D155" s="97">
        <v>132</v>
      </c>
      <c r="E155" s="97">
        <v>600</v>
      </c>
      <c r="F155" s="97">
        <f t="shared" si="8"/>
        <v>79200</v>
      </c>
      <c r="G155" s="97"/>
      <c r="H155" s="97"/>
      <c r="I155" s="281"/>
      <c r="J155" s="281"/>
      <c r="K155" s="97">
        <f t="shared" si="9"/>
        <v>79200</v>
      </c>
      <c r="L155" s="281"/>
    </row>
    <row r="156" spans="1:12" ht="29.25" customHeight="1">
      <c r="A156" s="282" t="s">
        <v>849</v>
      </c>
      <c r="B156" s="283" t="s">
        <v>851</v>
      </c>
      <c r="C156" s="288" t="s">
        <v>547</v>
      </c>
      <c r="D156" s="97">
        <v>20</v>
      </c>
      <c r="E156" s="97">
        <v>1400</v>
      </c>
      <c r="F156" s="97">
        <f t="shared" si="8"/>
        <v>28000</v>
      </c>
      <c r="G156" s="97"/>
      <c r="H156" s="97"/>
      <c r="I156" s="281"/>
      <c r="J156" s="281"/>
      <c r="K156" s="97">
        <f t="shared" si="9"/>
        <v>28000</v>
      </c>
      <c r="L156" s="281"/>
    </row>
    <row r="157" spans="1:12" ht="29.25" customHeight="1">
      <c r="A157" s="282" t="s">
        <v>849</v>
      </c>
      <c r="B157" s="283" t="s">
        <v>853</v>
      </c>
      <c r="C157" s="288" t="s">
        <v>547</v>
      </c>
      <c r="D157" s="97">
        <v>40</v>
      </c>
      <c r="E157" s="97">
        <v>1700</v>
      </c>
      <c r="F157" s="97">
        <f t="shared" si="8"/>
        <v>68000</v>
      </c>
      <c r="G157" s="97"/>
      <c r="H157" s="97"/>
      <c r="I157" s="281"/>
      <c r="J157" s="281"/>
      <c r="K157" s="97">
        <f t="shared" si="9"/>
        <v>68000</v>
      </c>
      <c r="L157" s="281"/>
    </row>
    <row r="158" spans="1:12" ht="29.25" customHeight="1">
      <c r="A158" s="282" t="s">
        <v>858</v>
      </c>
      <c r="B158" s="282" t="s">
        <v>860</v>
      </c>
      <c r="C158" s="288" t="s">
        <v>547</v>
      </c>
      <c r="D158" s="97">
        <v>2</v>
      </c>
      <c r="E158" s="97">
        <v>600</v>
      </c>
      <c r="F158" s="97">
        <f t="shared" si="8"/>
        <v>1200</v>
      </c>
      <c r="G158" s="97"/>
      <c r="H158" s="97"/>
      <c r="I158" s="281"/>
      <c r="J158" s="281"/>
      <c r="K158" s="97">
        <f t="shared" si="9"/>
        <v>1200</v>
      </c>
      <c r="L158" s="281"/>
    </row>
    <row r="159" spans="1:12" ht="29.25" customHeight="1">
      <c r="A159" s="282" t="s">
        <v>858</v>
      </c>
      <c r="B159" s="282" t="s">
        <v>862</v>
      </c>
      <c r="C159" s="285" t="s">
        <v>400</v>
      </c>
      <c r="D159" s="97">
        <v>4</v>
      </c>
      <c r="E159" s="122">
        <v>1400</v>
      </c>
      <c r="F159" s="97">
        <f t="shared" si="8"/>
        <v>5600</v>
      </c>
      <c r="G159" s="97"/>
      <c r="H159" s="97"/>
      <c r="I159" s="281"/>
      <c r="J159" s="281"/>
      <c r="K159" s="97">
        <f t="shared" si="9"/>
        <v>5600</v>
      </c>
      <c r="L159" s="281"/>
    </row>
    <row r="160" spans="1:12" ht="29.25" customHeight="1">
      <c r="A160" s="282" t="s">
        <v>867</v>
      </c>
      <c r="B160" s="283" t="s">
        <v>868</v>
      </c>
      <c r="C160" s="288" t="s">
        <v>547</v>
      </c>
      <c r="D160" s="97">
        <v>44</v>
      </c>
      <c r="E160" s="97">
        <v>800</v>
      </c>
      <c r="F160" s="97">
        <f t="shared" si="8"/>
        <v>35200</v>
      </c>
      <c r="G160" s="97"/>
      <c r="H160" s="97"/>
      <c r="I160" s="281"/>
      <c r="J160" s="281"/>
      <c r="K160" s="97">
        <f t="shared" si="9"/>
        <v>35200</v>
      </c>
      <c r="L160" s="281"/>
    </row>
    <row r="161" spans="1:12" ht="29.25" customHeight="1">
      <c r="A161" s="282" t="s">
        <v>867</v>
      </c>
      <c r="B161" s="283" t="s">
        <v>869</v>
      </c>
      <c r="C161" s="288" t="s">
        <v>547</v>
      </c>
      <c r="D161" s="122">
        <v>20</v>
      </c>
      <c r="E161" s="122">
        <v>1700</v>
      </c>
      <c r="F161" s="97">
        <f t="shared" si="8"/>
        <v>34000</v>
      </c>
      <c r="G161" s="97"/>
      <c r="H161" s="97"/>
      <c r="I161" s="281"/>
      <c r="J161" s="281"/>
      <c r="K161" s="97">
        <f t="shared" si="9"/>
        <v>34000</v>
      </c>
      <c r="L161" s="281"/>
    </row>
    <row r="162" spans="1:12" ht="29.25" customHeight="1">
      <c r="A162" s="283" t="s">
        <v>928</v>
      </c>
      <c r="B162" s="283" t="s">
        <v>929</v>
      </c>
      <c r="C162" s="288" t="s">
        <v>547</v>
      </c>
      <c r="D162" s="122">
        <v>132</v>
      </c>
      <c r="E162" s="122">
        <v>500</v>
      </c>
      <c r="F162" s="97">
        <f t="shared" si="8"/>
        <v>66000</v>
      </c>
      <c r="G162" s="97"/>
      <c r="H162" s="97"/>
      <c r="I162" s="281"/>
      <c r="J162" s="281"/>
      <c r="K162" s="97">
        <f t="shared" si="9"/>
        <v>66000</v>
      </c>
      <c r="L162" s="281"/>
    </row>
    <row r="163" spans="1:12" ht="29.25" customHeight="1">
      <c r="A163" s="283" t="s">
        <v>976</v>
      </c>
      <c r="B163" s="283" t="s">
        <v>977</v>
      </c>
      <c r="C163" s="288" t="s">
        <v>547</v>
      </c>
      <c r="D163" s="122">
        <v>120</v>
      </c>
      <c r="E163" s="122">
        <v>3000</v>
      </c>
      <c r="F163" s="97">
        <f t="shared" si="8"/>
        <v>360000</v>
      </c>
      <c r="G163" s="97"/>
      <c r="H163" s="97"/>
      <c r="I163" s="281"/>
      <c r="J163" s="281"/>
      <c r="K163" s="97">
        <f t="shared" si="9"/>
        <v>360000</v>
      </c>
      <c r="L163" s="281"/>
    </row>
    <row r="164" spans="1:12" ht="29.25" customHeight="1">
      <c r="A164" s="282" t="s">
        <v>978</v>
      </c>
      <c r="B164" s="282" t="s">
        <v>979</v>
      </c>
      <c r="C164" s="288" t="s">
        <v>547</v>
      </c>
      <c r="D164" s="122">
        <v>120</v>
      </c>
      <c r="E164" s="122">
        <v>200</v>
      </c>
      <c r="F164" s="97">
        <f t="shared" si="8"/>
        <v>24000</v>
      </c>
      <c r="G164" s="97"/>
      <c r="H164" s="97"/>
      <c r="I164" s="281"/>
      <c r="J164" s="281"/>
      <c r="K164" s="97">
        <f t="shared" si="9"/>
        <v>24000</v>
      </c>
      <c r="L164" s="281"/>
    </row>
    <row r="165" spans="1:12" ht="29.25" customHeight="1">
      <c r="A165" s="282" t="s">
        <v>980</v>
      </c>
      <c r="B165" s="291" t="s">
        <v>981</v>
      </c>
      <c r="C165" s="288" t="s">
        <v>547</v>
      </c>
      <c r="D165" s="122">
        <v>165</v>
      </c>
      <c r="E165" s="122">
        <v>600</v>
      </c>
      <c r="F165" s="97">
        <f t="shared" si="8"/>
        <v>99000</v>
      </c>
      <c r="G165" s="97"/>
      <c r="H165" s="97"/>
      <c r="I165" s="281"/>
      <c r="J165" s="281"/>
      <c r="K165" s="97">
        <f t="shared" si="9"/>
        <v>99000</v>
      </c>
      <c r="L165" s="281"/>
    </row>
    <row r="166" spans="1:12" ht="29.25" customHeight="1">
      <c r="A166" s="283" t="s">
        <v>982</v>
      </c>
      <c r="B166" s="283" t="s">
        <v>983</v>
      </c>
      <c r="C166" s="285" t="s">
        <v>891</v>
      </c>
      <c r="D166" s="122">
        <v>4</v>
      </c>
      <c r="E166" s="122">
        <v>599500</v>
      </c>
      <c r="F166" s="97">
        <f t="shared" si="8"/>
        <v>2398000</v>
      </c>
      <c r="G166" s="97"/>
      <c r="H166" s="97"/>
      <c r="I166" s="281"/>
      <c r="J166" s="281"/>
      <c r="K166" s="97">
        <f t="shared" si="9"/>
        <v>2398000</v>
      </c>
      <c r="L166" s="281"/>
    </row>
    <row r="167" spans="1:12" ht="29.25" customHeight="1">
      <c r="A167" s="282" t="s">
        <v>984</v>
      </c>
      <c r="B167" s="282" t="s">
        <v>985</v>
      </c>
      <c r="C167" s="285" t="s">
        <v>891</v>
      </c>
      <c r="D167" s="122">
        <v>1</v>
      </c>
      <c r="E167" s="122">
        <v>915900</v>
      </c>
      <c r="F167" s="97">
        <f t="shared" si="8"/>
        <v>915900</v>
      </c>
      <c r="G167" s="97"/>
      <c r="H167" s="97"/>
      <c r="I167" s="281"/>
      <c r="J167" s="281"/>
      <c r="K167" s="97">
        <f t="shared" si="9"/>
        <v>915900</v>
      </c>
      <c r="L167" s="281"/>
    </row>
    <row r="168" spans="1:12" ht="29.25" customHeight="1">
      <c r="A168" s="282" t="s">
        <v>937</v>
      </c>
      <c r="B168" s="282" t="s">
        <v>986</v>
      </c>
      <c r="C168" s="285" t="s">
        <v>400</v>
      </c>
      <c r="D168" s="122">
        <v>4</v>
      </c>
      <c r="E168" s="122">
        <v>2100</v>
      </c>
      <c r="F168" s="97">
        <f t="shared" si="8"/>
        <v>8400</v>
      </c>
      <c r="G168" s="97"/>
      <c r="H168" s="97"/>
      <c r="I168" s="281"/>
      <c r="J168" s="281"/>
      <c r="K168" s="97">
        <f t="shared" si="9"/>
        <v>8400</v>
      </c>
      <c r="L168" s="281"/>
    </row>
    <row r="169" spans="1:12" ht="29.25" customHeight="1">
      <c r="A169" s="282" t="s">
        <v>987</v>
      </c>
      <c r="B169" s="283" t="s">
        <v>988</v>
      </c>
      <c r="C169" s="285" t="s">
        <v>461</v>
      </c>
      <c r="D169" s="122">
        <v>4</v>
      </c>
      <c r="E169" s="122">
        <v>124900</v>
      </c>
      <c r="F169" s="97">
        <f t="shared" si="8"/>
        <v>499600</v>
      </c>
      <c r="G169" s="97"/>
      <c r="H169" s="97"/>
      <c r="I169" s="281"/>
      <c r="J169" s="281"/>
      <c r="K169" s="97">
        <f t="shared" si="9"/>
        <v>499600</v>
      </c>
      <c r="L169" s="281"/>
    </row>
    <row r="170" spans="1:12" ht="29.25" customHeight="1">
      <c r="A170" s="282" t="s">
        <v>989</v>
      </c>
      <c r="B170" s="282"/>
      <c r="C170" s="285" t="s">
        <v>400</v>
      </c>
      <c r="D170" s="122">
        <v>1</v>
      </c>
      <c r="E170" s="122">
        <v>12500</v>
      </c>
      <c r="F170" s="97">
        <f t="shared" si="8"/>
        <v>12500</v>
      </c>
      <c r="G170" s="97"/>
      <c r="H170" s="97"/>
      <c r="I170" s="281"/>
      <c r="J170" s="281"/>
      <c r="K170" s="97">
        <f t="shared" si="9"/>
        <v>12500</v>
      </c>
      <c r="L170" s="281"/>
    </row>
    <row r="171" spans="1:12" ht="29.25" customHeight="1">
      <c r="A171" s="282" t="s">
        <v>990</v>
      </c>
      <c r="B171" s="282" t="s">
        <v>991</v>
      </c>
      <c r="C171" s="285" t="s">
        <v>400</v>
      </c>
      <c r="D171" s="122">
        <v>3</v>
      </c>
      <c r="E171" s="122">
        <v>3800</v>
      </c>
      <c r="F171" s="97">
        <f t="shared" si="8"/>
        <v>11400</v>
      </c>
      <c r="G171" s="97"/>
      <c r="H171" s="97"/>
      <c r="I171" s="281"/>
      <c r="J171" s="281"/>
      <c r="K171" s="97">
        <f t="shared" si="9"/>
        <v>11400</v>
      </c>
      <c r="L171" s="281"/>
    </row>
    <row r="172" spans="1:12" ht="29.25" customHeight="1">
      <c r="A172" s="282" t="s">
        <v>990</v>
      </c>
      <c r="B172" s="282" t="s">
        <v>992</v>
      </c>
      <c r="C172" s="285" t="s">
        <v>400</v>
      </c>
      <c r="D172" s="122">
        <v>3</v>
      </c>
      <c r="E172" s="122">
        <v>5400</v>
      </c>
      <c r="F172" s="97">
        <f t="shared" si="8"/>
        <v>16200</v>
      </c>
      <c r="G172" s="97"/>
      <c r="H172" s="97"/>
      <c r="I172" s="281"/>
      <c r="J172" s="281"/>
      <c r="K172" s="97">
        <f t="shared" si="9"/>
        <v>16200</v>
      </c>
      <c r="L172" s="281"/>
    </row>
    <row r="173" spans="1:12" ht="29.25" customHeight="1">
      <c r="A173" s="282" t="s">
        <v>990</v>
      </c>
      <c r="B173" s="282" t="s">
        <v>993</v>
      </c>
      <c r="C173" s="285" t="s">
        <v>400</v>
      </c>
      <c r="D173" s="122">
        <v>3</v>
      </c>
      <c r="E173" s="122">
        <v>9200</v>
      </c>
      <c r="F173" s="97">
        <f t="shared" si="8"/>
        <v>27600</v>
      </c>
      <c r="G173" s="97"/>
      <c r="H173" s="97"/>
      <c r="I173" s="281"/>
      <c r="J173" s="281"/>
      <c r="K173" s="97">
        <f t="shared" si="9"/>
        <v>27600</v>
      </c>
      <c r="L173" s="281"/>
    </row>
    <row r="174" spans="1:12" ht="29.25" customHeight="1">
      <c r="A174" s="282" t="s">
        <v>990</v>
      </c>
      <c r="B174" s="282" t="s">
        <v>994</v>
      </c>
      <c r="C174" s="285" t="s">
        <v>400</v>
      </c>
      <c r="D174" s="122">
        <v>3</v>
      </c>
      <c r="E174" s="122">
        <v>12500</v>
      </c>
      <c r="F174" s="97">
        <f t="shared" si="8"/>
        <v>37500</v>
      </c>
      <c r="G174" s="97"/>
      <c r="H174" s="97"/>
      <c r="I174" s="281"/>
      <c r="J174" s="281"/>
      <c r="K174" s="97">
        <f t="shared" si="9"/>
        <v>37500</v>
      </c>
      <c r="L174" s="281"/>
    </row>
    <row r="175" spans="1:12" ht="29.25" customHeight="1">
      <c r="A175" s="283" t="s">
        <v>995</v>
      </c>
      <c r="B175" s="283" t="s">
        <v>996</v>
      </c>
      <c r="C175" s="285" t="s">
        <v>891</v>
      </c>
      <c r="D175" s="97">
        <v>1</v>
      </c>
      <c r="E175" s="97">
        <v>486600</v>
      </c>
      <c r="F175" s="97">
        <f t="shared" si="8"/>
        <v>486600</v>
      </c>
      <c r="G175" s="97"/>
      <c r="H175" s="97"/>
      <c r="I175" s="281"/>
      <c r="J175" s="281"/>
      <c r="K175" s="97">
        <f t="shared" si="9"/>
        <v>486600</v>
      </c>
      <c r="L175" s="281"/>
    </row>
    <row r="176" spans="1:12" ht="29.25" customHeight="1">
      <c r="A176" s="283" t="s">
        <v>997</v>
      </c>
      <c r="B176" s="283" t="s">
        <v>996</v>
      </c>
      <c r="C176" s="285" t="s">
        <v>891</v>
      </c>
      <c r="D176" s="97">
        <v>1</v>
      </c>
      <c r="E176" s="97">
        <v>425600</v>
      </c>
      <c r="F176" s="97">
        <f t="shared" si="8"/>
        <v>425600</v>
      </c>
      <c r="G176" s="97"/>
      <c r="H176" s="97"/>
      <c r="I176" s="281"/>
      <c r="J176" s="281"/>
      <c r="K176" s="97">
        <f t="shared" si="9"/>
        <v>425600</v>
      </c>
      <c r="L176" s="281"/>
    </row>
    <row r="177" spans="1:12" ht="29.25" customHeight="1">
      <c r="A177" s="283" t="s">
        <v>998</v>
      </c>
      <c r="B177" s="283" t="s">
        <v>996</v>
      </c>
      <c r="C177" s="285" t="s">
        <v>891</v>
      </c>
      <c r="D177" s="97">
        <v>1</v>
      </c>
      <c r="E177" s="97">
        <v>425600</v>
      </c>
      <c r="F177" s="97">
        <f t="shared" si="8"/>
        <v>425600</v>
      </c>
      <c r="G177" s="97"/>
      <c r="H177" s="97"/>
      <c r="I177" s="281"/>
      <c r="J177" s="281"/>
      <c r="K177" s="97">
        <f t="shared" si="9"/>
        <v>425600</v>
      </c>
      <c r="L177" s="281"/>
    </row>
    <row r="178" spans="1:12" ht="29.25" customHeight="1">
      <c r="A178" s="283" t="s">
        <v>999</v>
      </c>
      <c r="B178" s="283" t="s">
        <v>996</v>
      </c>
      <c r="C178" s="285" t="s">
        <v>891</v>
      </c>
      <c r="D178" s="97">
        <v>1</v>
      </c>
      <c r="E178" s="97">
        <v>425600</v>
      </c>
      <c r="F178" s="97">
        <f t="shared" si="8"/>
        <v>425600</v>
      </c>
      <c r="G178" s="97"/>
      <c r="H178" s="97"/>
      <c r="I178" s="281"/>
      <c r="J178" s="281"/>
      <c r="K178" s="97">
        <f t="shared" si="9"/>
        <v>425600</v>
      </c>
      <c r="L178" s="281"/>
    </row>
    <row r="179" spans="1:12" ht="29.25" customHeight="1">
      <c r="A179" s="282" t="s">
        <v>1000</v>
      </c>
      <c r="B179" s="283" t="s">
        <v>1001</v>
      </c>
      <c r="C179" s="285" t="s">
        <v>109</v>
      </c>
      <c r="D179" s="97">
        <v>1</v>
      </c>
      <c r="E179" s="97">
        <v>149900</v>
      </c>
      <c r="F179" s="97">
        <f t="shared" si="8"/>
        <v>149900</v>
      </c>
      <c r="G179" s="97"/>
      <c r="H179" s="97"/>
      <c r="I179" s="281"/>
      <c r="J179" s="281"/>
      <c r="K179" s="97">
        <f t="shared" si="9"/>
        <v>149900</v>
      </c>
      <c r="L179" s="281"/>
    </row>
    <row r="180" spans="1:12" ht="29.25" customHeight="1">
      <c r="A180" s="282" t="s">
        <v>1002</v>
      </c>
      <c r="B180" s="283" t="s">
        <v>1003</v>
      </c>
      <c r="C180" s="285" t="s">
        <v>122</v>
      </c>
      <c r="D180" s="122">
        <v>1</v>
      </c>
      <c r="E180" s="122">
        <v>249800</v>
      </c>
      <c r="F180" s="97">
        <f t="shared" si="8"/>
        <v>249800</v>
      </c>
      <c r="G180" s="97"/>
      <c r="H180" s="97"/>
      <c r="I180" s="281"/>
      <c r="J180" s="281"/>
      <c r="K180" s="97">
        <f t="shared" si="9"/>
        <v>249800</v>
      </c>
      <c r="L180" s="281"/>
    </row>
    <row r="181" spans="1:12" ht="29.25" customHeight="1">
      <c r="A181" s="282" t="s">
        <v>1004</v>
      </c>
      <c r="B181" s="283" t="s">
        <v>1005</v>
      </c>
      <c r="C181" s="285" t="s">
        <v>400</v>
      </c>
      <c r="D181" s="122">
        <v>3</v>
      </c>
      <c r="E181" s="122">
        <v>8000</v>
      </c>
      <c r="F181" s="97">
        <f t="shared" si="8"/>
        <v>24000</v>
      </c>
      <c r="G181" s="97"/>
      <c r="H181" s="97"/>
      <c r="I181" s="281"/>
      <c r="J181" s="281"/>
      <c r="K181" s="97">
        <f t="shared" si="9"/>
        <v>24000</v>
      </c>
      <c r="L181" s="281"/>
    </row>
    <row r="182" spans="1:12" ht="29.25" customHeight="1">
      <c r="A182" s="283" t="s">
        <v>904</v>
      </c>
      <c r="B182" s="282" t="s">
        <v>905</v>
      </c>
      <c r="C182" s="285" t="s">
        <v>55</v>
      </c>
      <c r="D182" s="122">
        <v>1</v>
      </c>
      <c r="E182" s="292">
        <f>TRUNC(SUM(F152:F157,F160:F165)*0.02,0)</f>
        <v>16748</v>
      </c>
      <c r="F182" s="97">
        <f t="shared" si="8"/>
        <v>16748</v>
      </c>
      <c r="G182" s="90"/>
      <c r="H182" s="97"/>
      <c r="I182" s="281"/>
      <c r="J182" s="281"/>
      <c r="K182" s="97">
        <f t="shared" si="9"/>
        <v>16748</v>
      </c>
      <c r="L182" s="281"/>
    </row>
    <row r="183" spans="1:12" ht="29.25" customHeight="1">
      <c r="A183" s="282" t="s">
        <v>494</v>
      </c>
      <c r="B183" s="282" t="s">
        <v>1006</v>
      </c>
      <c r="C183" s="285" t="s">
        <v>165</v>
      </c>
      <c r="D183" s="122">
        <v>14</v>
      </c>
      <c r="E183" s="122"/>
      <c r="F183" s="90"/>
      <c r="G183" s="90">
        <v>241500</v>
      </c>
      <c r="H183" s="97">
        <f>D183*G183</f>
        <v>3381000</v>
      </c>
      <c r="I183" s="281"/>
      <c r="J183" s="281"/>
      <c r="K183" s="97">
        <f>H183</f>
        <v>3381000</v>
      </c>
      <c r="L183" s="281"/>
    </row>
    <row r="184" spans="1:12" ht="29.25" customHeight="1">
      <c r="A184" s="282" t="s">
        <v>494</v>
      </c>
      <c r="B184" s="282" t="s">
        <v>1007</v>
      </c>
      <c r="C184" s="285" t="s">
        <v>165</v>
      </c>
      <c r="D184" s="122">
        <v>8</v>
      </c>
      <c r="E184" s="122"/>
      <c r="F184" s="90"/>
      <c r="G184" s="90">
        <v>278600</v>
      </c>
      <c r="H184" s="97">
        <f>D184*G184</f>
        <v>2228800</v>
      </c>
      <c r="I184" s="281"/>
      <c r="J184" s="281"/>
      <c r="K184" s="97">
        <f>H184</f>
        <v>2228800</v>
      </c>
      <c r="L184" s="281"/>
    </row>
    <row r="185" spans="1:12" ht="29.25" customHeight="1">
      <c r="A185" s="282" t="s">
        <v>494</v>
      </c>
      <c r="B185" s="282" t="s">
        <v>519</v>
      </c>
      <c r="C185" s="285" t="s">
        <v>165</v>
      </c>
      <c r="D185" s="122">
        <v>4</v>
      </c>
      <c r="E185" s="122"/>
      <c r="F185" s="90"/>
      <c r="G185" s="90">
        <v>159400</v>
      </c>
      <c r="H185" s="97">
        <f>D185*G185</f>
        <v>637600</v>
      </c>
      <c r="I185" s="281"/>
      <c r="J185" s="281"/>
      <c r="K185" s="97">
        <f>H185</f>
        <v>637600</v>
      </c>
      <c r="L185" s="281"/>
    </row>
    <row r="186" spans="1:12" ht="29.25" customHeight="1">
      <c r="A186" s="283" t="s">
        <v>908</v>
      </c>
      <c r="B186" s="282" t="s">
        <v>909</v>
      </c>
      <c r="C186" s="285" t="s">
        <v>55</v>
      </c>
      <c r="D186" s="122">
        <v>1</v>
      </c>
      <c r="E186" s="122"/>
      <c r="F186" s="90"/>
      <c r="G186" s="293">
        <f>TRUNC(SUM(H183:H185)*0.03,0)</f>
        <v>187422</v>
      </c>
      <c r="H186" s="97">
        <f>D186*G186</f>
        <v>187422</v>
      </c>
      <c r="I186" s="281"/>
      <c r="J186" s="281"/>
      <c r="K186" s="97">
        <f>H186</f>
        <v>187422</v>
      </c>
      <c r="L186" s="281"/>
    </row>
    <row r="187" spans="1:12" ht="29.25" customHeight="1">
      <c r="A187" s="282"/>
      <c r="B187" s="282"/>
      <c r="C187" s="285"/>
      <c r="D187" s="122"/>
      <c r="E187" s="122"/>
      <c r="F187" s="90"/>
      <c r="G187" s="90"/>
      <c r="H187" s="97"/>
      <c r="I187" s="281"/>
      <c r="J187" s="281"/>
      <c r="K187" s="97"/>
      <c r="L187" s="281"/>
    </row>
    <row r="188" spans="1:12" ht="29.25" customHeight="1">
      <c r="A188" s="282"/>
      <c r="B188" s="282"/>
      <c r="C188" s="285"/>
      <c r="D188" s="122"/>
      <c r="E188" s="122"/>
      <c r="F188" s="90"/>
      <c r="G188" s="90"/>
      <c r="H188" s="97"/>
      <c r="I188" s="281"/>
      <c r="J188" s="281"/>
      <c r="K188" s="97"/>
      <c r="L188" s="281"/>
    </row>
    <row r="189" spans="1:12" ht="29.25" customHeight="1">
      <c r="A189" s="282"/>
      <c r="B189" s="282"/>
      <c r="C189" s="285"/>
      <c r="D189" s="122"/>
      <c r="E189" s="122"/>
      <c r="F189" s="90"/>
      <c r="G189" s="90"/>
      <c r="H189" s="97"/>
      <c r="I189" s="281"/>
      <c r="J189" s="281"/>
      <c r="K189" s="97"/>
      <c r="L189" s="281"/>
    </row>
    <row r="190" spans="1:12" ht="29.25" customHeight="1">
      <c r="A190" s="282"/>
      <c r="B190" s="282"/>
      <c r="C190" s="285"/>
      <c r="D190" s="122"/>
      <c r="E190" s="122"/>
      <c r="F190" s="90"/>
      <c r="G190" s="90"/>
      <c r="H190" s="97"/>
      <c r="I190" s="281"/>
      <c r="J190" s="281"/>
      <c r="K190" s="97"/>
      <c r="L190" s="281"/>
    </row>
    <row r="191" spans="1:12" ht="29.25" customHeight="1">
      <c r="A191" s="282"/>
      <c r="B191" s="282"/>
      <c r="C191" s="285"/>
      <c r="D191" s="122"/>
      <c r="E191" s="122"/>
      <c r="F191" s="90"/>
      <c r="G191" s="90"/>
      <c r="H191" s="97"/>
      <c r="I191" s="281"/>
      <c r="J191" s="281"/>
      <c r="K191" s="97"/>
      <c r="L191" s="281"/>
    </row>
    <row r="192" spans="1:12" ht="29.25" customHeight="1">
      <c r="A192" s="263" t="s">
        <v>910</v>
      </c>
      <c r="B192" s="263"/>
      <c r="C192" s="260"/>
      <c r="D192" s="287"/>
      <c r="E192" s="287"/>
      <c r="F192" s="287">
        <f>SUM(F152:F191)</f>
        <v>6975148</v>
      </c>
      <c r="G192" s="287"/>
      <c r="H192" s="287">
        <f>SUM(H183:H191)</f>
        <v>6434822</v>
      </c>
      <c r="I192" s="262"/>
      <c r="J192" s="262"/>
      <c r="K192" s="287">
        <f>SUM(K152:K191)</f>
        <v>13409970</v>
      </c>
      <c r="L192" s="263"/>
    </row>
    <row r="193" spans="1:12" ht="29.25" customHeight="1">
      <c r="A193" s="331" t="s">
        <v>1008</v>
      </c>
      <c r="B193" s="331"/>
      <c r="C193" s="331"/>
      <c r="D193" s="331"/>
      <c r="E193" s="331"/>
      <c r="F193" s="331"/>
      <c r="G193" s="331"/>
      <c r="H193" s="331"/>
      <c r="I193" s="331"/>
      <c r="J193" s="331"/>
      <c r="K193" s="331"/>
      <c r="L193" s="331"/>
    </row>
    <row r="194" spans="1:12" ht="29.25" customHeight="1">
      <c r="A194" s="282" t="s">
        <v>912</v>
      </c>
      <c r="B194" s="283" t="s">
        <v>913</v>
      </c>
      <c r="C194" s="288" t="s">
        <v>547</v>
      </c>
      <c r="D194" s="281">
        <v>1022</v>
      </c>
      <c r="E194" s="281">
        <v>100</v>
      </c>
      <c r="F194" s="90">
        <f t="shared" ref="F194:F201" si="10">D194*E194</f>
        <v>102200</v>
      </c>
      <c r="G194" s="281"/>
      <c r="H194" s="281"/>
      <c r="I194" s="281"/>
      <c r="J194" s="281"/>
      <c r="K194" s="97">
        <f t="shared" ref="K194:K201" si="11">F194</f>
        <v>102200</v>
      </c>
      <c r="L194" s="281"/>
    </row>
    <row r="195" spans="1:12" ht="29.25" customHeight="1">
      <c r="A195" s="277" t="s">
        <v>922</v>
      </c>
      <c r="B195" s="278" t="s">
        <v>1009</v>
      </c>
      <c r="C195" s="286" t="s">
        <v>400</v>
      </c>
      <c r="D195" s="90">
        <v>51</v>
      </c>
      <c r="E195" s="90">
        <v>600</v>
      </c>
      <c r="F195" s="90">
        <f t="shared" si="10"/>
        <v>30600</v>
      </c>
      <c r="G195" s="90"/>
      <c r="H195" s="158"/>
      <c r="I195" s="294"/>
      <c r="J195" s="294"/>
      <c r="K195" s="97">
        <f t="shared" si="11"/>
        <v>30600</v>
      </c>
      <c r="L195" s="294"/>
    </row>
    <row r="196" spans="1:12" ht="29.25" customHeight="1">
      <c r="A196" s="282" t="s">
        <v>978</v>
      </c>
      <c r="B196" s="282" t="s">
        <v>1010</v>
      </c>
      <c r="C196" s="288" t="s">
        <v>547</v>
      </c>
      <c r="D196" s="122">
        <v>325</v>
      </c>
      <c r="E196" s="122">
        <v>100</v>
      </c>
      <c r="F196" s="90">
        <f t="shared" si="10"/>
        <v>32500</v>
      </c>
      <c r="G196" s="90"/>
      <c r="H196" s="97"/>
      <c r="I196" s="281"/>
      <c r="J196" s="281"/>
      <c r="K196" s="97">
        <f t="shared" si="11"/>
        <v>32500</v>
      </c>
      <c r="L196" s="281"/>
    </row>
    <row r="197" spans="1:12" ht="29.25" customHeight="1">
      <c r="A197" s="283" t="s">
        <v>976</v>
      </c>
      <c r="B197" s="283" t="s">
        <v>1011</v>
      </c>
      <c r="C197" s="288" t="s">
        <v>547</v>
      </c>
      <c r="D197" s="122">
        <v>650</v>
      </c>
      <c r="E197" s="122">
        <v>600</v>
      </c>
      <c r="F197" s="90">
        <f t="shared" si="10"/>
        <v>390000</v>
      </c>
      <c r="G197" s="90"/>
      <c r="H197" s="97"/>
      <c r="I197" s="281"/>
      <c r="J197" s="281"/>
      <c r="K197" s="97">
        <f t="shared" si="11"/>
        <v>390000</v>
      </c>
      <c r="L197" s="281"/>
    </row>
    <row r="198" spans="1:12" ht="29.25" customHeight="1">
      <c r="A198" s="283" t="s">
        <v>1012</v>
      </c>
      <c r="B198" s="282" t="s">
        <v>1013</v>
      </c>
      <c r="C198" s="285" t="s">
        <v>400</v>
      </c>
      <c r="D198" s="122">
        <v>20</v>
      </c>
      <c r="E198" s="122">
        <v>2900</v>
      </c>
      <c r="F198" s="90">
        <f t="shared" si="10"/>
        <v>58000</v>
      </c>
      <c r="G198" s="90"/>
      <c r="H198" s="97"/>
      <c r="I198" s="281"/>
      <c r="J198" s="281"/>
      <c r="K198" s="97">
        <f t="shared" si="11"/>
        <v>58000</v>
      </c>
      <c r="L198" s="281"/>
    </row>
    <row r="199" spans="1:12" ht="29.25" customHeight="1">
      <c r="A199" s="282" t="s">
        <v>1014</v>
      </c>
      <c r="B199" s="283" t="s">
        <v>1015</v>
      </c>
      <c r="C199" s="285" t="s">
        <v>400</v>
      </c>
      <c r="D199" s="122">
        <v>20</v>
      </c>
      <c r="E199" s="122">
        <v>2900</v>
      </c>
      <c r="F199" s="90">
        <f t="shared" si="10"/>
        <v>58000</v>
      </c>
      <c r="G199" s="90"/>
      <c r="H199" s="97"/>
      <c r="I199" s="281"/>
      <c r="J199" s="281"/>
      <c r="K199" s="97">
        <f t="shared" si="11"/>
        <v>58000</v>
      </c>
      <c r="L199" s="281"/>
    </row>
    <row r="200" spans="1:12" ht="29.25" customHeight="1">
      <c r="A200" s="282" t="s">
        <v>1016</v>
      </c>
      <c r="B200" s="282"/>
      <c r="C200" s="285" t="s">
        <v>400</v>
      </c>
      <c r="D200" s="122">
        <v>6</v>
      </c>
      <c r="E200" s="122">
        <v>6700</v>
      </c>
      <c r="F200" s="90">
        <f t="shared" si="10"/>
        <v>40200</v>
      </c>
      <c r="G200" s="90"/>
      <c r="H200" s="97"/>
      <c r="I200" s="281"/>
      <c r="J200" s="281"/>
      <c r="K200" s="97">
        <f t="shared" si="11"/>
        <v>40200</v>
      </c>
      <c r="L200" s="281"/>
    </row>
    <row r="201" spans="1:12" ht="29.25" customHeight="1">
      <c r="A201" s="283" t="s">
        <v>904</v>
      </c>
      <c r="B201" s="282" t="s">
        <v>905</v>
      </c>
      <c r="C201" s="285" t="s">
        <v>55</v>
      </c>
      <c r="D201" s="122">
        <v>1</v>
      </c>
      <c r="E201" s="292">
        <f>TRUNC(SUM(F194,F196:F197)*0.02,0)</f>
        <v>10494</v>
      </c>
      <c r="F201" s="90">
        <f t="shared" si="10"/>
        <v>10494</v>
      </c>
      <c r="G201" s="90"/>
      <c r="H201" s="97"/>
      <c r="I201" s="281"/>
      <c r="J201" s="281"/>
      <c r="K201" s="97">
        <f t="shared" si="11"/>
        <v>10494</v>
      </c>
      <c r="L201" s="281"/>
    </row>
    <row r="202" spans="1:12" ht="29.25" customHeight="1">
      <c r="A202" s="282" t="s">
        <v>494</v>
      </c>
      <c r="B202" s="282" t="s">
        <v>906</v>
      </c>
      <c r="C202" s="285" t="s">
        <v>165</v>
      </c>
      <c r="D202" s="122">
        <v>22</v>
      </c>
      <c r="E202" s="122"/>
      <c r="F202" s="90"/>
      <c r="G202" s="90">
        <v>241500</v>
      </c>
      <c r="H202" s="97">
        <f>D202*G202</f>
        <v>5313000</v>
      </c>
      <c r="I202" s="281"/>
      <c r="J202" s="281"/>
      <c r="K202" s="97">
        <f>H202</f>
        <v>5313000</v>
      </c>
      <c r="L202" s="281"/>
    </row>
    <row r="203" spans="1:12" ht="29.25" customHeight="1">
      <c r="A203" s="282" t="s">
        <v>494</v>
      </c>
      <c r="B203" s="282" t="s">
        <v>519</v>
      </c>
      <c r="C203" s="285" t="s">
        <v>165</v>
      </c>
      <c r="D203" s="122">
        <v>4</v>
      </c>
      <c r="E203" s="122"/>
      <c r="F203" s="90"/>
      <c r="G203" s="90">
        <v>159400</v>
      </c>
      <c r="H203" s="97">
        <f>D203*G203</f>
        <v>637600</v>
      </c>
      <c r="I203" s="281"/>
      <c r="J203" s="281"/>
      <c r="K203" s="97">
        <f>H203</f>
        <v>637600</v>
      </c>
      <c r="L203" s="281"/>
    </row>
    <row r="204" spans="1:12" ht="29.25" customHeight="1">
      <c r="A204" s="283" t="s">
        <v>908</v>
      </c>
      <c r="B204" s="282" t="s">
        <v>909</v>
      </c>
      <c r="C204" s="285" t="s">
        <v>55</v>
      </c>
      <c r="D204" s="122">
        <v>1</v>
      </c>
      <c r="E204" s="122"/>
      <c r="F204" s="90"/>
      <c r="G204" s="90">
        <f>TRUNC(SUM(H202:H203)*0.03,0)</f>
        <v>178518</v>
      </c>
      <c r="H204" s="97">
        <f>D204*G204</f>
        <v>178518</v>
      </c>
      <c r="I204" s="281"/>
      <c r="J204" s="281"/>
      <c r="K204" s="97">
        <f>H204</f>
        <v>178518</v>
      </c>
      <c r="L204" s="281"/>
    </row>
    <row r="205" spans="1:12" ht="29.25" customHeight="1">
      <c r="A205" s="282"/>
      <c r="B205" s="282"/>
      <c r="C205" s="285"/>
      <c r="D205" s="97"/>
      <c r="E205" s="97"/>
      <c r="F205" s="97"/>
      <c r="G205" s="97"/>
      <c r="H205" s="97"/>
      <c r="I205" s="281"/>
      <c r="J205" s="281"/>
      <c r="K205" s="97"/>
      <c r="L205" s="281"/>
    </row>
    <row r="206" spans="1:12" ht="29.25" customHeight="1">
      <c r="A206" s="277"/>
      <c r="B206" s="277"/>
      <c r="C206" s="295"/>
      <c r="D206" s="97"/>
      <c r="E206" s="97"/>
      <c r="F206" s="97"/>
      <c r="G206" s="97"/>
      <c r="H206" s="97"/>
      <c r="I206" s="281"/>
      <c r="J206" s="281"/>
      <c r="K206" s="97"/>
      <c r="L206" s="281"/>
    </row>
    <row r="207" spans="1:12" ht="29.25" customHeight="1">
      <c r="A207" s="277"/>
      <c r="B207" s="277"/>
      <c r="C207" s="295"/>
      <c r="D207" s="97"/>
      <c r="E207" s="97"/>
      <c r="F207" s="97"/>
      <c r="G207" s="97"/>
      <c r="H207" s="97"/>
      <c r="I207" s="281"/>
      <c r="J207" s="281"/>
      <c r="K207" s="97"/>
      <c r="L207" s="281"/>
    </row>
    <row r="208" spans="1:12" ht="29.25" customHeight="1">
      <c r="A208" s="284"/>
      <c r="B208" s="281"/>
      <c r="C208" s="295"/>
      <c r="D208" s="97"/>
      <c r="E208" s="97"/>
      <c r="F208" s="97"/>
      <c r="G208" s="97"/>
      <c r="H208" s="97"/>
      <c r="I208" s="281"/>
      <c r="J208" s="281"/>
      <c r="K208" s="97"/>
      <c r="L208" s="281"/>
    </row>
    <row r="209" spans="1:12" ht="29.25" customHeight="1">
      <c r="A209" s="284"/>
      <c r="B209" s="281"/>
      <c r="C209" s="257"/>
      <c r="D209" s="97"/>
      <c r="E209" s="97"/>
      <c r="F209" s="97"/>
      <c r="G209" s="97"/>
      <c r="H209" s="97"/>
      <c r="I209" s="281"/>
      <c r="J209" s="281"/>
      <c r="K209" s="97"/>
      <c r="L209" s="281"/>
    </row>
    <row r="210" spans="1:12" ht="29.25" customHeight="1">
      <c r="A210" s="284"/>
      <c r="B210" s="281"/>
      <c r="C210" s="257"/>
      <c r="D210" s="97"/>
      <c r="E210" s="97"/>
      <c r="F210" s="97"/>
      <c r="G210" s="97"/>
      <c r="H210" s="97"/>
      <c r="I210" s="281"/>
      <c r="J210" s="281"/>
      <c r="K210" s="97"/>
      <c r="L210" s="281"/>
    </row>
    <row r="211" spans="1:12" ht="29.25" customHeight="1">
      <c r="A211" s="284"/>
      <c r="B211" s="281"/>
      <c r="C211" s="257"/>
      <c r="D211" s="97"/>
      <c r="E211" s="97"/>
      <c r="F211" s="97"/>
      <c r="G211" s="97"/>
      <c r="H211" s="97"/>
      <c r="I211" s="281"/>
      <c r="J211" s="281"/>
      <c r="K211" s="97"/>
      <c r="L211" s="281"/>
    </row>
    <row r="212" spans="1:12" ht="29.25" customHeight="1">
      <c r="A212" s="284"/>
      <c r="B212" s="281"/>
      <c r="C212" s="257"/>
      <c r="D212" s="97"/>
      <c r="E212" s="97"/>
      <c r="F212" s="97"/>
      <c r="G212" s="97"/>
      <c r="H212" s="97"/>
      <c r="I212" s="281"/>
      <c r="J212" s="281"/>
      <c r="K212" s="97"/>
      <c r="L212" s="281"/>
    </row>
    <row r="213" spans="1:12" ht="29.25" customHeight="1">
      <c r="A213" s="263" t="s">
        <v>910</v>
      </c>
      <c r="B213" s="263"/>
      <c r="C213" s="260"/>
      <c r="D213" s="287"/>
      <c r="E213" s="287"/>
      <c r="F213" s="287">
        <f>SUM(F194:F212)</f>
        <v>721994</v>
      </c>
      <c r="G213" s="287"/>
      <c r="H213" s="287">
        <f>SUM(H202:H212)</f>
        <v>6129118</v>
      </c>
      <c r="I213" s="262"/>
      <c r="J213" s="262"/>
      <c r="K213" s="287">
        <f>SUM(K194:K212)</f>
        <v>6851112</v>
      </c>
      <c r="L213" s="263"/>
    </row>
    <row r="214" spans="1:12" ht="29.25" customHeight="1">
      <c r="A214" s="331" t="s">
        <v>1017</v>
      </c>
      <c r="B214" s="331"/>
      <c r="C214" s="331"/>
      <c r="D214" s="331"/>
      <c r="E214" s="331"/>
      <c r="F214" s="331"/>
      <c r="G214" s="331"/>
      <c r="H214" s="331"/>
      <c r="I214" s="331"/>
      <c r="J214" s="331"/>
      <c r="K214" s="331"/>
      <c r="L214" s="331"/>
    </row>
    <row r="215" spans="1:12" s="289" customFormat="1" ht="29.25" customHeight="1">
      <c r="A215" s="282" t="s">
        <v>912</v>
      </c>
      <c r="B215" s="283" t="s">
        <v>913</v>
      </c>
      <c r="C215" s="288" t="s">
        <v>547</v>
      </c>
      <c r="D215" s="281">
        <v>1205</v>
      </c>
      <c r="E215" s="281">
        <v>100</v>
      </c>
      <c r="F215" s="97">
        <f t="shared" ref="F215:F232" si="12">D215*E215</f>
        <v>120500</v>
      </c>
      <c r="G215" s="281"/>
      <c r="H215" s="281"/>
      <c r="I215" s="281"/>
      <c r="J215" s="281"/>
      <c r="K215" s="97">
        <f t="shared" ref="K215:K232" si="13">F215</f>
        <v>120500</v>
      </c>
      <c r="L215" s="281"/>
    </row>
    <row r="216" spans="1:12" ht="29.25" customHeight="1">
      <c r="A216" s="282" t="s">
        <v>912</v>
      </c>
      <c r="B216" s="283" t="s">
        <v>973</v>
      </c>
      <c r="C216" s="288" t="s">
        <v>547</v>
      </c>
      <c r="D216" s="97">
        <v>402</v>
      </c>
      <c r="E216" s="97">
        <v>300</v>
      </c>
      <c r="F216" s="97">
        <f t="shared" si="12"/>
        <v>120600</v>
      </c>
      <c r="G216" s="97"/>
      <c r="H216" s="97"/>
      <c r="I216" s="281"/>
      <c r="J216" s="281"/>
      <c r="K216" s="97">
        <f t="shared" si="13"/>
        <v>120600</v>
      </c>
      <c r="L216" s="281"/>
    </row>
    <row r="217" spans="1:12" ht="29.25" customHeight="1">
      <c r="A217" s="282" t="s">
        <v>912</v>
      </c>
      <c r="B217" s="283" t="s">
        <v>974</v>
      </c>
      <c r="C217" s="288" t="s">
        <v>547</v>
      </c>
      <c r="D217" s="97">
        <v>250</v>
      </c>
      <c r="E217" s="97">
        <v>300</v>
      </c>
      <c r="F217" s="97">
        <f t="shared" si="12"/>
        <v>75000</v>
      </c>
      <c r="G217" s="97"/>
      <c r="H217" s="97"/>
      <c r="I217" s="281"/>
      <c r="J217" s="281"/>
      <c r="K217" s="97">
        <f t="shared" si="13"/>
        <v>75000</v>
      </c>
      <c r="L217" s="281"/>
    </row>
    <row r="218" spans="1:12" ht="29.25" customHeight="1">
      <c r="A218" s="278" t="s">
        <v>928</v>
      </c>
      <c r="B218" s="278" t="s">
        <v>1018</v>
      </c>
      <c r="C218" s="288" t="s">
        <v>547</v>
      </c>
      <c r="D218" s="97">
        <v>1247</v>
      </c>
      <c r="E218" s="97">
        <v>300</v>
      </c>
      <c r="F218" s="97">
        <f t="shared" si="12"/>
        <v>374100</v>
      </c>
      <c r="G218" s="97"/>
      <c r="H218" s="97"/>
      <c r="I218" s="281"/>
      <c r="J218" s="281"/>
      <c r="K218" s="97">
        <f t="shared" si="13"/>
        <v>374100</v>
      </c>
      <c r="L218" s="281"/>
    </row>
    <row r="219" spans="1:12" ht="29.25" customHeight="1">
      <c r="A219" s="278" t="s">
        <v>928</v>
      </c>
      <c r="B219" s="278" t="s">
        <v>929</v>
      </c>
      <c r="C219" s="288" t="s">
        <v>547</v>
      </c>
      <c r="D219" s="90">
        <v>935</v>
      </c>
      <c r="E219" s="90">
        <v>500</v>
      </c>
      <c r="F219" s="97">
        <f t="shared" si="12"/>
        <v>467500</v>
      </c>
      <c r="G219" s="97"/>
      <c r="H219" s="97"/>
      <c r="I219" s="281"/>
      <c r="J219" s="281"/>
      <c r="K219" s="97">
        <f t="shared" si="13"/>
        <v>467500</v>
      </c>
      <c r="L219" s="281"/>
    </row>
    <row r="220" spans="1:12" ht="29.25" customHeight="1">
      <c r="A220" s="277" t="s">
        <v>1019</v>
      </c>
      <c r="B220" s="277" t="s">
        <v>1020</v>
      </c>
      <c r="C220" s="286" t="s">
        <v>400</v>
      </c>
      <c r="D220" s="90">
        <v>15</v>
      </c>
      <c r="E220" s="90">
        <v>5000</v>
      </c>
      <c r="F220" s="97">
        <f t="shared" si="12"/>
        <v>75000</v>
      </c>
      <c r="G220" s="97"/>
      <c r="H220" s="97"/>
      <c r="I220" s="281"/>
      <c r="J220" s="281"/>
      <c r="K220" s="97">
        <f t="shared" si="13"/>
        <v>75000</v>
      </c>
      <c r="L220" s="281"/>
    </row>
    <row r="221" spans="1:12" ht="29.25" customHeight="1">
      <c r="A221" s="277" t="s">
        <v>1019</v>
      </c>
      <c r="B221" s="277" t="s">
        <v>1021</v>
      </c>
      <c r="C221" s="286" t="s">
        <v>400</v>
      </c>
      <c r="D221" s="90">
        <v>19</v>
      </c>
      <c r="E221" s="90">
        <v>15000</v>
      </c>
      <c r="F221" s="97">
        <f t="shared" si="12"/>
        <v>285000</v>
      </c>
      <c r="G221" s="97"/>
      <c r="H221" s="97"/>
      <c r="I221" s="281"/>
      <c r="J221" s="281"/>
      <c r="K221" s="97">
        <f t="shared" si="13"/>
        <v>285000</v>
      </c>
      <c r="L221" s="281"/>
    </row>
    <row r="222" spans="1:12" ht="29.25" customHeight="1">
      <c r="A222" s="277" t="s">
        <v>1019</v>
      </c>
      <c r="B222" s="277" t="s">
        <v>1022</v>
      </c>
      <c r="C222" s="286" t="s">
        <v>400</v>
      </c>
      <c r="D222" s="90">
        <v>3</v>
      </c>
      <c r="E222" s="90">
        <v>5000</v>
      </c>
      <c r="F222" s="97">
        <f t="shared" si="12"/>
        <v>15000</v>
      </c>
      <c r="G222" s="97"/>
      <c r="H222" s="97"/>
      <c r="I222" s="281"/>
      <c r="J222" s="281"/>
      <c r="K222" s="97">
        <f t="shared" si="13"/>
        <v>15000</v>
      </c>
      <c r="L222" s="281"/>
    </row>
    <row r="223" spans="1:12" ht="29.25" customHeight="1">
      <c r="A223" s="277" t="s">
        <v>1023</v>
      </c>
      <c r="B223" s="278" t="s">
        <v>1024</v>
      </c>
      <c r="C223" s="286" t="s">
        <v>400</v>
      </c>
      <c r="D223" s="90">
        <v>3</v>
      </c>
      <c r="E223" s="90">
        <v>31600</v>
      </c>
      <c r="F223" s="97">
        <f t="shared" si="12"/>
        <v>94800</v>
      </c>
      <c r="G223" s="97"/>
      <c r="H223" s="97"/>
      <c r="I223" s="281"/>
      <c r="J223" s="281"/>
      <c r="K223" s="97">
        <f t="shared" si="13"/>
        <v>94800</v>
      </c>
      <c r="L223" s="281"/>
    </row>
    <row r="224" spans="1:12" ht="29.25" customHeight="1">
      <c r="A224" s="277" t="s">
        <v>1025</v>
      </c>
      <c r="B224" s="277"/>
      <c r="C224" s="257" t="s">
        <v>400</v>
      </c>
      <c r="D224" s="97">
        <v>8</v>
      </c>
      <c r="E224" s="97">
        <v>16700</v>
      </c>
      <c r="F224" s="97">
        <f t="shared" si="12"/>
        <v>133600</v>
      </c>
      <c r="G224" s="97"/>
      <c r="H224" s="97"/>
      <c r="I224" s="281"/>
      <c r="J224" s="281"/>
      <c r="K224" s="97">
        <f t="shared" si="13"/>
        <v>133600</v>
      </c>
      <c r="L224" s="281"/>
    </row>
    <row r="225" spans="1:12" ht="29.25" customHeight="1">
      <c r="A225" s="277" t="s">
        <v>1026</v>
      </c>
      <c r="B225" s="277"/>
      <c r="C225" s="257" t="s">
        <v>400</v>
      </c>
      <c r="D225" s="97">
        <v>10</v>
      </c>
      <c r="E225" s="97">
        <v>264800</v>
      </c>
      <c r="F225" s="97">
        <f t="shared" si="12"/>
        <v>2648000</v>
      </c>
      <c r="G225" s="97"/>
      <c r="H225" s="97"/>
      <c r="I225" s="281"/>
      <c r="J225" s="281"/>
      <c r="K225" s="97">
        <f t="shared" si="13"/>
        <v>2648000</v>
      </c>
      <c r="L225" s="281"/>
    </row>
    <row r="226" spans="1:12" ht="29.25" customHeight="1">
      <c r="A226" s="277" t="s">
        <v>1027</v>
      </c>
      <c r="B226" s="278" t="s">
        <v>1028</v>
      </c>
      <c r="C226" s="257" t="s">
        <v>400</v>
      </c>
      <c r="D226" s="97">
        <v>8</v>
      </c>
      <c r="E226" s="97">
        <v>15000</v>
      </c>
      <c r="F226" s="97">
        <f t="shared" si="12"/>
        <v>120000</v>
      </c>
      <c r="G226" s="97"/>
      <c r="H226" s="97"/>
      <c r="I226" s="281"/>
      <c r="J226" s="281"/>
      <c r="K226" s="97">
        <f t="shared" si="13"/>
        <v>120000</v>
      </c>
      <c r="L226" s="281"/>
    </row>
    <row r="227" spans="1:12" ht="29.25" customHeight="1">
      <c r="A227" s="277" t="s">
        <v>1029</v>
      </c>
      <c r="B227" s="278" t="s">
        <v>1030</v>
      </c>
      <c r="C227" s="257" t="s">
        <v>400</v>
      </c>
      <c r="D227" s="97">
        <v>8</v>
      </c>
      <c r="E227" s="97">
        <v>5000</v>
      </c>
      <c r="F227" s="97">
        <f t="shared" si="12"/>
        <v>40000</v>
      </c>
      <c r="G227" s="97"/>
      <c r="H227" s="97"/>
      <c r="I227" s="281"/>
      <c r="J227" s="281"/>
      <c r="K227" s="97">
        <f t="shared" si="13"/>
        <v>40000</v>
      </c>
      <c r="L227" s="281"/>
    </row>
    <row r="228" spans="1:12" ht="29.25" customHeight="1">
      <c r="A228" s="277" t="s">
        <v>1031</v>
      </c>
      <c r="B228" s="278" t="s">
        <v>1030</v>
      </c>
      <c r="C228" s="257" t="s">
        <v>400</v>
      </c>
      <c r="D228" s="97">
        <v>9</v>
      </c>
      <c r="E228" s="97">
        <v>12500</v>
      </c>
      <c r="F228" s="97">
        <f t="shared" si="12"/>
        <v>112500</v>
      </c>
      <c r="G228" s="97"/>
      <c r="H228" s="97"/>
      <c r="I228" s="281"/>
      <c r="J228" s="281"/>
      <c r="K228" s="97">
        <f t="shared" si="13"/>
        <v>112500</v>
      </c>
      <c r="L228" s="281"/>
    </row>
    <row r="229" spans="1:12" ht="29.25" customHeight="1">
      <c r="A229" s="277" t="s">
        <v>1032</v>
      </c>
      <c r="B229" s="277"/>
      <c r="C229" s="257" t="s">
        <v>461</v>
      </c>
      <c r="D229" s="97">
        <v>1</v>
      </c>
      <c r="E229" s="97">
        <v>264800</v>
      </c>
      <c r="F229" s="97">
        <f t="shared" si="12"/>
        <v>264800</v>
      </c>
      <c r="G229" s="97"/>
      <c r="H229" s="97"/>
      <c r="I229" s="281"/>
      <c r="J229" s="281"/>
      <c r="K229" s="97">
        <f t="shared" si="13"/>
        <v>264800</v>
      </c>
      <c r="L229" s="281"/>
    </row>
    <row r="230" spans="1:12" ht="29.25" customHeight="1">
      <c r="A230" s="277" t="s">
        <v>1033</v>
      </c>
      <c r="B230" s="278" t="s">
        <v>1034</v>
      </c>
      <c r="C230" s="257" t="s">
        <v>400</v>
      </c>
      <c r="D230" s="97">
        <v>1</v>
      </c>
      <c r="E230" s="97">
        <v>964200</v>
      </c>
      <c r="F230" s="97">
        <f t="shared" si="12"/>
        <v>964200</v>
      </c>
      <c r="G230" s="97"/>
      <c r="H230" s="97"/>
      <c r="I230" s="281"/>
      <c r="J230" s="281"/>
      <c r="K230" s="97">
        <f t="shared" si="13"/>
        <v>964200</v>
      </c>
      <c r="L230" s="281"/>
    </row>
    <row r="231" spans="1:12" ht="29.25" customHeight="1">
      <c r="A231" s="278" t="s">
        <v>1035</v>
      </c>
      <c r="B231" s="277" t="s">
        <v>1036</v>
      </c>
      <c r="C231" s="286" t="s">
        <v>55</v>
      </c>
      <c r="D231" s="90">
        <v>1</v>
      </c>
      <c r="E231" s="293">
        <f>TRUNC(SUM(F215:F217)*0.15,0)</f>
        <v>47415</v>
      </c>
      <c r="F231" s="97">
        <f t="shared" si="12"/>
        <v>47415</v>
      </c>
      <c r="G231" s="90"/>
      <c r="H231" s="97"/>
      <c r="I231" s="281"/>
      <c r="J231" s="281"/>
      <c r="K231" s="97">
        <f t="shared" si="13"/>
        <v>47415</v>
      </c>
      <c r="L231" s="281"/>
    </row>
    <row r="232" spans="1:12" ht="29.25" customHeight="1">
      <c r="A232" s="278" t="s">
        <v>904</v>
      </c>
      <c r="B232" s="277" t="s">
        <v>905</v>
      </c>
      <c r="C232" s="286" t="s">
        <v>55</v>
      </c>
      <c r="D232" s="90">
        <v>1</v>
      </c>
      <c r="E232" s="90">
        <f>TRUNC(SUM(F215:F219)*0.02,0)</f>
        <v>23154</v>
      </c>
      <c r="F232" s="97">
        <f t="shared" si="12"/>
        <v>23154</v>
      </c>
      <c r="G232" s="90"/>
      <c r="H232" s="97"/>
      <c r="I232" s="281"/>
      <c r="J232" s="281"/>
      <c r="K232" s="97">
        <f t="shared" si="13"/>
        <v>23154</v>
      </c>
      <c r="L232" s="281"/>
    </row>
    <row r="233" spans="1:12" ht="29.25" customHeight="1">
      <c r="A233" s="277" t="s">
        <v>494</v>
      </c>
      <c r="B233" s="277" t="s">
        <v>906</v>
      </c>
      <c r="C233" s="286" t="s">
        <v>165</v>
      </c>
      <c r="D233" s="90">
        <v>22</v>
      </c>
      <c r="E233" s="90"/>
      <c r="F233" s="90"/>
      <c r="G233" s="90">
        <v>241500</v>
      </c>
      <c r="H233" s="97">
        <f>D233*G233</f>
        <v>5313000</v>
      </c>
      <c r="I233" s="281"/>
      <c r="J233" s="281"/>
      <c r="K233" s="97">
        <f>H233</f>
        <v>5313000</v>
      </c>
      <c r="L233" s="281"/>
    </row>
    <row r="234" spans="1:12" ht="29.25" customHeight="1">
      <c r="A234" s="278" t="s">
        <v>908</v>
      </c>
      <c r="B234" s="277" t="s">
        <v>909</v>
      </c>
      <c r="C234" s="286" t="s">
        <v>55</v>
      </c>
      <c r="D234" s="90">
        <v>1</v>
      </c>
      <c r="E234" s="90"/>
      <c r="F234" s="90"/>
      <c r="G234" s="293">
        <f>TRUNC(SUM(H233)*0.03,0)</f>
        <v>159390</v>
      </c>
      <c r="H234" s="97">
        <f>D234*G234</f>
        <v>159390</v>
      </c>
      <c r="I234" s="281"/>
      <c r="J234" s="281"/>
      <c r="K234" s="97">
        <f>H234</f>
        <v>159390</v>
      </c>
      <c r="L234" s="281"/>
    </row>
    <row r="235" spans="1:12" ht="29.25" customHeight="1">
      <c r="A235" s="277"/>
      <c r="B235" s="277"/>
      <c r="C235" s="286"/>
      <c r="D235" s="90"/>
      <c r="E235" s="90"/>
      <c r="F235" s="90"/>
      <c r="G235" s="293"/>
      <c r="H235" s="97"/>
      <c r="I235" s="281"/>
      <c r="J235" s="281"/>
      <c r="K235" s="97"/>
      <c r="L235" s="281"/>
    </row>
    <row r="236" spans="1:12" ht="29.25" customHeight="1">
      <c r="A236" s="277"/>
      <c r="B236" s="277"/>
      <c r="C236" s="286"/>
      <c r="D236" s="90"/>
      <c r="E236" s="90"/>
      <c r="F236" s="90"/>
      <c r="G236" s="293"/>
      <c r="H236" s="97"/>
      <c r="I236" s="281"/>
      <c r="J236" s="281"/>
      <c r="K236" s="97"/>
      <c r="L236" s="281"/>
    </row>
    <row r="237" spans="1:12" ht="29.25" customHeight="1">
      <c r="A237" s="277"/>
      <c r="B237" s="277"/>
      <c r="C237" s="286"/>
      <c r="D237" s="90"/>
      <c r="E237" s="90"/>
      <c r="F237" s="90"/>
      <c r="G237" s="293"/>
      <c r="H237" s="97"/>
      <c r="I237" s="281"/>
      <c r="J237" s="281"/>
      <c r="K237" s="97"/>
      <c r="L237" s="281"/>
    </row>
    <row r="238" spans="1:12" ht="29.25" customHeight="1">
      <c r="A238" s="277"/>
      <c r="B238" s="277"/>
      <c r="C238" s="286"/>
      <c r="D238" s="90"/>
      <c r="E238" s="90"/>
      <c r="F238" s="90"/>
      <c r="G238" s="293"/>
      <c r="H238" s="97"/>
      <c r="I238" s="281"/>
      <c r="J238" s="281"/>
      <c r="K238" s="97"/>
      <c r="L238" s="281"/>
    </row>
    <row r="239" spans="1:12" ht="29.25" customHeight="1">
      <c r="A239" s="277"/>
      <c r="B239" s="277"/>
      <c r="C239" s="286"/>
      <c r="D239" s="90"/>
      <c r="E239" s="90"/>
      <c r="F239" s="90"/>
      <c r="G239" s="293"/>
      <c r="H239" s="97"/>
      <c r="I239" s="281"/>
      <c r="J239" s="281"/>
      <c r="K239" s="97"/>
      <c r="L239" s="281"/>
    </row>
    <row r="240" spans="1:12" ht="29.25" customHeight="1">
      <c r="A240" s="277"/>
      <c r="B240" s="277"/>
      <c r="C240" s="286"/>
      <c r="D240" s="90"/>
      <c r="E240" s="90"/>
      <c r="F240" s="90"/>
      <c r="G240" s="293"/>
      <c r="H240" s="97"/>
      <c r="I240" s="281"/>
      <c r="J240" s="281"/>
      <c r="K240" s="97"/>
      <c r="L240" s="281"/>
    </row>
    <row r="241" spans="1:12" ht="29.25" customHeight="1">
      <c r="A241" s="277"/>
      <c r="B241" s="277"/>
      <c r="C241" s="286"/>
      <c r="D241" s="90"/>
      <c r="E241" s="90"/>
      <c r="F241" s="90"/>
      <c r="G241" s="293"/>
      <c r="H241" s="97"/>
      <c r="I241" s="281"/>
      <c r="J241" s="281"/>
      <c r="K241" s="97"/>
      <c r="L241" s="281"/>
    </row>
    <row r="242" spans="1:12" ht="29.25" customHeight="1">
      <c r="A242" s="277"/>
      <c r="B242" s="277"/>
      <c r="C242" s="286"/>
      <c r="D242" s="90"/>
      <c r="E242" s="90"/>
      <c r="F242" s="90"/>
      <c r="G242" s="293"/>
      <c r="H242" s="97"/>
      <c r="I242" s="281"/>
      <c r="J242" s="281"/>
      <c r="K242" s="97"/>
      <c r="L242" s="281"/>
    </row>
    <row r="243" spans="1:12" ht="29.25" customHeight="1">
      <c r="A243" s="277"/>
      <c r="B243" s="277"/>
      <c r="C243" s="286"/>
      <c r="D243" s="90"/>
      <c r="E243" s="90"/>
      <c r="F243" s="90"/>
      <c r="G243" s="293"/>
      <c r="H243" s="97"/>
      <c r="I243" s="281"/>
      <c r="J243" s="281"/>
      <c r="K243" s="97"/>
      <c r="L243" s="281"/>
    </row>
    <row r="244" spans="1:12" ht="29.25" customHeight="1">
      <c r="A244" s="277"/>
      <c r="B244" s="277"/>
      <c r="C244" s="286"/>
      <c r="D244" s="90"/>
      <c r="E244" s="90"/>
      <c r="F244" s="90"/>
      <c r="G244" s="293"/>
      <c r="H244" s="97"/>
      <c r="I244" s="281"/>
      <c r="J244" s="281"/>
      <c r="K244" s="97"/>
      <c r="L244" s="281"/>
    </row>
    <row r="245" spans="1:12" ht="29.25" customHeight="1">
      <c r="A245" s="277"/>
      <c r="B245" s="277"/>
      <c r="C245" s="286"/>
      <c r="D245" s="90"/>
      <c r="E245" s="90"/>
      <c r="F245" s="90"/>
      <c r="G245" s="293"/>
      <c r="H245" s="97"/>
      <c r="I245" s="281"/>
      <c r="J245" s="281"/>
      <c r="K245" s="97"/>
      <c r="L245" s="281"/>
    </row>
    <row r="246" spans="1:12" ht="29.25" customHeight="1">
      <c r="A246" s="277"/>
      <c r="B246" s="277"/>
      <c r="C246" s="286"/>
      <c r="D246" s="90"/>
      <c r="E246" s="90"/>
      <c r="F246" s="90"/>
      <c r="G246" s="293"/>
      <c r="H246" s="97"/>
      <c r="I246" s="281"/>
      <c r="J246" s="281"/>
      <c r="K246" s="97"/>
      <c r="L246" s="281"/>
    </row>
    <row r="247" spans="1:12" ht="29.25" customHeight="1">
      <c r="A247" s="277"/>
      <c r="B247" s="277"/>
      <c r="C247" s="286"/>
      <c r="D247" s="90"/>
      <c r="E247" s="90"/>
      <c r="F247" s="90"/>
      <c r="G247" s="293"/>
      <c r="H247" s="97"/>
      <c r="I247" s="281"/>
      <c r="J247" s="281"/>
      <c r="K247" s="97"/>
      <c r="L247" s="281"/>
    </row>
    <row r="248" spans="1:12" ht="29.25" customHeight="1">
      <c r="A248" s="277"/>
      <c r="B248" s="277"/>
      <c r="C248" s="286"/>
      <c r="D248" s="90"/>
      <c r="E248" s="90"/>
      <c r="F248" s="90"/>
      <c r="G248" s="90"/>
      <c r="H248" s="97"/>
      <c r="I248" s="281"/>
      <c r="J248" s="281"/>
      <c r="K248" s="97"/>
      <c r="L248" s="281"/>
    </row>
    <row r="249" spans="1:12" ht="29.25" customHeight="1">
      <c r="A249" s="277"/>
      <c r="B249" s="277"/>
      <c r="C249" s="286"/>
      <c r="D249" s="90"/>
      <c r="E249" s="90"/>
      <c r="F249" s="90"/>
      <c r="G249" s="90"/>
      <c r="H249" s="97"/>
      <c r="I249" s="281"/>
      <c r="J249" s="281"/>
      <c r="K249" s="97"/>
      <c r="L249" s="281"/>
    </row>
    <row r="250" spans="1:12" ht="29.25" customHeight="1">
      <c r="A250" s="277"/>
      <c r="B250" s="277"/>
      <c r="C250" s="286"/>
      <c r="D250" s="90"/>
      <c r="E250" s="90"/>
      <c r="F250" s="90"/>
      <c r="G250" s="90"/>
      <c r="H250" s="97"/>
      <c r="I250" s="281"/>
      <c r="J250" s="281"/>
      <c r="K250" s="97"/>
      <c r="L250" s="281"/>
    </row>
    <row r="251" spans="1:12" ht="29.25" customHeight="1">
      <c r="A251" s="277"/>
      <c r="B251" s="277"/>
      <c r="C251" s="286"/>
      <c r="D251" s="90"/>
      <c r="E251" s="90"/>
      <c r="F251" s="90"/>
      <c r="G251" s="90"/>
      <c r="H251" s="97"/>
      <c r="I251" s="281"/>
      <c r="J251" s="281"/>
      <c r="K251" s="97"/>
      <c r="L251" s="281"/>
    </row>
    <row r="252" spans="1:12" ht="29.25" customHeight="1">
      <c r="A252" s="277"/>
      <c r="B252" s="277"/>
      <c r="C252" s="286"/>
      <c r="D252" s="90"/>
      <c r="E252" s="90"/>
      <c r="F252" s="90"/>
      <c r="G252" s="90"/>
      <c r="H252" s="97"/>
      <c r="I252" s="281"/>
      <c r="J252" s="281"/>
      <c r="K252" s="97"/>
      <c r="L252" s="281"/>
    </row>
    <row r="253" spans="1:12" ht="29.25" customHeight="1">
      <c r="A253" s="277"/>
      <c r="B253" s="277"/>
      <c r="C253" s="286"/>
      <c r="D253" s="90"/>
      <c r="E253" s="90"/>
      <c r="F253" s="90"/>
      <c r="G253" s="90"/>
      <c r="H253" s="97"/>
      <c r="I253" s="281"/>
      <c r="J253" s="281"/>
      <c r="K253" s="97"/>
      <c r="L253" s="281"/>
    </row>
    <row r="254" spans="1:12" ht="29.25" customHeight="1">
      <c r="A254" s="277"/>
      <c r="B254" s="277"/>
      <c r="C254" s="257"/>
      <c r="D254" s="97"/>
      <c r="E254" s="97"/>
      <c r="F254" s="97"/>
      <c r="G254" s="97"/>
      <c r="H254" s="97"/>
      <c r="I254" s="281"/>
      <c r="J254" s="281"/>
      <c r="K254" s="97"/>
      <c r="L254" s="281"/>
    </row>
    <row r="255" spans="1:12" ht="29.25" customHeight="1">
      <c r="A255" s="263" t="s">
        <v>910</v>
      </c>
      <c r="B255" s="263"/>
      <c r="C255" s="260"/>
      <c r="D255" s="287"/>
      <c r="E255" s="287"/>
      <c r="F255" s="287">
        <f>SUM(F215:F254)</f>
        <v>5981169</v>
      </c>
      <c r="G255" s="287"/>
      <c r="H255" s="287">
        <f>SUM(H233:H254)</f>
        <v>5472390</v>
      </c>
      <c r="I255" s="262"/>
      <c r="J255" s="262"/>
      <c r="K255" s="287">
        <f>SUM(K215:K254)</f>
        <v>11453559</v>
      </c>
      <c r="L255" s="263"/>
    </row>
    <row r="256" spans="1:12" ht="29.25" customHeight="1">
      <c r="A256" s="331" t="s">
        <v>1037</v>
      </c>
      <c r="B256" s="331"/>
      <c r="C256" s="331"/>
      <c r="D256" s="331"/>
      <c r="E256" s="331"/>
      <c r="F256" s="331"/>
      <c r="G256" s="331"/>
      <c r="H256" s="331"/>
      <c r="I256" s="331"/>
      <c r="J256" s="331"/>
      <c r="K256" s="331"/>
      <c r="L256" s="331"/>
    </row>
    <row r="257" spans="1:12" ht="29.25" customHeight="1">
      <c r="A257" s="277" t="s">
        <v>914</v>
      </c>
      <c r="B257" s="278" t="s">
        <v>1038</v>
      </c>
      <c r="C257" s="279" t="s">
        <v>547</v>
      </c>
      <c r="D257" s="90">
        <v>220</v>
      </c>
      <c r="E257" s="90">
        <v>100</v>
      </c>
      <c r="F257" s="90">
        <f t="shared" ref="F257:F270" si="14">TRUNC(D257*E257)</f>
        <v>22000</v>
      </c>
      <c r="G257" s="90"/>
      <c r="H257" s="97"/>
      <c r="I257" s="281"/>
      <c r="J257" s="281"/>
      <c r="K257" s="97">
        <f t="shared" ref="K257:K270" si="15">F257</f>
        <v>22000</v>
      </c>
      <c r="L257" s="281"/>
    </row>
    <row r="258" spans="1:12" ht="29.25" customHeight="1">
      <c r="A258" s="277" t="s">
        <v>919</v>
      </c>
      <c r="B258" s="278" t="s">
        <v>920</v>
      </c>
      <c r="C258" s="286" t="s">
        <v>400</v>
      </c>
      <c r="D258" s="90">
        <v>19</v>
      </c>
      <c r="E258" s="90">
        <v>800</v>
      </c>
      <c r="F258" s="90">
        <f t="shared" si="14"/>
        <v>15200</v>
      </c>
      <c r="G258" s="90"/>
      <c r="H258" s="97"/>
      <c r="I258" s="281"/>
      <c r="J258" s="281"/>
      <c r="K258" s="97">
        <f t="shared" si="15"/>
        <v>15200</v>
      </c>
      <c r="L258" s="281"/>
    </row>
    <row r="259" spans="1:12" ht="29.25" customHeight="1">
      <c r="A259" s="277" t="s">
        <v>919</v>
      </c>
      <c r="B259" s="277" t="s">
        <v>921</v>
      </c>
      <c r="C259" s="286" t="s">
        <v>400</v>
      </c>
      <c r="D259" s="90">
        <v>16</v>
      </c>
      <c r="E259" s="90">
        <v>1100</v>
      </c>
      <c r="F259" s="90">
        <f t="shared" si="14"/>
        <v>17600</v>
      </c>
      <c r="G259" s="90"/>
      <c r="H259" s="97"/>
      <c r="I259" s="281"/>
      <c r="J259" s="281"/>
      <c r="K259" s="97">
        <f t="shared" si="15"/>
        <v>17600</v>
      </c>
      <c r="L259" s="281"/>
    </row>
    <row r="260" spans="1:12" ht="29.25" customHeight="1">
      <c r="A260" s="277" t="s">
        <v>925</v>
      </c>
      <c r="B260" s="277" t="s">
        <v>926</v>
      </c>
      <c r="C260" s="286" t="s">
        <v>400</v>
      </c>
      <c r="D260" s="90">
        <v>19</v>
      </c>
      <c r="E260" s="90">
        <v>400</v>
      </c>
      <c r="F260" s="90">
        <f t="shared" si="14"/>
        <v>7600</v>
      </c>
      <c r="G260" s="90"/>
      <c r="H260" s="97"/>
      <c r="I260" s="281"/>
      <c r="J260" s="281"/>
      <c r="K260" s="97">
        <f t="shared" si="15"/>
        <v>7600</v>
      </c>
      <c r="L260" s="281"/>
    </row>
    <row r="261" spans="1:12" ht="29.25" customHeight="1">
      <c r="A261" s="277" t="s">
        <v>925</v>
      </c>
      <c r="B261" s="277" t="s">
        <v>927</v>
      </c>
      <c r="C261" s="286" t="s">
        <v>400</v>
      </c>
      <c r="D261" s="90">
        <v>16</v>
      </c>
      <c r="E261" s="90">
        <v>400</v>
      </c>
      <c r="F261" s="90">
        <f t="shared" si="14"/>
        <v>6400</v>
      </c>
      <c r="G261" s="90"/>
      <c r="H261" s="97"/>
      <c r="I261" s="281"/>
      <c r="J261" s="281"/>
      <c r="K261" s="97">
        <f t="shared" si="15"/>
        <v>6400</v>
      </c>
      <c r="L261" s="281"/>
    </row>
    <row r="262" spans="1:12" ht="29.25" customHeight="1">
      <c r="A262" s="278" t="s">
        <v>928</v>
      </c>
      <c r="B262" s="278" t="s">
        <v>929</v>
      </c>
      <c r="C262" s="279" t="s">
        <v>547</v>
      </c>
      <c r="D262" s="90">
        <v>966</v>
      </c>
      <c r="E262" s="90">
        <v>500</v>
      </c>
      <c r="F262" s="90">
        <f t="shared" si="14"/>
        <v>483000</v>
      </c>
      <c r="G262" s="90"/>
      <c r="H262" s="97"/>
      <c r="I262" s="281"/>
      <c r="J262" s="281"/>
      <c r="K262" s="97">
        <f t="shared" si="15"/>
        <v>483000</v>
      </c>
      <c r="L262" s="281"/>
    </row>
    <row r="263" spans="1:12" ht="29.25" customHeight="1">
      <c r="A263" s="277" t="s">
        <v>1039</v>
      </c>
      <c r="B263" s="277"/>
      <c r="C263" s="286" t="s">
        <v>400</v>
      </c>
      <c r="D263" s="90">
        <v>1</v>
      </c>
      <c r="E263" s="90">
        <v>18300</v>
      </c>
      <c r="F263" s="90">
        <f t="shared" si="14"/>
        <v>18300</v>
      </c>
      <c r="G263" s="90"/>
      <c r="H263" s="97"/>
      <c r="I263" s="281"/>
      <c r="J263" s="281"/>
      <c r="K263" s="97">
        <f t="shared" si="15"/>
        <v>18300</v>
      </c>
      <c r="L263" s="281"/>
    </row>
    <row r="264" spans="1:12" ht="29.25" customHeight="1">
      <c r="A264" s="277" t="s">
        <v>1040</v>
      </c>
      <c r="B264" s="277" t="s">
        <v>1041</v>
      </c>
      <c r="C264" s="286" t="s">
        <v>400</v>
      </c>
      <c r="D264" s="90">
        <v>6</v>
      </c>
      <c r="E264" s="90">
        <v>11500</v>
      </c>
      <c r="F264" s="90">
        <f t="shared" si="14"/>
        <v>69000</v>
      </c>
      <c r="G264" s="90"/>
      <c r="H264" s="97"/>
      <c r="I264" s="281"/>
      <c r="J264" s="281"/>
      <c r="K264" s="97">
        <f t="shared" si="15"/>
        <v>69000</v>
      </c>
      <c r="L264" s="281"/>
    </row>
    <row r="265" spans="1:12" ht="29.25" customHeight="1">
      <c r="A265" s="277" t="s">
        <v>1040</v>
      </c>
      <c r="B265" s="278" t="s">
        <v>1042</v>
      </c>
      <c r="C265" s="286" t="s">
        <v>400</v>
      </c>
      <c r="D265" s="90">
        <v>4</v>
      </c>
      <c r="E265" s="90">
        <v>20000</v>
      </c>
      <c r="F265" s="90">
        <f t="shared" si="14"/>
        <v>80000</v>
      </c>
      <c r="G265" s="90"/>
      <c r="H265" s="97"/>
      <c r="I265" s="281"/>
      <c r="J265" s="281"/>
      <c r="K265" s="97">
        <f t="shared" si="15"/>
        <v>80000</v>
      </c>
      <c r="L265" s="281"/>
    </row>
    <row r="266" spans="1:12" ht="29.25" customHeight="1">
      <c r="A266" s="277" t="s">
        <v>1040</v>
      </c>
      <c r="B266" s="277" t="s">
        <v>1043</v>
      </c>
      <c r="C266" s="286" t="s">
        <v>400</v>
      </c>
      <c r="D266" s="90">
        <v>2</v>
      </c>
      <c r="E266" s="90">
        <v>15000</v>
      </c>
      <c r="F266" s="90">
        <f t="shared" si="14"/>
        <v>30000</v>
      </c>
      <c r="G266" s="90"/>
      <c r="H266" s="97"/>
      <c r="I266" s="281"/>
      <c r="J266" s="281"/>
      <c r="K266" s="97">
        <f t="shared" si="15"/>
        <v>30000</v>
      </c>
      <c r="L266" s="281"/>
    </row>
    <row r="267" spans="1:12" ht="29.25" customHeight="1">
      <c r="A267" s="277" t="s">
        <v>1040</v>
      </c>
      <c r="B267" s="278" t="s">
        <v>1042</v>
      </c>
      <c r="C267" s="286" t="s">
        <v>400</v>
      </c>
      <c r="D267" s="90">
        <v>1</v>
      </c>
      <c r="E267" s="90">
        <v>20000</v>
      </c>
      <c r="F267" s="90">
        <f t="shared" si="14"/>
        <v>20000</v>
      </c>
      <c r="G267" s="90"/>
      <c r="H267" s="97"/>
      <c r="I267" s="281"/>
      <c r="J267" s="281"/>
      <c r="K267" s="97">
        <f t="shared" si="15"/>
        <v>20000</v>
      </c>
      <c r="L267" s="281"/>
    </row>
    <row r="268" spans="1:12" ht="29.25" customHeight="1">
      <c r="A268" s="277" t="s">
        <v>1044</v>
      </c>
      <c r="B268" s="277" t="s">
        <v>1045</v>
      </c>
      <c r="C268" s="286" t="s">
        <v>400</v>
      </c>
      <c r="D268" s="90">
        <v>8</v>
      </c>
      <c r="E268" s="90">
        <v>18600</v>
      </c>
      <c r="F268" s="90">
        <f t="shared" si="14"/>
        <v>148800</v>
      </c>
      <c r="G268" s="90"/>
      <c r="H268" s="97"/>
      <c r="I268" s="281"/>
      <c r="J268" s="281"/>
      <c r="K268" s="97">
        <f t="shared" si="15"/>
        <v>148800</v>
      </c>
      <c r="L268" s="281"/>
    </row>
    <row r="269" spans="1:12" ht="29.25" customHeight="1">
      <c r="A269" s="278" t="s">
        <v>1035</v>
      </c>
      <c r="B269" s="278" t="s">
        <v>1046</v>
      </c>
      <c r="C269" s="286" t="s">
        <v>55</v>
      </c>
      <c r="D269" s="90">
        <v>1</v>
      </c>
      <c r="E269" s="90">
        <f>TRUNC(SUM(F257)*0.4,0)</f>
        <v>8800</v>
      </c>
      <c r="F269" s="90">
        <f t="shared" si="14"/>
        <v>8800</v>
      </c>
      <c r="G269" s="90"/>
      <c r="H269" s="97"/>
      <c r="I269" s="281"/>
      <c r="J269" s="281"/>
      <c r="K269" s="97">
        <f t="shared" si="15"/>
        <v>8800</v>
      </c>
      <c r="L269" s="281"/>
    </row>
    <row r="270" spans="1:12" ht="29.25" customHeight="1">
      <c r="A270" s="278" t="s">
        <v>904</v>
      </c>
      <c r="B270" s="277" t="s">
        <v>905</v>
      </c>
      <c r="C270" s="286" t="s">
        <v>55</v>
      </c>
      <c r="D270" s="90">
        <v>1</v>
      </c>
      <c r="E270" s="90">
        <f>TRUNC(SUM(F257,F262)*0.02,0)</f>
        <v>10100</v>
      </c>
      <c r="F270" s="90">
        <f t="shared" si="14"/>
        <v>10100</v>
      </c>
      <c r="G270" s="90"/>
      <c r="H270" s="97"/>
      <c r="I270" s="281"/>
      <c r="J270" s="281"/>
      <c r="K270" s="97">
        <f t="shared" si="15"/>
        <v>10100</v>
      </c>
      <c r="L270" s="281"/>
    </row>
    <row r="271" spans="1:12" ht="29.25" customHeight="1">
      <c r="A271" s="277" t="s">
        <v>494</v>
      </c>
      <c r="B271" s="277" t="s">
        <v>906</v>
      </c>
      <c r="C271" s="286" t="s">
        <v>165</v>
      </c>
      <c r="D271" s="90">
        <v>8</v>
      </c>
      <c r="E271" s="90"/>
      <c r="F271" s="90"/>
      <c r="G271" s="90">
        <v>241500</v>
      </c>
      <c r="H271" s="97">
        <f>D271*G271</f>
        <v>1932000</v>
      </c>
      <c r="I271" s="281"/>
      <c r="J271" s="281"/>
      <c r="K271" s="97">
        <f>H271</f>
        <v>1932000</v>
      </c>
      <c r="L271" s="281"/>
    </row>
    <row r="272" spans="1:12" ht="29.25" customHeight="1">
      <c r="A272" s="278" t="s">
        <v>908</v>
      </c>
      <c r="B272" s="277" t="s">
        <v>909</v>
      </c>
      <c r="C272" s="286" t="s">
        <v>55</v>
      </c>
      <c r="D272" s="90">
        <v>1</v>
      </c>
      <c r="E272" s="90"/>
      <c r="F272" s="90"/>
      <c r="G272" s="90">
        <f>TRUNC(SUM(H271)*0.03,0)</f>
        <v>57960</v>
      </c>
      <c r="H272" s="97">
        <f>D272*G272</f>
        <v>57960</v>
      </c>
      <c r="I272" s="281"/>
      <c r="J272" s="281"/>
      <c r="K272" s="97">
        <f>H272</f>
        <v>57960</v>
      </c>
      <c r="L272" s="281"/>
    </row>
    <row r="273" spans="1:12" ht="29.25" customHeight="1">
      <c r="A273" s="277"/>
      <c r="B273" s="277"/>
      <c r="C273" s="257"/>
      <c r="D273" s="97"/>
      <c r="E273" s="97"/>
      <c r="F273" s="97"/>
      <c r="G273" s="97"/>
      <c r="H273" s="97"/>
      <c r="I273" s="281"/>
      <c r="J273" s="281"/>
      <c r="K273" s="97"/>
      <c r="L273" s="281"/>
    </row>
    <row r="274" spans="1:12" ht="29.25" customHeight="1">
      <c r="A274" s="277"/>
      <c r="B274" s="277"/>
      <c r="C274" s="257"/>
      <c r="D274" s="97"/>
      <c r="E274" s="97"/>
      <c r="F274" s="97"/>
      <c r="G274" s="97"/>
      <c r="H274" s="97"/>
      <c r="I274" s="281"/>
      <c r="J274" s="281"/>
      <c r="K274" s="97"/>
      <c r="L274" s="281"/>
    </row>
    <row r="275" spans="1:12" ht="29.25" customHeight="1">
      <c r="A275" s="277"/>
      <c r="B275" s="277"/>
      <c r="C275" s="257"/>
      <c r="D275" s="97"/>
      <c r="E275" s="97"/>
      <c r="F275" s="97"/>
      <c r="G275" s="97"/>
      <c r="H275" s="97"/>
      <c r="I275" s="281"/>
      <c r="J275" s="281"/>
      <c r="K275" s="97"/>
      <c r="L275" s="281"/>
    </row>
    <row r="276" spans="1:12" ht="29.25" customHeight="1">
      <c r="A276" s="263" t="s">
        <v>910</v>
      </c>
      <c r="B276" s="263"/>
      <c r="C276" s="260"/>
      <c r="D276" s="287"/>
      <c r="E276" s="287"/>
      <c r="F276" s="287">
        <f>SUM(F257:F275)</f>
        <v>936800</v>
      </c>
      <c r="G276" s="287"/>
      <c r="H276" s="287">
        <f>SUM(H271:H275)</f>
        <v>1989960</v>
      </c>
      <c r="I276" s="262"/>
      <c r="J276" s="262"/>
      <c r="K276" s="287">
        <f>SUM(K257:K275)</f>
        <v>2926760</v>
      </c>
      <c r="L276" s="263"/>
    </row>
  </sheetData>
  <mergeCells count="18">
    <mergeCell ref="A193:L193"/>
    <mergeCell ref="A214:L214"/>
    <mergeCell ref="A256:L256"/>
    <mergeCell ref="A4:L4"/>
    <mergeCell ref="A67:L67"/>
    <mergeCell ref="A109:L109"/>
    <mergeCell ref="A130:L130"/>
    <mergeCell ref="A151:L151"/>
    <mergeCell ref="A1:L1"/>
    <mergeCell ref="A2:A3"/>
    <mergeCell ref="B2:B3"/>
    <mergeCell ref="C2:C3"/>
    <mergeCell ref="D2:D3"/>
    <mergeCell ref="E2:F2"/>
    <mergeCell ref="G2:H2"/>
    <mergeCell ref="I2:J2"/>
    <mergeCell ref="K2:K3"/>
    <mergeCell ref="L2:L3"/>
  </mergeCells>
  <phoneticPr fontId="14" type="noConversion"/>
  <printOptions horizontalCentered="1" verticalCentered="1"/>
  <pageMargins left="0.55138888888888904" right="0.55138888888888904" top="0.59027777777777801" bottom="0.39374999999999999" header="0.511811023622047" footer="0.511811023622047"/>
  <pageSetup paperSize="9" scale="75"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워크시트</vt:lpstr>
      </vt:variant>
      <vt:variant>
        <vt:i4>8</vt:i4>
      </vt:variant>
      <vt:variant>
        <vt:lpstr>이름이 지정된 범위</vt:lpstr>
      </vt:variant>
      <vt:variant>
        <vt:i4>14</vt:i4>
      </vt:variant>
    </vt:vector>
  </HeadingPairs>
  <TitlesOfParts>
    <vt:vector size="22" baseType="lpstr">
      <vt:lpstr>원가계산서 </vt:lpstr>
      <vt:lpstr>전체집계</vt:lpstr>
      <vt:lpstr>건축집계</vt:lpstr>
      <vt:lpstr>건축내역서</vt:lpstr>
      <vt:lpstr>설비집계표</vt:lpstr>
      <vt:lpstr>설비내역서</vt:lpstr>
      <vt:lpstr>전기총괄표</vt:lpstr>
      <vt:lpstr>전기내역서</vt:lpstr>
      <vt:lpstr>건축내역서!Print_Area</vt:lpstr>
      <vt:lpstr>건축집계!Print_Area</vt:lpstr>
      <vt:lpstr>설비내역서!Print_Area</vt:lpstr>
      <vt:lpstr>설비집계표!Print_Area</vt:lpstr>
      <vt:lpstr>'원가계산서 '!Print_Area</vt:lpstr>
      <vt:lpstr>전기내역서!Print_Area</vt:lpstr>
      <vt:lpstr>전기총괄표!Print_Area</vt:lpstr>
      <vt:lpstr>전체집계!Print_Area</vt:lpstr>
      <vt:lpstr>건축내역서!Print_Titles</vt:lpstr>
      <vt:lpstr>건축집계!Print_Titles</vt:lpstr>
      <vt:lpstr>설비내역서!Print_Titles</vt:lpstr>
      <vt:lpstr>설비집계표!Print_Titles</vt:lpstr>
      <vt:lpstr>전기내역서!Print_Titles</vt:lpstr>
      <vt:lpstr>전기총괄표!Print_Titles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2026-10-21T02:14:31Z</dcterms:created>
  <dcterms:modified xsi:type="dcterms:W3CDTF">2026-10-21T02:14:31Z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2015-07-29T07:03:29Z</dcterms:created>
  <dc:creator>yeo_chancho</dc:creator>
  <dc:description/>
  <dc:language>en-US</dc:language>
  <cp:lastModifiedBy>USER</cp:lastModifiedBy>
  <cp:lastPrinted>2026-09-11T00:58:03Z</cp:lastPrinted>
  <dcterms:modified xsi:type="dcterms:W3CDTF">2026-10-16T06:59:55Z</dcterms:modified>
  <cp:revision>0</cp:revision>
  <dc:subject/>
  <dc:title/>
</cp:coreProperties>
</file>